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harm\Desktop\Data Analysis Projects\fy2025_disability_analysis_by_county\Claude\"/>
    </mc:Choice>
  </mc:AlternateContent>
  <xr:revisionPtr revIDLastSave="0" documentId="13_ncr:1_{E4D03BB5-4858-4A6F-95E2-A4AFDE8DD3A9}" xr6:coauthVersionLast="47" xr6:coauthVersionMax="47" xr10:uidLastSave="{00000000-0000-0000-0000-000000000000}"/>
  <bookViews>
    <workbookView xWindow="-120" yWindow="-120" windowWidth="20730" windowHeight="11040" xr2:uid="{F9946555-6F5E-41AC-BE41-6C3DAF8B51DF}"/>
  </bookViews>
  <sheets>
    <sheet name="Sheet1" sheetId="2" r:id="rId1"/>
    <sheet name="Dashboard" sheetId="4" r:id="rId2"/>
    <sheet name="Sheet2" sheetId="3" r:id="rId3"/>
    <sheet name="fy2025_disability_analysis_by_c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A5" i="4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B6" i="3"/>
  <c r="C6" i="3" s="1"/>
  <c r="B5" i="3"/>
  <c r="C5" i="3" s="1"/>
  <c r="B4" i="3"/>
  <c r="C4" i="3" s="1"/>
  <c r="B3" i="3"/>
  <c r="C3" i="3" s="1"/>
  <c r="B2" i="3"/>
  <c r="C2" i="3" s="1"/>
</calcChain>
</file>

<file path=xl/sharedStrings.xml><?xml version="1.0" encoding="utf-8"?>
<sst xmlns="http://schemas.openxmlformats.org/spreadsheetml/2006/main" count="9511" uniqueCount="5072">
  <si>
    <t>FIPS code</t>
  </si>
  <si>
    <t>State</t>
  </si>
  <si>
    <t>County Name</t>
  </si>
  <si>
    <t>Total: Disability Compensation Recipients</t>
  </si>
  <si>
    <t>SCD rating: 0% to 20%</t>
  </si>
  <si>
    <t>SCD rating: 30% to 40%</t>
  </si>
  <si>
    <t>SCD rating: 50% to 60%</t>
  </si>
  <si>
    <t>SCD rating: 70% to 90%</t>
  </si>
  <si>
    <t>SCD rating: 100%</t>
  </si>
  <si>
    <t>Age: 17-44</t>
  </si>
  <si>
    <t>Age: 45-64</t>
  </si>
  <si>
    <t>Age: 65 or older</t>
  </si>
  <si>
    <t>Male</t>
  </si>
  <si>
    <t>Female</t>
  </si>
  <si>
    <t>State,County</t>
  </si>
  <si>
    <t>Alabama</t>
  </si>
  <si>
    <t>Autauga</t>
  </si>
  <si>
    <t>Autauga, Alabama</t>
  </si>
  <si>
    <t>Baldwin</t>
  </si>
  <si>
    <t>Baldwin, Alabama</t>
  </si>
  <si>
    <t>Barbour</t>
  </si>
  <si>
    <t>Barbour, Alabama</t>
  </si>
  <si>
    <t>Bibb</t>
  </si>
  <si>
    <t>Bibb, Alabama</t>
  </si>
  <si>
    <t>Blount</t>
  </si>
  <si>
    <t>Blount, Alabama</t>
  </si>
  <si>
    <t>Bullock</t>
  </si>
  <si>
    <t>Bullock, Alabama</t>
  </si>
  <si>
    <t>Butler</t>
  </si>
  <si>
    <t>Butler, Alabama</t>
  </si>
  <si>
    <t>Calhoun</t>
  </si>
  <si>
    <t>Calhoun, Alabama</t>
  </si>
  <si>
    <t>Chambers</t>
  </si>
  <si>
    <t>Chambers, Alabama</t>
  </si>
  <si>
    <t>Cherokee</t>
  </si>
  <si>
    <t>Cherokee, Alabama</t>
  </si>
  <si>
    <t>Chilton</t>
  </si>
  <si>
    <t>Chilton, Alabama</t>
  </si>
  <si>
    <t>Choctaw</t>
  </si>
  <si>
    <t>Choctaw, Alabama</t>
  </si>
  <si>
    <t>Clarke</t>
  </si>
  <si>
    <t>Clarke, Alabama</t>
  </si>
  <si>
    <t>Clay</t>
  </si>
  <si>
    <t>Clay, Alabama</t>
  </si>
  <si>
    <t>Cleburne</t>
  </si>
  <si>
    <t>Cleburne, Alabama</t>
  </si>
  <si>
    <t>Coffee</t>
  </si>
  <si>
    <t>Coffee, Alabama</t>
  </si>
  <si>
    <t>Colbert</t>
  </si>
  <si>
    <t>Colbert, Alabama</t>
  </si>
  <si>
    <t>Conecuh</t>
  </si>
  <si>
    <t>Conecuh, Alabama</t>
  </si>
  <si>
    <t>Coosa</t>
  </si>
  <si>
    <t>Coosa, Alabama</t>
  </si>
  <si>
    <t>Covington</t>
  </si>
  <si>
    <t>Covington, Alabama</t>
  </si>
  <si>
    <t>Crenshaw</t>
  </si>
  <si>
    <t>Crenshaw, Alabama</t>
  </si>
  <si>
    <t>Cullman</t>
  </si>
  <si>
    <t>Cullman, Alabama</t>
  </si>
  <si>
    <t>Dale</t>
  </si>
  <si>
    <t>Dale, Alabama</t>
  </si>
  <si>
    <t>Dallas</t>
  </si>
  <si>
    <t>Dallas, Alabama</t>
  </si>
  <si>
    <t>DeKalb</t>
  </si>
  <si>
    <t>DeKalb, Alabama</t>
  </si>
  <si>
    <t>Elmore</t>
  </si>
  <si>
    <t>Elmore, Alabama</t>
  </si>
  <si>
    <t>Escambia</t>
  </si>
  <si>
    <t>Escambia, Alabama</t>
  </si>
  <si>
    <t>Etowah</t>
  </si>
  <si>
    <t>Etowah, Alabama</t>
  </si>
  <si>
    <t>Fayette</t>
  </si>
  <si>
    <t>Fayette, Alabama</t>
  </si>
  <si>
    <t>Franklin</t>
  </si>
  <si>
    <t>Franklin, Alabama</t>
  </si>
  <si>
    <t>Geneva</t>
  </si>
  <si>
    <t>Geneva, Alabama</t>
  </si>
  <si>
    <t>Greene</t>
  </si>
  <si>
    <t>Greene, Alabama</t>
  </si>
  <si>
    <t>Hale</t>
  </si>
  <si>
    <t>Hale, Alabama</t>
  </si>
  <si>
    <t>Henry</t>
  </si>
  <si>
    <t>Henry, Alabama</t>
  </si>
  <si>
    <t>Houston</t>
  </si>
  <si>
    <t>Houston, Alabama</t>
  </si>
  <si>
    <t>Jackson</t>
  </si>
  <si>
    <t>Jackson, Alabama</t>
  </si>
  <si>
    <t>Jefferson</t>
  </si>
  <si>
    <t>Jefferson, Alabama</t>
  </si>
  <si>
    <t>Lamar</t>
  </si>
  <si>
    <t>Lamar, Alabama</t>
  </si>
  <si>
    <t>Lauderdale</t>
  </si>
  <si>
    <t>Lauderdale, Alabama</t>
  </si>
  <si>
    <t>Lawrence</t>
  </si>
  <si>
    <t>Lawrence, Alabama</t>
  </si>
  <si>
    <t>Lee</t>
  </si>
  <si>
    <t>Lee, Alabama</t>
  </si>
  <si>
    <t>Limestone</t>
  </si>
  <si>
    <t>Limestone, Alabama</t>
  </si>
  <si>
    <t>Lowndes</t>
  </si>
  <si>
    <t>Lowndes, Alabama</t>
  </si>
  <si>
    <t>Macon</t>
  </si>
  <si>
    <t>Macon, Alabama</t>
  </si>
  <si>
    <t>Madison</t>
  </si>
  <si>
    <t>Madison, Alabama</t>
  </si>
  <si>
    <t>Marengo</t>
  </si>
  <si>
    <t>Marengo, Alabama</t>
  </si>
  <si>
    <t>Marion</t>
  </si>
  <si>
    <t>Marion, Alabama</t>
  </si>
  <si>
    <t>Marshall</t>
  </si>
  <si>
    <t>Marshall, Alabama</t>
  </si>
  <si>
    <t>Mobile</t>
  </si>
  <si>
    <t>Mobile, Alabama</t>
  </si>
  <si>
    <t>Monroe</t>
  </si>
  <si>
    <t>Monroe, Alabama</t>
  </si>
  <si>
    <t>Montgomery</t>
  </si>
  <si>
    <t>Montgomery, Alabama</t>
  </si>
  <si>
    <t>Morgan</t>
  </si>
  <si>
    <t>Morgan, Alabama</t>
  </si>
  <si>
    <t>Perry</t>
  </si>
  <si>
    <t>Perry, Alabama</t>
  </si>
  <si>
    <t>Pickens</t>
  </si>
  <si>
    <t>Pickens, Alabama</t>
  </si>
  <si>
    <t>Pike</t>
  </si>
  <si>
    <t>Pike, Alabama</t>
  </si>
  <si>
    <t>Randolph</t>
  </si>
  <si>
    <t>Randolph, Alabama</t>
  </si>
  <si>
    <t>Russell</t>
  </si>
  <si>
    <t>Russell, Alabama</t>
  </si>
  <si>
    <t>St. Clair</t>
  </si>
  <si>
    <t>St. Clair, Alabama</t>
  </si>
  <si>
    <t>Shelby</t>
  </si>
  <si>
    <t>Shelby, Alabama</t>
  </si>
  <si>
    <t>Sumter</t>
  </si>
  <si>
    <t>Sumter, Alabama</t>
  </si>
  <si>
    <t>Talladega</t>
  </si>
  <si>
    <t>Talladega, Alabama</t>
  </si>
  <si>
    <t>Tallapoosa</t>
  </si>
  <si>
    <t>Tallapoosa, Alabama</t>
  </si>
  <si>
    <t>Tuscaloosa</t>
  </si>
  <si>
    <t>Tuscaloosa, Alabama</t>
  </si>
  <si>
    <t>Walker</t>
  </si>
  <si>
    <t>Walker, Alabama</t>
  </si>
  <si>
    <t>Washington</t>
  </si>
  <si>
    <t>Washington, Alabama</t>
  </si>
  <si>
    <t>Wilcox</t>
  </si>
  <si>
    <t>Wilcox, Alabama</t>
  </si>
  <si>
    <t>Winston</t>
  </si>
  <si>
    <t>Winston, Alabama</t>
  </si>
  <si>
    <t>Alaska</t>
  </si>
  <si>
    <t>Aleutians East</t>
  </si>
  <si>
    <t>Aleutians East, Alaska</t>
  </si>
  <si>
    <t>Aleutians West</t>
  </si>
  <si>
    <t>Aleutians West, Alaska</t>
  </si>
  <si>
    <t>Anchorage</t>
  </si>
  <si>
    <t>Anchorage, Alaska</t>
  </si>
  <si>
    <t>Bethel</t>
  </si>
  <si>
    <t>Bethel, Alaska</t>
  </si>
  <si>
    <t>Bristol Bay</t>
  </si>
  <si>
    <t>Bristol Bay, Alaska</t>
  </si>
  <si>
    <t>Chugach</t>
  </si>
  <si>
    <t>Chugach, Alaska</t>
  </si>
  <si>
    <t>Copper River</t>
  </si>
  <si>
    <t>Copper River, Alaska</t>
  </si>
  <si>
    <t>Denali</t>
  </si>
  <si>
    <t>Denali, Alaska</t>
  </si>
  <si>
    <t>Dillingham</t>
  </si>
  <si>
    <t>Dillingham, Alaska</t>
  </si>
  <si>
    <t>Fairbanks North Star</t>
  </si>
  <si>
    <t>Fairbanks North Star, Alaska</t>
  </si>
  <si>
    <t>Haines</t>
  </si>
  <si>
    <t>Haines, Alaska</t>
  </si>
  <si>
    <t>Hoonah-Angoon</t>
  </si>
  <si>
    <t>Hoonah-Angoon, Alaska</t>
  </si>
  <si>
    <t>Juneau</t>
  </si>
  <si>
    <t>Juneau, Alaska</t>
  </si>
  <si>
    <t>Kenai Peninsula</t>
  </si>
  <si>
    <t>Kenai Peninsula, Alaska</t>
  </si>
  <si>
    <t>Ketchikan Gateway</t>
  </si>
  <si>
    <t>Ketchikan Gateway, Alaska</t>
  </si>
  <si>
    <t>Kodiak Island</t>
  </si>
  <si>
    <t>Kodiak Island, Alaska</t>
  </si>
  <si>
    <t>Kusilvak</t>
  </si>
  <si>
    <t>Kusilvak, Alaska</t>
  </si>
  <si>
    <t>Lake and Peninsula</t>
  </si>
  <si>
    <t>Lake and Peninsula, Alaska</t>
  </si>
  <si>
    <t>Matanuska-Susitna</t>
  </si>
  <si>
    <t>Matanuska-Susitna, Alaska</t>
  </si>
  <si>
    <t>Nome</t>
  </si>
  <si>
    <t>Nome, Alaska</t>
  </si>
  <si>
    <t>North Slope</t>
  </si>
  <si>
    <t>North Slope, Alaska</t>
  </si>
  <si>
    <t>Northwest Arctic</t>
  </si>
  <si>
    <t>Northwest Arctic, Alaska</t>
  </si>
  <si>
    <t>Petersburg</t>
  </si>
  <si>
    <t>Petersburg, Alaska</t>
  </si>
  <si>
    <t>Prince of Wales-Hyder</t>
  </si>
  <si>
    <t>Prince of Wales-Hyder, Alaska</t>
  </si>
  <si>
    <t>Sitka</t>
  </si>
  <si>
    <t>Sitka, Alaska</t>
  </si>
  <si>
    <t>Skagway</t>
  </si>
  <si>
    <t>Skagway, Alaska</t>
  </si>
  <si>
    <t>Southeast Fairbanks</t>
  </si>
  <si>
    <t>Southeast Fairbanks, Alaska</t>
  </si>
  <si>
    <t>Wrangell</t>
  </si>
  <si>
    <t>Wrangell, Alaska</t>
  </si>
  <si>
    <t>Yakutat</t>
  </si>
  <si>
    <t>Yakutat, Alaska</t>
  </si>
  <si>
    <t>Yukon-Koyukuk</t>
  </si>
  <si>
    <t>Yukon-Koyukuk, Alaska</t>
  </si>
  <si>
    <t>Arizona</t>
  </si>
  <si>
    <t>Apache</t>
  </si>
  <si>
    <t>Apache, Arizona</t>
  </si>
  <si>
    <t>Cochise</t>
  </si>
  <si>
    <t>Cochise, Arizona</t>
  </si>
  <si>
    <t>Coconino</t>
  </si>
  <si>
    <t>Coconino, Arizona</t>
  </si>
  <si>
    <t>Gila</t>
  </si>
  <si>
    <t>Gila, Arizona</t>
  </si>
  <si>
    <t>Graham</t>
  </si>
  <si>
    <t>Graham, Arizona</t>
  </si>
  <si>
    <t>Greenlee</t>
  </si>
  <si>
    <t>Greenlee, Arizona</t>
  </si>
  <si>
    <t>La Paz</t>
  </si>
  <si>
    <t>La Paz, Arizona</t>
  </si>
  <si>
    <t>Maricopa</t>
  </si>
  <si>
    <t>Maricopa, Arizona</t>
  </si>
  <si>
    <t>Mohave</t>
  </si>
  <si>
    <t>Mohave, Arizona</t>
  </si>
  <si>
    <t>Navajo</t>
  </si>
  <si>
    <t>Navajo, Arizona</t>
  </si>
  <si>
    <t>Pima</t>
  </si>
  <si>
    <t>Pima, Arizona</t>
  </si>
  <si>
    <t>Pinal</t>
  </si>
  <si>
    <t>Pinal, Arizona</t>
  </si>
  <si>
    <t>Santa Cruz</t>
  </si>
  <si>
    <t>Santa Cruz, Arizona</t>
  </si>
  <si>
    <t>Yavapai</t>
  </si>
  <si>
    <t>Yavapai, Arizona</t>
  </si>
  <si>
    <t>Yuma</t>
  </si>
  <si>
    <t>Yuma, Arizona</t>
  </si>
  <si>
    <t>Arkansas</t>
  </si>
  <si>
    <t>Arkansas, Arkansas</t>
  </si>
  <si>
    <t>Ashley</t>
  </si>
  <si>
    <t>Ashley, Arkansas</t>
  </si>
  <si>
    <t>Baxter</t>
  </si>
  <si>
    <t>Baxter, Arkansas</t>
  </si>
  <si>
    <t>Benton</t>
  </si>
  <si>
    <t>Benton, Arkansas</t>
  </si>
  <si>
    <t>Boone</t>
  </si>
  <si>
    <t>Boone, Arkansas</t>
  </si>
  <si>
    <t>Bradley</t>
  </si>
  <si>
    <t>Bradley, Arkansas</t>
  </si>
  <si>
    <t>Calhoun, Arkansas</t>
  </si>
  <si>
    <t>Carroll</t>
  </si>
  <si>
    <t>Carroll, Arkansas</t>
  </si>
  <si>
    <t>Chicot</t>
  </si>
  <si>
    <t>Chicot, Arkansas</t>
  </si>
  <si>
    <t>Clark</t>
  </si>
  <si>
    <t>Clark, Arkansas</t>
  </si>
  <si>
    <t>Clay, Arkansas</t>
  </si>
  <si>
    <t>Cleburne, Arkansas</t>
  </si>
  <si>
    <t>Cleveland</t>
  </si>
  <si>
    <t>Cleveland, Arkansas</t>
  </si>
  <si>
    <t>Columbia</t>
  </si>
  <si>
    <t>Columbia, Arkansas</t>
  </si>
  <si>
    <t>Conway</t>
  </si>
  <si>
    <t>Conway, Arkansas</t>
  </si>
  <si>
    <t>Craighead</t>
  </si>
  <si>
    <t>Craighead, Arkansas</t>
  </si>
  <si>
    <t>Crawford</t>
  </si>
  <si>
    <t>Crawford, Arkansas</t>
  </si>
  <si>
    <t>Crittenden</t>
  </si>
  <si>
    <t>Crittenden, Arkansas</t>
  </si>
  <si>
    <t>Cross</t>
  </si>
  <si>
    <t>Cross, Arkansas</t>
  </si>
  <si>
    <t>Dallas, Arkansas</t>
  </si>
  <si>
    <t>Desha</t>
  </si>
  <si>
    <t>Desha, Arkansas</t>
  </si>
  <si>
    <t>Drew</t>
  </si>
  <si>
    <t>Drew, Arkansas</t>
  </si>
  <si>
    <t>Faulkner</t>
  </si>
  <si>
    <t>Faulkner, Arkansas</t>
  </si>
  <si>
    <t>Franklin, Arkansas</t>
  </si>
  <si>
    <t>Fulton</t>
  </si>
  <si>
    <t>Fulton, Arkansas</t>
  </si>
  <si>
    <t>Garland</t>
  </si>
  <si>
    <t>Garland, Arkansas</t>
  </si>
  <si>
    <t>Grant</t>
  </si>
  <si>
    <t>Grant, Arkansas</t>
  </si>
  <si>
    <t>Greene, Arkansas</t>
  </si>
  <si>
    <t>Hempstead</t>
  </si>
  <si>
    <t>Hempstead, Arkansas</t>
  </si>
  <si>
    <t>Hot Spring</t>
  </si>
  <si>
    <t>Hot Spring, Arkansas</t>
  </si>
  <si>
    <t>Howard</t>
  </si>
  <si>
    <t>Howard, Arkansas</t>
  </si>
  <si>
    <t>Independence</t>
  </si>
  <si>
    <t>Independence, Arkansas</t>
  </si>
  <si>
    <t>Izard</t>
  </si>
  <si>
    <t>Izard, Arkansas</t>
  </si>
  <si>
    <t>Jackson, Arkansas</t>
  </si>
  <si>
    <t>Jefferson, Arkansas</t>
  </si>
  <si>
    <t>Johnson</t>
  </si>
  <si>
    <t>Johnson, Arkansas</t>
  </si>
  <si>
    <t>Lafayette</t>
  </si>
  <si>
    <t>Lafayette, Arkansas</t>
  </si>
  <si>
    <t>Lawrence, Arkansas</t>
  </si>
  <si>
    <t>Lee, Arkansas</t>
  </si>
  <si>
    <t>Lincoln</t>
  </si>
  <si>
    <t>Lincoln, Arkansas</t>
  </si>
  <si>
    <t>Little River</t>
  </si>
  <si>
    <t>Little River, Arkansas</t>
  </si>
  <si>
    <t>Logan</t>
  </si>
  <si>
    <t>Logan, Arkansas</t>
  </si>
  <si>
    <t>Lonoke</t>
  </si>
  <si>
    <t>Lonoke, Arkansas</t>
  </si>
  <si>
    <t>Madison, Arkansas</t>
  </si>
  <si>
    <t>Marion, Arkansas</t>
  </si>
  <si>
    <t>Miller</t>
  </si>
  <si>
    <t>Miller, Arkansas</t>
  </si>
  <si>
    <t>Mississippi</t>
  </si>
  <si>
    <t>Mississippi, Arkansas</t>
  </si>
  <si>
    <t>Monroe, Arkansas</t>
  </si>
  <si>
    <t>Montgomery, Arkansas</t>
  </si>
  <si>
    <t>Nevada</t>
  </si>
  <si>
    <t>Nevada, Arkansas</t>
  </si>
  <si>
    <t>Newton</t>
  </si>
  <si>
    <t>Newton, Arkansas</t>
  </si>
  <si>
    <t>Ouachita</t>
  </si>
  <si>
    <t>Ouachita, Arkansas</t>
  </si>
  <si>
    <t>Perry, Arkansas</t>
  </si>
  <si>
    <t>Phillips</t>
  </si>
  <si>
    <t>Phillips, Arkansas</t>
  </si>
  <si>
    <t>Pike, Arkansas</t>
  </si>
  <si>
    <t>Poinsett</t>
  </si>
  <si>
    <t>Poinsett, Arkansas</t>
  </si>
  <si>
    <t>Polk</t>
  </si>
  <si>
    <t>Polk, Arkansas</t>
  </si>
  <si>
    <t>Pope</t>
  </si>
  <si>
    <t>Pope, Arkansas</t>
  </si>
  <si>
    <t>Prairie</t>
  </si>
  <si>
    <t>Prairie, Arkansas</t>
  </si>
  <si>
    <t>Pulaski</t>
  </si>
  <si>
    <t>Pulaski, Arkansas</t>
  </si>
  <si>
    <t>Randolph, Arkansas</t>
  </si>
  <si>
    <t>St. Francis</t>
  </si>
  <si>
    <t>St. Francis, Arkansas</t>
  </si>
  <si>
    <t>Saline</t>
  </si>
  <si>
    <t>Saline, Arkansas</t>
  </si>
  <si>
    <t>Scott</t>
  </si>
  <si>
    <t>Scott, Arkansas</t>
  </si>
  <si>
    <t>Searcy</t>
  </si>
  <si>
    <t>Searcy, Arkansas</t>
  </si>
  <si>
    <t>Sebastian</t>
  </si>
  <si>
    <t>Sebastian, Arkansas</t>
  </si>
  <si>
    <t>Sevier</t>
  </si>
  <si>
    <t>Sevier, Arkansas</t>
  </si>
  <si>
    <t>Sharp</t>
  </si>
  <si>
    <t>Sharp, Arkansas</t>
  </si>
  <si>
    <t>Stone</t>
  </si>
  <si>
    <t>Stone, Arkansas</t>
  </si>
  <si>
    <t>Union</t>
  </si>
  <si>
    <t>Union, Arkansas</t>
  </si>
  <si>
    <t>Van Buren</t>
  </si>
  <si>
    <t>Van Buren, Arkansas</t>
  </si>
  <si>
    <t>Washington, Arkansas</t>
  </si>
  <si>
    <t>White</t>
  </si>
  <si>
    <t>White, Arkansas</t>
  </si>
  <si>
    <t>Woodruff</t>
  </si>
  <si>
    <t>Woodruff, Arkansas</t>
  </si>
  <si>
    <t>Yell</t>
  </si>
  <si>
    <t>Yell, Arkansas</t>
  </si>
  <si>
    <t>California</t>
  </si>
  <si>
    <t>Alameda</t>
  </si>
  <si>
    <t>Alameda, California</t>
  </si>
  <si>
    <t>Alpine</t>
  </si>
  <si>
    <t>Alpine, California</t>
  </si>
  <si>
    <t>Amador</t>
  </si>
  <si>
    <t>Amador, California</t>
  </si>
  <si>
    <t>Butte</t>
  </si>
  <si>
    <t>Butte, California</t>
  </si>
  <si>
    <t>Calaveras</t>
  </si>
  <si>
    <t>Calaveras, California</t>
  </si>
  <si>
    <t>Colusa</t>
  </si>
  <si>
    <t>Colusa, California</t>
  </si>
  <si>
    <t>Contra Costa</t>
  </si>
  <si>
    <t>Contra Costa, California</t>
  </si>
  <si>
    <t>Del Norte</t>
  </si>
  <si>
    <t>Del Norte, California</t>
  </si>
  <si>
    <t>El Dorado</t>
  </si>
  <si>
    <t>El Dorado, California</t>
  </si>
  <si>
    <t>Fresno</t>
  </si>
  <si>
    <t>Fresno, California</t>
  </si>
  <si>
    <t>Glenn</t>
  </si>
  <si>
    <t>Glenn, California</t>
  </si>
  <si>
    <t>Humboldt</t>
  </si>
  <si>
    <t>Humboldt, California</t>
  </si>
  <si>
    <t>Imperial</t>
  </si>
  <si>
    <t>Imperial, California</t>
  </si>
  <si>
    <t>Inyo</t>
  </si>
  <si>
    <t>Inyo, California</t>
  </si>
  <si>
    <t>Kern</t>
  </si>
  <si>
    <t>Kern, California</t>
  </si>
  <si>
    <t>Kings</t>
  </si>
  <si>
    <t>Kings, California</t>
  </si>
  <si>
    <t>Lake</t>
  </si>
  <si>
    <t>Lake, California</t>
  </si>
  <si>
    <t>Lassen</t>
  </si>
  <si>
    <t>Lassen, California</t>
  </si>
  <si>
    <t>Los Angeles</t>
  </si>
  <si>
    <t>Los Angeles, California</t>
  </si>
  <si>
    <t>Madera</t>
  </si>
  <si>
    <t>Madera, California</t>
  </si>
  <si>
    <t>Marin</t>
  </si>
  <si>
    <t>Marin, California</t>
  </si>
  <si>
    <t>Mariposa</t>
  </si>
  <si>
    <t>Mariposa, California</t>
  </si>
  <si>
    <t>Mendocino</t>
  </si>
  <si>
    <t>Mendocino, California</t>
  </si>
  <si>
    <t>Merced</t>
  </si>
  <si>
    <t>Merced, California</t>
  </si>
  <si>
    <t>Modoc</t>
  </si>
  <si>
    <t>Modoc, California</t>
  </si>
  <si>
    <t>Mono</t>
  </si>
  <si>
    <t>Mono, California</t>
  </si>
  <si>
    <t>Monterey</t>
  </si>
  <si>
    <t>Monterey, California</t>
  </si>
  <si>
    <t>Napa</t>
  </si>
  <si>
    <t>Napa, California</t>
  </si>
  <si>
    <t>Nevada, California</t>
  </si>
  <si>
    <t>Orange</t>
  </si>
  <si>
    <t>Orange, California</t>
  </si>
  <si>
    <t>Placer</t>
  </si>
  <si>
    <t>Placer, California</t>
  </si>
  <si>
    <t>Plumas</t>
  </si>
  <si>
    <t>Plumas, California</t>
  </si>
  <si>
    <t>Riverside</t>
  </si>
  <si>
    <t>Riverside, California</t>
  </si>
  <si>
    <t>Sacramento</t>
  </si>
  <si>
    <t>Sacramento, California</t>
  </si>
  <si>
    <t>San Benito</t>
  </si>
  <si>
    <t>San Benito, California</t>
  </si>
  <si>
    <t>San Bernardino</t>
  </si>
  <si>
    <t>San Bernardino, California</t>
  </si>
  <si>
    <t>San Diego</t>
  </si>
  <si>
    <t>San Diego, California</t>
  </si>
  <si>
    <t>San Francisco</t>
  </si>
  <si>
    <t>San Francisco, California</t>
  </si>
  <si>
    <t>San Joaquin</t>
  </si>
  <si>
    <t>San Joaquin, California</t>
  </si>
  <si>
    <t>San Luis Obispo</t>
  </si>
  <si>
    <t>San Luis Obispo, California</t>
  </si>
  <si>
    <t>San Mateo</t>
  </si>
  <si>
    <t>San Mateo, California</t>
  </si>
  <si>
    <t>Santa Barbara</t>
  </si>
  <si>
    <t>Santa Barbara, California</t>
  </si>
  <si>
    <t>Santa Clara</t>
  </si>
  <si>
    <t>Santa Clara, California</t>
  </si>
  <si>
    <t>Santa Cruz, California</t>
  </si>
  <si>
    <t>Shasta</t>
  </si>
  <si>
    <t>Shasta, California</t>
  </si>
  <si>
    <t>Sierra</t>
  </si>
  <si>
    <t>Sierra, California</t>
  </si>
  <si>
    <t>Siskiyou</t>
  </si>
  <si>
    <t>Siskiyou, California</t>
  </si>
  <si>
    <t>Solano</t>
  </si>
  <si>
    <t>Solano, California</t>
  </si>
  <si>
    <t>Sonoma</t>
  </si>
  <si>
    <t>Sonoma, California</t>
  </si>
  <si>
    <t>Stanislaus</t>
  </si>
  <si>
    <t>Stanislaus, California</t>
  </si>
  <si>
    <t>Sutter</t>
  </si>
  <si>
    <t>Sutter, California</t>
  </si>
  <si>
    <t>Tehama</t>
  </si>
  <si>
    <t>Tehama, California</t>
  </si>
  <si>
    <t>Trinity</t>
  </si>
  <si>
    <t>Trinity, California</t>
  </si>
  <si>
    <t>Tulare</t>
  </si>
  <si>
    <t>Tulare, California</t>
  </si>
  <si>
    <t>Tuolumne</t>
  </si>
  <si>
    <t>Tuolumne, California</t>
  </si>
  <si>
    <t>Ventura</t>
  </si>
  <si>
    <t>Ventura, California</t>
  </si>
  <si>
    <t>Yolo</t>
  </si>
  <si>
    <t>Yolo, California</t>
  </si>
  <si>
    <t>Yuba</t>
  </si>
  <si>
    <t>Yuba, California</t>
  </si>
  <si>
    <t>Colorado</t>
  </si>
  <si>
    <t>Adams</t>
  </si>
  <si>
    <t>Adams, Colorado</t>
  </si>
  <si>
    <t>Alamosa</t>
  </si>
  <si>
    <t>Alamosa, Colorado</t>
  </si>
  <si>
    <t>Arapahoe</t>
  </si>
  <si>
    <t>Arapahoe, Colorado</t>
  </si>
  <si>
    <t>Archuleta</t>
  </si>
  <si>
    <t>Archuleta, Colorado</t>
  </si>
  <si>
    <t>Baca</t>
  </si>
  <si>
    <t>Baca, Colorado</t>
  </si>
  <si>
    <t>Bent</t>
  </si>
  <si>
    <t>Bent, Colorado</t>
  </si>
  <si>
    <t>Boulder</t>
  </si>
  <si>
    <t>Boulder, Colorado</t>
  </si>
  <si>
    <t>Broomfield</t>
  </si>
  <si>
    <t>Broomfield, Colorado</t>
  </si>
  <si>
    <t>Chaffee</t>
  </si>
  <si>
    <t>Chaffee, Colorado</t>
  </si>
  <si>
    <t>Cheyenne</t>
  </si>
  <si>
    <t>Cheyenne, Colorado</t>
  </si>
  <si>
    <t>Clear Creek</t>
  </si>
  <si>
    <t>Clear Creek, Colorado</t>
  </si>
  <si>
    <t>Conejos</t>
  </si>
  <si>
    <t>Conejos, Colorado</t>
  </si>
  <si>
    <t>Costilla</t>
  </si>
  <si>
    <t>Costilla, Colorado</t>
  </si>
  <si>
    <t>Crowley</t>
  </si>
  <si>
    <t>Crowley, Colorado</t>
  </si>
  <si>
    <t>Custer</t>
  </si>
  <si>
    <t>Custer, Colorado</t>
  </si>
  <si>
    <t>Delta</t>
  </si>
  <si>
    <t>Delta, Colorado</t>
  </si>
  <si>
    <t>Denver</t>
  </si>
  <si>
    <t>Denver, Colorado</t>
  </si>
  <si>
    <t>Dolores</t>
  </si>
  <si>
    <t>Dolores, Colorado</t>
  </si>
  <si>
    <t>Douglas</t>
  </si>
  <si>
    <t>Douglas, Colorado</t>
  </si>
  <si>
    <t>Eagle</t>
  </si>
  <si>
    <t>Eagle, Colorado</t>
  </si>
  <si>
    <t>Elbert</t>
  </si>
  <si>
    <t>Elbert, Colorado</t>
  </si>
  <si>
    <t>El Paso</t>
  </si>
  <si>
    <t>El Paso, Colorado</t>
  </si>
  <si>
    <t>Fremont</t>
  </si>
  <si>
    <t>Fremont, Colorado</t>
  </si>
  <si>
    <t>Garfield</t>
  </si>
  <si>
    <t>Garfield, Colorado</t>
  </si>
  <si>
    <t>Gilpin</t>
  </si>
  <si>
    <t>Gilpin, Colorado</t>
  </si>
  <si>
    <t>Grand</t>
  </si>
  <si>
    <t>Grand, Colorado</t>
  </si>
  <si>
    <t>Gunnison</t>
  </si>
  <si>
    <t>Gunnison, Colorado</t>
  </si>
  <si>
    <t>Hinsdale</t>
  </si>
  <si>
    <t>Hinsdale, Colorado</t>
  </si>
  <si>
    <t>Huerfano</t>
  </si>
  <si>
    <t>Huerfano, Colorado</t>
  </si>
  <si>
    <t>Jackson, Colorado</t>
  </si>
  <si>
    <t>Jefferson, Colorado</t>
  </si>
  <si>
    <t>Kiowa</t>
  </si>
  <si>
    <t>Kiowa, Colorado</t>
  </si>
  <si>
    <t>Kit Carson</t>
  </si>
  <si>
    <t>Kit Carson, Colorado</t>
  </si>
  <si>
    <t>Lake, Colorado</t>
  </si>
  <si>
    <t>La Plata</t>
  </si>
  <si>
    <t>La Plata, Colorado</t>
  </si>
  <si>
    <t>Larimer</t>
  </si>
  <si>
    <t>Larimer, Colorado</t>
  </si>
  <si>
    <t>Las Animas</t>
  </si>
  <si>
    <t>Las Animas, Colorado</t>
  </si>
  <si>
    <t>Lincoln, Colorado</t>
  </si>
  <si>
    <t>Logan, Colorado</t>
  </si>
  <si>
    <t>Mesa</t>
  </si>
  <si>
    <t>Mesa, Colorado</t>
  </si>
  <si>
    <t>Mineral</t>
  </si>
  <si>
    <t>Mineral, Colorado</t>
  </si>
  <si>
    <t>Moffat</t>
  </si>
  <si>
    <t>Moffat, Colorado</t>
  </si>
  <si>
    <t>Montezuma</t>
  </si>
  <si>
    <t>Montezuma, Colorado</t>
  </si>
  <si>
    <t>Montrose</t>
  </si>
  <si>
    <t>Montrose, Colorado</t>
  </si>
  <si>
    <t>Morgan, Colorado</t>
  </si>
  <si>
    <t>Otero</t>
  </si>
  <si>
    <t>Otero, Colorado</t>
  </si>
  <si>
    <t>Ouray</t>
  </si>
  <si>
    <t>Ouray, Colorado</t>
  </si>
  <si>
    <t>Park</t>
  </si>
  <si>
    <t>Park, Colorado</t>
  </si>
  <si>
    <t>Phillips, Colorado</t>
  </si>
  <si>
    <t>Pitkin</t>
  </si>
  <si>
    <t>Pitkin, Colorado</t>
  </si>
  <si>
    <t>Prowers</t>
  </si>
  <si>
    <t>Prowers, Colorado</t>
  </si>
  <si>
    <t>Pueblo</t>
  </si>
  <si>
    <t>Pueblo, Colorado</t>
  </si>
  <si>
    <t>Rio Blanco</t>
  </si>
  <si>
    <t>Rio Blanco, Colorado</t>
  </si>
  <si>
    <t>Rio Grande</t>
  </si>
  <si>
    <t>Rio Grande, Colorado</t>
  </si>
  <si>
    <t>Routt</t>
  </si>
  <si>
    <t>Routt, Colorado</t>
  </si>
  <si>
    <t>Saguache</t>
  </si>
  <si>
    <t>Saguache, Colorado</t>
  </si>
  <si>
    <t>San Juan</t>
  </si>
  <si>
    <t>San Juan, Colorado</t>
  </si>
  <si>
    <t>San Miguel</t>
  </si>
  <si>
    <t>San Miguel, Colorado</t>
  </si>
  <si>
    <t>Sedgwick</t>
  </si>
  <si>
    <t>Sedgwick, Colorado</t>
  </si>
  <si>
    <t>Summit</t>
  </si>
  <si>
    <t>Summit, Colorado</t>
  </si>
  <si>
    <t>Teller</t>
  </si>
  <si>
    <t>Teller, Colorado</t>
  </si>
  <si>
    <t>Washington, Colorado</t>
  </si>
  <si>
    <t>Weld</t>
  </si>
  <si>
    <t>Weld, Colorado</t>
  </si>
  <si>
    <t>Yuma, Colorado</t>
  </si>
  <si>
    <t>Connecticut</t>
  </si>
  <si>
    <t>Capitol</t>
  </si>
  <si>
    <t>Capitol, Connecticut</t>
  </si>
  <si>
    <t>Greater Bridgeport</t>
  </si>
  <si>
    <t>Greater Bridgeport, Connecticut</t>
  </si>
  <si>
    <t>Lower Connecticut River Valley</t>
  </si>
  <si>
    <t>Lower Connecticut River Valley, Connecticut</t>
  </si>
  <si>
    <t>Naugatuck Valley</t>
  </si>
  <si>
    <t>Naugatuck Valley, Connecticut</t>
  </si>
  <si>
    <t>Northeastern Connecticut</t>
  </si>
  <si>
    <t>Northeastern Connecticut, Connecticut</t>
  </si>
  <si>
    <t>Northwest Hills</t>
  </si>
  <si>
    <t>Northwest Hills, Connecticut</t>
  </si>
  <si>
    <t>South Central Connecticut</t>
  </si>
  <si>
    <t>South Central Connecticut, Connecticut</t>
  </si>
  <si>
    <t>Southeastern Connecticut</t>
  </si>
  <si>
    <t>Southeastern Connecticut, Connecticut</t>
  </si>
  <si>
    <t>Western Connecticut</t>
  </si>
  <si>
    <t>Western Connecticut, Connecticut</t>
  </si>
  <si>
    <t>Delaware</t>
  </si>
  <si>
    <t>Kent</t>
  </si>
  <si>
    <t>Kent, Delaware</t>
  </si>
  <si>
    <t>New Castle</t>
  </si>
  <si>
    <t>New Castle, Delaware</t>
  </si>
  <si>
    <t>Sussex</t>
  </si>
  <si>
    <t>Sussex, Delaware</t>
  </si>
  <si>
    <t>District Of Columbia</t>
  </si>
  <si>
    <t>District Of Columbia, District Of Columbia</t>
  </si>
  <si>
    <t>Florida</t>
  </si>
  <si>
    <t>Alachua</t>
  </si>
  <si>
    <t>Alachua, Florida</t>
  </si>
  <si>
    <t>Baker</t>
  </si>
  <si>
    <t>Baker, Florida</t>
  </si>
  <si>
    <t>Bay</t>
  </si>
  <si>
    <t>Bay, Florida</t>
  </si>
  <si>
    <t>Bradford</t>
  </si>
  <si>
    <t>Bradford, Florida</t>
  </si>
  <si>
    <t>Brevard</t>
  </si>
  <si>
    <t>Brevard, Florida</t>
  </si>
  <si>
    <t>Broward</t>
  </si>
  <si>
    <t>Broward, Florida</t>
  </si>
  <si>
    <t>Calhoun, Florida</t>
  </si>
  <si>
    <t>Charlotte</t>
  </si>
  <si>
    <t>Charlotte, Florida</t>
  </si>
  <si>
    <t>Citrus</t>
  </si>
  <si>
    <t>Citrus, Florida</t>
  </si>
  <si>
    <t>Clay, Florida</t>
  </si>
  <si>
    <t>Collier</t>
  </si>
  <si>
    <t>Collier, Florida</t>
  </si>
  <si>
    <t>Columbia, Florida</t>
  </si>
  <si>
    <t>DeSoto</t>
  </si>
  <si>
    <t>DeSoto, Florida</t>
  </si>
  <si>
    <t>Dixie</t>
  </si>
  <si>
    <t>Dixie, Florida</t>
  </si>
  <si>
    <t>Duval</t>
  </si>
  <si>
    <t>Duval, Florida</t>
  </si>
  <si>
    <t>Escambia, Florida</t>
  </si>
  <si>
    <t>Flagler</t>
  </si>
  <si>
    <t>Flagler, Florida</t>
  </si>
  <si>
    <t>Franklin, Florida</t>
  </si>
  <si>
    <t>Gadsden</t>
  </si>
  <si>
    <t>Gadsden, Florida</t>
  </si>
  <si>
    <t>Gilchrist</t>
  </si>
  <si>
    <t>Gilchrist, Florida</t>
  </si>
  <si>
    <t>Glades</t>
  </si>
  <si>
    <t>Glades, Florida</t>
  </si>
  <si>
    <t>Gulf</t>
  </si>
  <si>
    <t>Gulf, Florida</t>
  </si>
  <si>
    <t>Hamilton</t>
  </si>
  <si>
    <t>Hamilton, Florida</t>
  </si>
  <si>
    <t>Hardee</t>
  </si>
  <si>
    <t>Hardee, Florida</t>
  </si>
  <si>
    <t>Hendry</t>
  </si>
  <si>
    <t>Hendry, Florida</t>
  </si>
  <si>
    <t>Hernando</t>
  </si>
  <si>
    <t>Hernando, Florida</t>
  </si>
  <si>
    <t>Highlands</t>
  </si>
  <si>
    <t>Highlands, Florida</t>
  </si>
  <si>
    <t>Hillsborough</t>
  </si>
  <si>
    <t>Hillsborough, Florida</t>
  </si>
  <si>
    <t>Holmes</t>
  </si>
  <si>
    <t>Holmes, Florida</t>
  </si>
  <si>
    <t>Indian River</t>
  </si>
  <si>
    <t>Indian River, Florida</t>
  </si>
  <si>
    <t>Jackson, Florida</t>
  </si>
  <si>
    <t>Jefferson, Florida</t>
  </si>
  <si>
    <t>Lafayette, Florida</t>
  </si>
  <si>
    <t>Lake, Florida</t>
  </si>
  <si>
    <t>Lee, Florida</t>
  </si>
  <si>
    <t>Leon</t>
  </si>
  <si>
    <t>Leon, Florida</t>
  </si>
  <si>
    <t>Levy</t>
  </si>
  <si>
    <t>Levy, Florida</t>
  </si>
  <si>
    <t>Liberty</t>
  </si>
  <si>
    <t>Liberty, Florida</t>
  </si>
  <si>
    <t>Madison, Florida</t>
  </si>
  <si>
    <t>Manatee</t>
  </si>
  <si>
    <t>Manatee, Florida</t>
  </si>
  <si>
    <t>Marion, Florida</t>
  </si>
  <si>
    <t>Martin</t>
  </si>
  <si>
    <t>Martin, Florida</t>
  </si>
  <si>
    <t>Miami-Dade</t>
  </si>
  <si>
    <t>Miami-Dade, Florida</t>
  </si>
  <si>
    <t>Monroe, Florida</t>
  </si>
  <si>
    <t>Nassau</t>
  </si>
  <si>
    <t>Nassau, Florida</t>
  </si>
  <si>
    <t>Okaloosa</t>
  </si>
  <si>
    <t>Okaloosa, Florida</t>
  </si>
  <si>
    <t>Okeechobee</t>
  </si>
  <si>
    <t>Okeechobee, Florida</t>
  </si>
  <si>
    <t>Orange, Florida</t>
  </si>
  <si>
    <t>Osceola</t>
  </si>
  <si>
    <t>Osceola, Florida</t>
  </si>
  <si>
    <t>Palm Beach</t>
  </si>
  <si>
    <t>Palm Beach, Florida</t>
  </si>
  <si>
    <t>Pasco</t>
  </si>
  <si>
    <t>Pasco, Florida</t>
  </si>
  <si>
    <t>Pinellas</t>
  </si>
  <si>
    <t>Pinellas, Florida</t>
  </si>
  <si>
    <t>Polk, Florida</t>
  </si>
  <si>
    <t>Putnam</t>
  </si>
  <si>
    <t>Putnam, Florida</t>
  </si>
  <si>
    <t>St. Johns</t>
  </si>
  <si>
    <t>St. Johns, Florida</t>
  </si>
  <si>
    <t>St. Lucie</t>
  </si>
  <si>
    <t>St. Lucie, Florida</t>
  </si>
  <si>
    <t>Santa Rosa</t>
  </si>
  <si>
    <t>Santa Rosa, Florida</t>
  </si>
  <si>
    <t>Sarasota</t>
  </si>
  <si>
    <t>Sarasota, Florida</t>
  </si>
  <si>
    <t>Seminole</t>
  </si>
  <si>
    <t>Seminole, Florida</t>
  </si>
  <si>
    <t>Sumter, Florida</t>
  </si>
  <si>
    <t>Suwannee</t>
  </si>
  <si>
    <t>Suwannee, Florida</t>
  </si>
  <si>
    <t>Taylor</t>
  </si>
  <si>
    <t>Taylor, Florida</t>
  </si>
  <si>
    <t>Union, Florida</t>
  </si>
  <si>
    <t>Volusia</t>
  </si>
  <si>
    <t>Volusia, Florida</t>
  </si>
  <si>
    <t>Wakulla</t>
  </si>
  <si>
    <t>Wakulla, Florida</t>
  </si>
  <si>
    <t>Walton</t>
  </si>
  <si>
    <t>Walton, Florida</t>
  </si>
  <si>
    <t>Washington, Florida</t>
  </si>
  <si>
    <t>Georgia</t>
  </si>
  <si>
    <t>Appling</t>
  </si>
  <si>
    <t>Appling, Georgia</t>
  </si>
  <si>
    <t>Atkinson</t>
  </si>
  <si>
    <t>Atkinson, Georgia</t>
  </si>
  <si>
    <t>Bacon</t>
  </si>
  <si>
    <t>Bacon, Georgia</t>
  </si>
  <si>
    <t>Baker, Georgia</t>
  </si>
  <si>
    <t>Baldwin, Georgia</t>
  </si>
  <si>
    <t>Banks</t>
  </si>
  <si>
    <t>Banks, Georgia</t>
  </si>
  <si>
    <t>Barrow</t>
  </si>
  <si>
    <t>Barrow, Georgia</t>
  </si>
  <si>
    <t>Bartow</t>
  </si>
  <si>
    <t>Bartow, Georgia</t>
  </si>
  <si>
    <t>Ben Hill</t>
  </si>
  <si>
    <t>Ben Hill, Georgia</t>
  </si>
  <si>
    <t>Berrien</t>
  </si>
  <si>
    <t>Berrien, Georgia</t>
  </si>
  <si>
    <t>Bibb, Georgia</t>
  </si>
  <si>
    <t>Bleckley</t>
  </si>
  <si>
    <t>Bleckley, Georgia</t>
  </si>
  <si>
    <t>Brantley</t>
  </si>
  <si>
    <t>Brantley, Georgia</t>
  </si>
  <si>
    <t>Brooks</t>
  </si>
  <si>
    <t>Brooks, Georgia</t>
  </si>
  <si>
    <t>Bryan</t>
  </si>
  <si>
    <t>Bryan, Georgia</t>
  </si>
  <si>
    <t>Bulloch</t>
  </si>
  <si>
    <t>Bulloch, Georgia</t>
  </si>
  <si>
    <t>Burke</t>
  </si>
  <si>
    <t>Burke, Georgia</t>
  </si>
  <si>
    <t>Butts</t>
  </si>
  <si>
    <t>Butts, Georgia</t>
  </si>
  <si>
    <t>Calhoun, Georgia</t>
  </si>
  <si>
    <t>Camden</t>
  </si>
  <si>
    <t>Camden, Georgia</t>
  </si>
  <si>
    <t>Candler</t>
  </si>
  <si>
    <t>Candler, Georgia</t>
  </si>
  <si>
    <t>Carroll, Georgia</t>
  </si>
  <si>
    <t>Catoosa</t>
  </si>
  <si>
    <t>Catoosa, Georgia</t>
  </si>
  <si>
    <t>Charlton</t>
  </si>
  <si>
    <t>Charlton, Georgia</t>
  </si>
  <si>
    <t>Chatham</t>
  </si>
  <si>
    <t>Chatham, Georgia</t>
  </si>
  <si>
    <t>Chattahoochee</t>
  </si>
  <si>
    <t>Chattahoochee, Georgia</t>
  </si>
  <si>
    <t>Chattooga</t>
  </si>
  <si>
    <t>Chattooga, Georgia</t>
  </si>
  <si>
    <t>Cherokee, Georgia</t>
  </si>
  <si>
    <t>Clarke, Georgia</t>
  </si>
  <si>
    <t>Clay, Georgia</t>
  </si>
  <si>
    <t>Clayton</t>
  </si>
  <si>
    <t>Clayton, Georgia</t>
  </si>
  <si>
    <t>Clinch</t>
  </si>
  <si>
    <t>Clinch, Georgia</t>
  </si>
  <si>
    <t>Cobb</t>
  </si>
  <si>
    <t>Cobb, Georgia</t>
  </si>
  <si>
    <t>Coffee, Georgia</t>
  </si>
  <si>
    <t>Colquitt</t>
  </si>
  <si>
    <t>Colquitt, Georgia</t>
  </si>
  <si>
    <t>Columbia, Georgia</t>
  </si>
  <si>
    <t>Cook</t>
  </si>
  <si>
    <t>Cook, Georgia</t>
  </si>
  <si>
    <t>Coweta</t>
  </si>
  <si>
    <t>Coweta, Georgia</t>
  </si>
  <si>
    <t>Crawford, Georgia</t>
  </si>
  <si>
    <t>Crisp</t>
  </si>
  <si>
    <t>Crisp, Georgia</t>
  </si>
  <si>
    <t>Dade</t>
  </si>
  <si>
    <t>Dade, Georgia</t>
  </si>
  <si>
    <t>Dawson</t>
  </si>
  <si>
    <t>Dawson, Georgia</t>
  </si>
  <si>
    <t>Decatur</t>
  </si>
  <si>
    <t>Decatur, Georgia</t>
  </si>
  <si>
    <t>DeKalb, Georgia</t>
  </si>
  <si>
    <t>Dodge</t>
  </si>
  <si>
    <t>Dodge, Georgia</t>
  </si>
  <si>
    <t>Dooly</t>
  </si>
  <si>
    <t>Dooly, Georgia</t>
  </si>
  <si>
    <t>Dougherty</t>
  </si>
  <si>
    <t>Dougherty, Georgia</t>
  </si>
  <si>
    <t>Douglas, Georgia</t>
  </si>
  <si>
    <t>Early</t>
  </si>
  <si>
    <t>Early, Georgia</t>
  </si>
  <si>
    <t>Echols</t>
  </si>
  <si>
    <t>Echols, Georgia</t>
  </si>
  <si>
    <t>Effingham</t>
  </si>
  <si>
    <t>Effingham, Georgia</t>
  </si>
  <si>
    <t>Elbert, Georgia</t>
  </si>
  <si>
    <t>Emanuel</t>
  </si>
  <si>
    <t>Emanuel, Georgia</t>
  </si>
  <si>
    <t>Evans</t>
  </si>
  <si>
    <t>Evans, Georgia</t>
  </si>
  <si>
    <t>Fannin</t>
  </si>
  <si>
    <t>Fannin, Georgia</t>
  </si>
  <si>
    <t>Fayette, Georgia</t>
  </si>
  <si>
    <t>Floyd</t>
  </si>
  <si>
    <t>Floyd, Georgia</t>
  </si>
  <si>
    <t>Forsyth</t>
  </si>
  <si>
    <t>Forsyth, Georgia</t>
  </si>
  <si>
    <t>Franklin, Georgia</t>
  </si>
  <si>
    <t>Fulton, Georgia</t>
  </si>
  <si>
    <t>Gilmer</t>
  </si>
  <si>
    <t>Gilmer, Georgia</t>
  </si>
  <si>
    <t>Glascock</t>
  </si>
  <si>
    <t>Glascock, Georgia</t>
  </si>
  <si>
    <t>Glynn</t>
  </si>
  <si>
    <t>Glynn, Georgia</t>
  </si>
  <si>
    <t>Gordon</t>
  </si>
  <si>
    <t>Gordon, Georgia</t>
  </si>
  <si>
    <t>Grady</t>
  </si>
  <si>
    <t>Grady, Georgia</t>
  </si>
  <si>
    <t>Greene, Georgia</t>
  </si>
  <si>
    <t>Gwinnett</t>
  </si>
  <si>
    <t>Gwinnett, Georgia</t>
  </si>
  <si>
    <t>Habersham</t>
  </si>
  <si>
    <t>Habersham, Georgia</t>
  </si>
  <si>
    <t>Hall</t>
  </si>
  <si>
    <t>Hall, Georgia</t>
  </si>
  <si>
    <t>Hancock</t>
  </si>
  <si>
    <t>Hancock, Georgia</t>
  </si>
  <si>
    <t>Haralson</t>
  </si>
  <si>
    <t>Haralson, Georgia</t>
  </si>
  <si>
    <t>Harris</t>
  </si>
  <si>
    <t>Harris, Georgia</t>
  </si>
  <si>
    <t>Hart</t>
  </si>
  <si>
    <t>Hart, Georgia</t>
  </si>
  <si>
    <t>Heard</t>
  </si>
  <si>
    <t>Heard, Georgia</t>
  </si>
  <si>
    <t>Henry, Georgia</t>
  </si>
  <si>
    <t>Houston, Georgia</t>
  </si>
  <si>
    <t>Irwin</t>
  </si>
  <si>
    <t>Irwin, Georgia</t>
  </si>
  <si>
    <t>Jackson, Georgia</t>
  </si>
  <si>
    <t>Jasper</t>
  </si>
  <si>
    <t>Jasper, Georgia</t>
  </si>
  <si>
    <t>Jeff Davis</t>
  </si>
  <si>
    <t>Jeff Davis, Georgia</t>
  </si>
  <si>
    <t>Jefferson, Georgia</t>
  </si>
  <si>
    <t>Jenkins</t>
  </si>
  <si>
    <t>Jenkins, Georgia</t>
  </si>
  <si>
    <t>Johnson, Georgia</t>
  </si>
  <si>
    <t>Jones</t>
  </si>
  <si>
    <t>Jones, Georgia</t>
  </si>
  <si>
    <t>Lamar, Georgia</t>
  </si>
  <si>
    <t>Lanier</t>
  </si>
  <si>
    <t>Lanier, Georgia</t>
  </si>
  <si>
    <t>Laurens</t>
  </si>
  <si>
    <t>Laurens, Georgia</t>
  </si>
  <si>
    <t>Lee, Georgia</t>
  </si>
  <si>
    <t>Liberty, Georgia</t>
  </si>
  <si>
    <t>Lincoln, Georgia</t>
  </si>
  <si>
    <t>Long</t>
  </si>
  <si>
    <t>Long, Georgia</t>
  </si>
  <si>
    <t>Lowndes, Georgia</t>
  </si>
  <si>
    <t>Lumpkin</t>
  </si>
  <si>
    <t>Lumpkin, Georgia</t>
  </si>
  <si>
    <t>McDuffie</t>
  </si>
  <si>
    <t>McDuffie, Georgia</t>
  </si>
  <si>
    <t>McIntosh</t>
  </si>
  <si>
    <t>McIntosh, Georgia</t>
  </si>
  <si>
    <t>Macon, Georgia</t>
  </si>
  <si>
    <t>Madison, Georgia</t>
  </si>
  <si>
    <t>Marion, Georgia</t>
  </si>
  <si>
    <t>Meriwether</t>
  </si>
  <si>
    <t>Meriwether, Georgia</t>
  </si>
  <si>
    <t>Miller, Georgia</t>
  </si>
  <si>
    <t>Mitchell</t>
  </si>
  <si>
    <t>Mitchell, Georgia</t>
  </si>
  <si>
    <t>Monroe, Georgia</t>
  </si>
  <si>
    <t>Montgomery, Georgia</t>
  </si>
  <si>
    <t>Morgan, Georgia</t>
  </si>
  <si>
    <t>Murray</t>
  </si>
  <si>
    <t>Murray, Georgia</t>
  </si>
  <si>
    <t>Muscogee</t>
  </si>
  <si>
    <t>Muscogee, Georgia</t>
  </si>
  <si>
    <t>Newton, Georgia</t>
  </si>
  <si>
    <t>Oconee</t>
  </si>
  <si>
    <t>Oconee, Georgia</t>
  </si>
  <si>
    <t>Oglethorpe</t>
  </si>
  <si>
    <t>Oglethorpe, Georgia</t>
  </si>
  <si>
    <t>Paulding</t>
  </si>
  <si>
    <t>Paulding, Georgia</t>
  </si>
  <si>
    <t>Peach</t>
  </si>
  <si>
    <t>Peach, Georgia</t>
  </si>
  <si>
    <t>Pickens, Georgia</t>
  </si>
  <si>
    <t>Pierce</t>
  </si>
  <si>
    <t>Pierce, Georgia</t>
  </si>
  <si>
    <t>Pike, Georgia</t>
  </si>
  <si>
    <t>Polk, Georgia</t>
  </si>
  <si>
    <t>Pulaski, Georgia</t>
  </si>
  <si>
    <t>Putnam, Georgia</t>
  </si>
  <si>
    <t>Quitman</t>
  </si>
  <si>
    <t>Quitman, Georgia</t>
  </si>
  <si>
    <t>Rabun</t>
  </si>
  <si>
    <t>Rabun, Georgia</t>
  </si>
  <si>
    <t>Randolph, Georgia</t>
  </si>
  <si>
    <t>Richmond</t>
  </si>
  <si>
    <t>Richmond, Georgia</t>
  </si>
  <si>
    <t>Rockdale</t>
  </si>
  <si>
    <t>Rockdale, Georgia</t>
  </si>
  <si>
    <t>Schley</t>
  </si>
  <si>
    <t>Schley, Georgia</t>
  </si>
  <si>
    <t>Screven</t>
  </si>
  <si>
    <t>Screven, Georgia</t>
  </si>
  <si>
    <t>Seminole, Georgia</t>
  </si>
  <si>
    <t>Spalding</t>
  </si>
  <si>
    <t>Spalding, Georgia</t>
  </si>
  <si>
    <t>Stephens</t>
  </si>
  <si>
    <t>Stephens, Georgia</t>
  </si>
  <si>
    <t>Stewart</t>
  </si>
  <si>
    <t>Stewart, Georgia</t>
  </si>
  <si>
    <t>Sumter, Georgia</t>
  </si>
  <si>
    <t>Talbot</t>
  </si>
  <si>
    <t>Talbot, Georgia</t>
  </si>
  <si>
    <t>Taliaferro</t>
  </si>
  <si>
    <t>Taliaferro, Georgia</t>
  </si>
  <si>
    <t>Tattnall</t>
  </si>
  <si>
    <t>Tattnall, Georgia</t>
  </si>
  <si>
    <t>Taylor, Georgia</t>
  </si>
  <si>
    <t>Telfair</t>
  </si>
  <si>
    <t>Telfair, Georgia</t>
  </si>
  <si>
    <t>Terrell</t>
  </si>
  <si>
    <t>Terrell, Georgia</t>
  </si>
  <si>
    <t>Thomas</t>
  </si>
  <si>
    <t>Thomas, Georgia</t>
  </si>
  <si>
    <t>Tift</t>
  </si>
  <si>
    <t>Tift, Georgia</t>
  </si>
  <si>
    <t>Toombs</t>
  </si>
  <si>
    <t>Toombs, Georgia</t>
  </si>
  <si>
    <t>Towns</t>
  </si>
  <si>
    <t>Towns, Georgia</t>
  </si>
  <si>
    <t>Treutlen</t>
  </si>
  <si>
    <t>Treutlen, Georgia</t>
  </si>
  <si>
    <t>Troup</t>
  </si>
  <si>
    <t>Troup, Georgia</t>
  </si>
  <si>
    <t>Turner</t>
  </si>
  <si>
    <t>Turner, Georgia</t>
  </si>
  <si>
    <t>Twiggs</t>
  </si>
  <si>
    <t>Twiggs, Georgia</t>
  </si>
  <si>
    <t>Union, Georgia</t>
  </si>
  <si>
    <t>Upson</t>
  </si>
  <si>
    <t>Upson, Georgia</t>
  </si>
  <si>
    <t>Walker, Georgia</t>
  </si>
  <si>
    <t>Walton, Georgia</t>
  </si>
  <si>
    <t>Ware</t>
  </si>
  <si>
    <t>Ware, Georgia</t>
  </si>
  <si>
    <t>Warren</t>
  </si>
  <si>
    <t>Warren, Georgia</t>
  </si>
  <si>
    <t>Washington, Georgia</t>
  </si>
  <si>
    <t>Wayne</t>
  </si>
  <si>
    <t>Wayne, Georgia</t>
  </si>
  <si>
    <t>Webster</t>
  </si>
  <si>
    <t>Webster, Georgia</t>
  </si>
  <si>
    <t>Wheeler</t>
  </si>
  <si>
    <t>Wheeler, Georgia</t>
  </si>
  <si>
    <t>White, Georgia</t>
  </si>
  <si>
    <t>Whitfield</t>
  </si>
  <si>
    <t>Whitfield, Georgia</t>
  </si>
  <si>
    <t>Wilcox, Georgia</t>
  </si>
  <si>
    <t>Wilkes</t>
  </si>
  <si>
    <t>Wilkes, Georgia</t>
  </si>
  <si>
    <t>Wilkinson</t>
  </si>
  <si>
    <t>Wilkinson, Georgia</t>
  </si>
  <si>
    <t>Worth</t>
  </si>
  <si>
    <t>Worth, Georgia</t>
  </si>
  <si>
    <t>Hawaii</t>
  </si>
  <si>
    <t>Hawaii, Hawaii</t>
  </si>
  <si>
    <t>Honolulu</t>
  </si>
  <si>
    <t>Honolulu, Hawaii</t>
  </si>
  <si>
    <t>Kalawao</t>
  </si>
  <si>
    <t>Kalawao, Hawaii</t>
  </si>
  <si>
    <t>Kauai</t>
  </si>
  <si>
    <t>Kauai, Hawaii</t>
  </si>
  <si>
    <t>Maui</t>
  </si>
  <si>
    <t>Maui, Hawaii</t>
  </si>
  <si>
    <t>Idaho</t>
  </si>
  <si>
    <t>Ada</t>
  </si>
  <si>
    <t>Ada, Idaho</t>
  </si>
  <si>
    <t>Adams, Idaho</t>
  </si>
  <si>
    <t>Bannock</t>
  </si>
  <si>
    <t>Bannock, Idaho</t>
  </si>
  <si>
    <t>Bear Lake</t>
  </si>
  <si>
    <t>Bear Lake, Idaho</t>
  </si>
  <si>
    <t>Benewah</t>
  </si>
  <si>
    <t>Benewah, Idaho</t>
  </si>
  <si>
    <t>Bingham</t>
  </si>
  <si>
    <t>Bingham, Idaho</t>
  </si>
  <si>
    <t>Blaine</t>
  </si>
  <si>
    <t>Blaine, Idaho</t>
  </si>
  <si>
    <t>Boise</t>
  </si>
  <si>
    <t>Boise, Idaho</t>
  </si>
  <si>
    <t>Bonner</t>
  </si>
  <si>
    <t>Bonner, Idaho</t>
  </si>
  <si>
    <t>Bonneville</t>
  </si>
  <si>
    <t>Bonneville, Idaho</t>
  </si>
  <si>
    <t>Boundary</t>
  </si>
  <si>
    <t>Boundary, Idaho</t>
  </si>
  <si>
    <t>Butte, Idaho</t>
  </si>
  <si>
    <t>Camas</t>
  </si>
  <si>
    <t>Camas, Idaho</t>
  </si>
  <si>
    <t>Canyon</t>
  </si>
  <si>
    <t>Canyon, Idaho</t>
  </si>
  <si>
    <t>Caribou</t>
  </si>
  <si>
    <t>Caribou, Idaho</t>
  </si>
  <si>
    <t>Cassia</t>
  </si>
  <si>
    <t>Cassia, Idaho</t>
  </si>
  <si>
    <t>Clark, Idaho</t>
  </si>
  <si>
    <t>Clearwater</t>
  </si>
  <si>
    <t>Clearwater, Idaho</t>
  </si>
  <si>
    <t>Custer, Idaho</t>
  </si>
  <si>
    <t>Elmore, Idaho</t>
  </si>
  <si>
    <t>Franklin, Idaho</t>
  </si>
  <si>
    <t>Fremont, Idaho</t>
  </si>
  <si>
    <t>Gem</t>
  </si>
  <si>
    <t>Gem, Idaho</t>
  </si>
  <si>
    <t>Gooding</t>
  </si>
  <si>
    <t>Gooding, Idaho</t>
  </si>
  <si>
    <t>Idaho, Idaho</t>
  </si>
  <si>
    <t>Jefferson, Idaho</t>
  </si>
  <si>
    <t>Jerome</t>
  </si>
  <si>
    <t>Jerome, Idaho</t>
  </si>
  <si>
    <t>Kootenai</t>
  </si>
  <si>
    <t>Kootenai, Idaho</t>
  </si>
  <si>
    <t>Latah</t>
  </si>
  <si>
    <t>Latah, Idaho</t>
  </si>
  <si>
    <t>Lemhi</t>
  </si>
  <si>
    <t>Lemhi, Idaho</t>
  </si>
  <si>
    <t>Lewis</t>
  </si>
  <si>
    <t>Lewis, Idaho</t>
  </si>
  <si>
    <t>Lincoln, Idaho</t>
  </si>
  <si>
    <t>Madison, Idaho</t>
  </si>
  <si>
    <t>Minidoka</t>
  </si>
  <si>
    <t>Minidoka, Idaho</t>
  </si>
  <si>
    <t>Nez Perce</t>
  </si>
  <si>
    <t>Nez Perce, Idaho</t>
  </si>
  <si>
    <t>Oneida</t>
  </si>
  <si>
    <t>Oneida, Idaho</t>
  </si>
  <si>
    <t>Owyhee</t>
  </si>
  <si>
    <t>Owyhee, Idaho</t>
  </si>
  <si>
    <t>Payette</t>
  </si>
  <si>
    <t>Payette, Idaho</t>
  </si>
  <si>
    <t>Power</t>
  </si>
  <si>
    <t>Power, Idaho</t>
  </si>
  <si>
    <t>Shoshone</t>
  </si>
  <si>
    <t>Shoshone, Idaho</t>
  </si>
  <si>
    <t>Teton</t>
  </si>
  <si>
    <t>Teton, Idaho</t>
  </si>
  <si>
    <t>Twin Falls</t>
  </si>
  <si>
    <t>Twin Falls, Idaho</t>
  </si>
  <si>
    <t>Valley</t>
  </si>
  <si>
    <t>Valley, Idaho</t>
  </si>
  <si>
    <t>Washington, Idaho</t>
  </si>
  <si>
    <t>Illinois</t>
  </si>
  <si>
    <t>Adams, Illinois</t>
  </si>
  <si>
    <t>Alexander</t>
  </si>
  <si>
    <t>Alexander, Illinois</t>
  </si>
  <si>
    <t>Bond</t>
  </si>
  <si>
    <t>Bond, Illinois</t>
  </si>
  <si>
    <t>Boone, Illinois</t>
  </si>
  <si>
    <t>Brown</t>
  </si>
  <si>
    <t>Brown, Illinois</t>
  </si>
  <si>
    <t>Bureau</t>
  </si>
  <si>
    <t>Bureau, Illinois</t>
  </si>
  <si>
    <t>Calhoun, Illinois</t>
  </si>
  <si>
    <t>Carroll, Illinois</t>
  </si>
  <si>
    <t>Cass</t>
  </si>
  <si>
    <t>Cass, Illinois</t>
  </si>
  <si>
    <t>Champaign</t>
  </si>
  <si>
    <t>Champaign, Illinois</t>
  </si>
  <si>
    <t>Christian</t>
  </si>
  <si>
    <t>Christian, Illinois</t>
  </si>
  <si>
    <t>Clark, Illinois</t>
  </si>
  <si>
    <t>Clay, Illinois</t>
  </si>
  <si>
    <t>Clinton</t>
  </si>
  <si>
    <t>Clinton, Illinois</t>
  </si>
  <si>
    <t>Coles</t>
  </si>
  <si>
    <t>Coles, Illinois</t>
  </si>
  <si>
    <t>Cook, Illinois</t>
  </si>
  <si>
    <t>Crawford, Illinois</t>
  </si>
  <si>
    <t>Cumberland</t>
  </si>
  <si>
    <t>Cumberland, Illinois</t>
  </si>
  <si>
    <t>DeKalb, Illinois</t>
  </si>
  <si>
    <t>De Witt</t>
  </si>
  <si>
    <t>De Witt, Illinois</t>
  </si>
  <si>
    <t>Douglas, Illinois</t>
  </si>
  <si>
    <t>DuPage</t>
  </si>
  <si>
    <t>DuPage, Illinois</t>
  </si>
  <si>
    <t>Edgar</t>
  </si>
  <si>
    <t>Edgar, Illinois</t>
  </si>
  <si>
    <t>Edwards</t>
  </si>
  <si>
    <t>Edwards, Illinois</t>
  </si>
  <si>
    <t>Effingham, Illinois</t>
  </si>
  <si>
    <t>Fayette, Illinois</t>
  </si>
  <si>
    <t>Ford</t>
  </si>
  <si>
    <t>Ford, Illinois</t>
  </si>
  <si>
    <t>Franklin, Illinois</t>
  </si>
  <si>
    <t>Fulton, Illinois</t>
  </si>
  <si>
    <t>Gallatin</t>
  </si>
  <si>
    <t>Gallatin, Illinois</t>
  </si>
  <si>
    <t>Greene, Illinois</t>
  </si>
  <si>
    <t>Grundy</t>
  </si>
  <si>
    <t>Grundy, Illinois</t>
  </si>
  <si>
    <t>Hamilton, Illinois</t>
  </si>
  <si>
    <t>Hancock, Illinois</t>
  </si>
  <si>
    <t>Hardin</t>
  </si>
  <si>
    <t>Hardin, Illinois</t>
  </si>
  <si>
    <t>Henderson</t>
  </si>
  <si>
    <t>Henderson, Illinois</t>
  </si>
  <si>
    <t>Henry, Illinois</t>
  </si>
  <si>
    <t>Iroquois</t>
  </si>
  <si>
    <t>Iroquois, Illinois</t>
  </si>
  <si>
    <t>Jackson, Illinois</t>
  </si>
  <si>
    <t>Jasper, Illinois</t>
  </si>
  <si>
    <t>Jefferson, Illinois</t>
  </si>
  <si>
    <t>Jersey</t>
  </si>
  <si>
    <t>Jersey, Illinois</t>
  </si>
  <si>
    <t>Jo Daviess</t>
  </si>
  <si>
    <t>Jo Daviess, Illinois</t>
  </si>
  <si>
    <t>Johnson, Illinois</t>
  </si>
  <si>
    <t>Kane</t>
  </si>
  <si>
    <t>Kane, Illinois</t>
  </si>
  <si>
    <t>Kankakee</t>
  </si>
  <si>
    <t>Kankakee, Illinois</t>
  </si>
  <si>
    <t>Kendall</t>
  </si>
  <si>
    <t>Kendall, Illinois</t>
  </si>
  <si>
    <t>Knox</t>
  </si>
  <si>
    <t>Knox, Illinois</t>
  </si>
  <si>
    <t>Lake, Illinois</t>
  </si>
  <si>
    <t>LaSalle</t>
  </si>
  <si>
    <t>LaSalle, Illinois</t>
  </si>
  <si>
    <t>Lawrence, Illinois</t>
  </si>
  <si>
    <t>Lee, Illinois</t>
  </si>
  <si>
    <t>Livingston</t>
  </si>
  <si>
    <t>Livingston, Illinois</t>
  </si>
  <si>
    <t>Logan, Illinois</t>
  </si>
  <si>
    <t>McDonough</t>
  </si>
  <si>
    <t>McDonough, Illinois</t>
  </si>
  <si>
    <t>McHenry</t>
  </si>
  <si>
    <t>McHenry, Illinois</t>
  </si>
  <si>
    <t>McLean</t>
  </si>
  <si>
    <t>McLean, Illinois</t>
  </si>
  <si>
    <t>Macon, Illinois</t>
  </si>
  <si>
    <t>Macoupin</t>
  </si>
  <si>
    <t>Macoupin, Illinois</t>
  </si>
  <si>
    <t>Madison, Illinois</t>
  </si>
  <si>
    <t>Marion, Illinois</t>
  </si>
  <si>
    <t>Marshall, Illinois</t>
  </si>
  <si>
    <t>Mason</t>
  </si>
  <si>
    <t>Mason, Illinois</t>
  </si>
  <si>
    <t>Massac</t>
  </si>
  <si>
    <t>Massac, Illinois</t>
  </si>
  <si>
    <t>Menard</t>
  </si>
  <si>
    <t>Menard, Illinois</t>
  </si>
  <si>
    <t>Mercer</t>
  </si>
  <si>
    <t>Mercer, Illinois</t>
  </si>
  <si>
    <t>Monroe, Illinois</t>
  </si>
  <si>
    <t>Montgomery, Illinois</t>
  </si>
  <si>
    <t>Morgan, Illinois</t>
  </si>
  <si>
    <t>Moultrie</t>
  </si>
  <si>
    <t>Moultrie, Illinois</t>
  </si>
  <si>
    <t>Ogle</t>
  </si>
  <si>
    <t>Ogle, Illinois</t>
  </si>
  <si>
    <t>Peoria</t>
  </si>
  <si>
    <t>Peoria, Illinois</t>
  </si>
  <si>
    <t>Perry, Illinois</t>
  </si>
  <si>
    <t>Piatt</t>
  </si>
  <si>
    <t>Piatt, Illinois</t>
  </si>
  <si>
    <t>Pike, Illinois</t>
  </si>
  <si>
    <t>Pope, Illinois</t>
  </si>
  <si>
    <t>Pulaski, Illinois</t>
  </si>
  <si>
    <t>Putnam, Illinois</t>
  </si>
  <si>
    <t>Randolph, Illinois</t>
  </si>
  <si>
    <t>Richland</t>
  </si>
  <si>
    <t>Richland, Illinois</t>
  </si>
  <si>
    <t>Rock Island</t>
  </si>
  <si>
    <t>Rock Island, Illinois</t>
  </si>
  <si>
    <t>St. Clair, Illinois</t>
  </si>
  <si>
    <t>Saline, Illinois</t>
  </si>
  <si>
    <t>Sangamon</t>
  </si>
  <si>
    <t>Sangamon, Illinois</t>
  </si>
  <si>
    <t>Schuyler</t>
  </si>
  <si>
    <t>Schuyler, Illinois</t>
  </si>
  <si>
    <t>Scott, Illinois</t>
  </si>
  <si>
    <t>Shelby, Illinois</t>
  </si>
  <si>
    <t>Stark</t>
  </si>
  <si>
    <t>Stark, Illinois</t>
  </si>
  <si>
    <t>Stephenson</t>
  </si>
  <si>
    <t>Stephenson, Illinois</t>
  </si>
  <si>
    <t>Tazewell</t>
  </si>
  <si>
    <t>Tazewell, Illinois</t>
  </si>
  <si>
    <t>Union, Illinois</t>
  </si>
  <si>
    <t>Vermilion</t>
  </si>
  <si>
    <t>Vermilion, Illinois</t>
  </si>
  <si>
    <t>Wabash</t>
  </si>
  <si>
    <t>Wabash, Illinois</t>
  </si>
  <si>
    <t>Warren, Illinois</t>
  </si>
  <si>
    <t>Washington, Illinois</t>
  </si>
  <si>
    <t>Wayne, Illinois</t>
  </si>
  <si>
    <t>White, Illinois</t>
  </si>
  <si>
    <t>Whiteside</t>
  </si>
  <si>
    <t>Whiteside, Illinois</t>
  </si>
  <si>
    <t>Will</t>
  </si>
  <si>
    <t>Will, Illinois</t>
  </si>
  <si>
    <t>Williamson</t>
  </si>
  <si>
    <t>Williamson, Illinois</t>
  </si>
  <si>
    <t>Winnebago</t>
  </si>
  <si>
    <t>Winnebago, Illinois</t>
  </si>
  <si>
    <t>Woodford</t>
  </si>
  <si>
    <t>Woodford, Illinois</t>
  </si>
  <si>
    <t>Indiana</t>
  </si>
  <si>
    <t>Adams, Indiana</t>
  </si>
  <si>
    <t>Allen</t>
  </si>
  <si>
    <t>Allen, Indiana</t>
  </si>
  <si>
    <t>Bartholomew</t>
  </si>
  <si>
    <t>Bartholomew, Indiana</t>
  </si>
  <si>
    <t>Benton, Indiana</t>
  </si>
  <si>
    <t>Blackford</t>
  </si>
  <si>
    <t>Blackford, Indiana</t>
  </si>
  <si>
    <t>Boone, Indiana</t>
  </si>
  <si>
    <t>Brown, Indiana</t>
  </si>
  <si>
    <t>Carroll, Indiana</t>
  </si>
  <si>
    <t>Cass, Indiana</t>
  </si>
  <si>
    <t>Clark, Indiana</t>
  </si>
  <si>
    <t>Clay, Indiana</t>
  </si>
  <si>
    <t>Clinton, Indiana</t>
  </si>
  <si>
    <t>Crawford, Indiana</t>
  </si>
  <si>
    <t>Daviess</t>
  </si>
  <si>
    <t>Daviess, Indiana</t>
  </si>
  <si>
    <t>Dearborn</t>
  </si>
  <si>
    <t>Dearborn, Indiana</t>
  </si>
  <si>
    <t>Decatur, Indiana</t>
  </si>
  <si>
    <t>DeKalb, Indiana</t>
  </si>
  <si>
    <t>Delaware, Indiana</t>
  </si>
  <si>
    <t>Dubois</t>
  </si>
  <si>
    <t>Dubois, Indiana</t>
  </si>
  <si>
    <t>Elkhart</t>
  </si>
  <si>
    <t>Elkhart, Indiana</t>
  </si>
  <si>
    <t>Fayette, Indiana</t>
  </si>
  <si>
    <t>Floyd, Indiana</t>
  </si>
  <si>
    <t>Fountain</t>
  </si>
  <si>
    <t>Fountain, Indiana</t>
  </si>
  <si>
    <t>Franklin, Indiana</t>
  </si>
  <si>
    <t>Fulton, Indiana</t>
  </si>
  <si>
    <t>Gibson</t>
  </si>
  <si>
    <t>Gibson, Indiana</t>
  </si>
  <si>
    <t>Grant, Indiana</t>
  </si>
  <si>
    <t>Greene, Indiana</t>
  </si>
  <si>
    <t>Hamilton, Indiana</t>
  </si>
  <si>
    <t>Hancock, Indiana</t>
  </si>
  <si>
    <t>Harrison</t>
  </si>
  <si>
    <t>Harrison, Indiana</t>
  </si>
  <si>
    <t>Hendricks</t>
  </si>
  <si>
    <t>Hendricks, Indiana</t>
  </si>
  <si>
    <t>Henry, Indiana</t>
  </si>
  <si>
    <t>Howard, Indiana</t>
  </si>
  <si>
    <t>Huntington</t>
  </si>
  <si>
    <t>Huntington, Indiana</t>
  </si>
  <si>
    <t>Jackson, Indiana</t>
  </si>
  <si>
    <t>Jasper, Indiana</t>
  </si>
  <si>
    <t>Jay</t>
  </si>
  <si>
    <t>Jay, Indiana</t>
  </si>
  <si>
    <t>Jefferson, Indiana</t>
  </si>
  <si>
    <t>Jennings</t>
  </si>
  <si>
    <t>Jennings, Indiana</t>
  </si>
  <si>
    <t>Johnson, Indiana</t>
  </si>
  <si>
    <t>Knox, Indiana</t>
  </si>
  <si>
    <t>Kosciusko</t>
  </si>
  <si>
    <t>Kosciusko, Indiana</t>
  </si>
  <si>
    <t>Lagrange</t>
  </si>
  <si>
    <t>Lagrange, Indiana</t>
  </si>
  <si>
    <t>Lake, Indiana</t>
  </si>
  <si>
    <t>LaPorte</t>
  </si>
  <si>
    <t>LaPorte, Indiana</t>
  </si>
  <si>
    <t>Lawrence, Indiana</t>
  </si>
  <si>
    <t>Madison, Indiana</t>
  </si>
  <si>
    <t>Marion, Indiana</t>
  </si>
  <si>
    <t>Marshall, Indiana</t>
  </si>
  <si>
    <t>Martin, Indiana</t>
  </si>
  <si>
    <t>Miami</t>
  </si>
  <si>
    <t>Miami, Indiana</t>
  </si>
  <si>
    <t>Monroe, Indiana</t>
  </si>
  <si>
    <t>Montgomery, Indiana</t>
  </si>
  <si>
    <t>Morgan, Indiana</t>
  </si>
  <si>
    <t>Newton, Indiana</t>
  </si>
  <si>
    <t>Noble</t>
  </si>
  <si>
    <t>Noble, Indiana</t>
  </si>
  <si>
    <t>Ohio</t>
  </si>
  <si>
    <t>Ohio, Indiana</t>
  </si>
  <si>
    <t>Orange, Indiana</t>
  </si>
  <si>
    <t>Owen</t>
  </si>
  <si>
    <t>Owen, Indiana</t>
  </si>
  <si>
    <t>Parke</t>
  </si>
  <si>
    <t>Parke, Indiana</t>
  </si>
  <si>
    <t>Perry, Indiana</t>
  </si>
  <si>
    <t>Pike, Indiana</t>
  </si>
  <si>
    <t>Porter</t>
  </si>
  <si>
    <t>Porter, Indiana</t>
  </si>
  <si>
    <t>Posey</t>
  </si>
  <si>
    <t>Posey, Indiana</t>
  </si>
  <si>
    <t>Pulaski, Indiana</t>
  </si>
  <si>
    <t>Putnam, Indiana</t>
  </si>
  <si>
    <t>Randolph, Indiana</t>
  </si>
  <si>
    <t>Ripley</t>
  </si>
  <si>
    <t>Ripley, Indiana</t>
  </si>
  <si>
    <t>Rush</t>
  </si>
  <si>
    <t>Rush, Indiana</t>
  </si>
  <si>
    <t>St. Joseph</t>
  </si>
  <si>
    <t>St. Joseph, Indiana</t>
  </si>
  <si>
    <t>Scott, Indiana</t>
  </si>
  <si>
    <t>Shelby, Indiana</t>
  </si>
  <si>
    <t>Spencer</t>
  </si>
  <si>
    <t>Spencer, Indiana</t>
  </si>
  <si>
    <t>Starke</t>
  </si>
  <si>
    <t>Starke, Indiana</t>
  </si>
  <si>
    <t>Steuben</t>
  </si>
  <si>
    <t>Steuben, Indiana</t>
  </si>
  <si>
    <t>Sullivan</t>
  </si>
  <si>
    <t>Sullivan, Indiana</t>
  </si>
  <si>
    <t>Switzerland</t>
  </si>
  <si>
    <t>Switzerland, Indiana</t>
  </si>
  <si>
    <t>Tippecanoe</t>
  </si>
  <si>
    <t>Tippecanoe, Indiana</t>
  </si>
  <si>
    <t>Tipton</t>
  </si>
  <si>
    <t>Tipton, Indiana</t>
  </si>
  <si>
    <t>Union, Indiana</t>
  </si>
  <si>
    <t>Vanderburgh</t>
  </si>
  <si>
    <t>Vanderburgh, Indiana</t>
  </si>
  <si>
    <t>Vermillion</t>
  </si>
  <si>
    <t>Vermillion, Indiana</t>
  </si>
  <si>
    <t>Vigo</t>
  </si>
  <si>
    <t>Vigo, Indiana</t>
  </si>
  <si>
    <t>Wabash, Indiana</t>
  </si>
  <si>
    <t>Warren, Indiana</t>
  </si>
  <si>
    <t>Warrick</t>
  </si>
  <si>
    <t>Warrick, Indiana</t>
  </si>
  <si>
    <t>Washington, Indiana</t>
  </si>
  <si>
    <t>Wayne, Indiana</t>
  </si>
  <si>
    <t>Wells</t>
  </si>
  <si>
    <t>Wells, Indiana</t>
  </si>
  <si>
    <t>White, Indiana</t>
  </si>
  <si>
    <t>Whitley</t>
  </si>
  <si>
    <t>Whitley, Indiana</t>
  </si>
  <si>
    <t>Iowa</t>
  </si>
  <si>
    <t>Adair</t>
  </si>
  <si>
    <t>Adair, Iowa</t>
  </si>
  <si>
    <t>Adams, Iowa</t>
  </si>
  <si>
    <t>Allamakee</t>
  </si>
  <si>
    <t>Allamakee, Iowa</t>
  </si>
  <si>
    <t>Appanoose</t>
  </si>
  <si>
    <t>Appanoose, Iowa</t>
  </si>
  <si>
    <t>Audubon</t>
  </si>
  <si>
    <t>Audubon, Iowa</t>
  </si>
  <si>
    <t>Benton, Iowa</t>
  </si>
  <si>
    <t>Black Hawk</t>
  </si>
  <si>
    <t>Black Hawk, Iowa</t>
  </si>
  <si>
    <t>Boone, Iowa</t>
  </si>
  <si>
    <t>Bremer</t>
  </si>
  <si>
    <t>Bremer, Iowa</t>
  </si>
  <si>
    <t>Buchanan</t>
  </si>
  <si>
    <t>Buchanan, Iowa</t>
  </si>
  <si>
    <t>Buena Vista</t>
  </si>
  <si>
    <t>Buena Vista, Iowa</t>
  </si>
  <si>
    <t>Butler, Iowa</t>
  </si>
  <si>
    <t>Calhoun, Iowa</t>
  </si>
  <si>
    <t>Carroll, Iowa</t>
  </si>
  <si>
    <t>Cass, Iowa</t>
  </si>
  <si>
    <t>Cedar</t>
  </si>
  <si>
    <t>Cedar, Iowa</t>
  </si>
  <si>
    <t>Cerro Gordo</t>
  </si>
  <si>
    <t>Cerro Gordo, Iowa</t>
  </si>
  <si>
    <t>Cherokee, Iowa</t>
  </si>
  <si>
    <t>Chickasaw</t>
  </si>
  <si>
    <t>Chickasaw, Iowa</t>
  </si>
  <si>
    <t>Clarke, Iowa</t>
  </si>
  <si>
    <t>Clay, Iowa</t>
  </si>
  <si>
    <t>Clayton, Iowa</t>
  </si>
  <si>
    <t>Clinton, Iowa</t>
  </si>
  <si>
    <t>Crawford, Iowa</t>
  </si>
  <si>
    <t>Dallas, Iowa</t>
  </si>
  <si>
    <t>Davis</t>
  </si>
  <si>
    <t>Davis, Iowa</t>
  </si>
  <si>
    <t>Decatur, Iowa</t>
  </si>
  <si>
    <t>Delaware, Iowa</t>
  </si>
  <si>
    <t>Des Moines</t>
  </si>
  <si>
    <t>Des Moines, Iowa</t>
  </si>
  <si>
    <t>Dickinson</t>
  </si>
  <si>
    <t>Dickinson, Iowa</t>
  </si>
  <si>
    <t>Dubuque</t>
  </si>
  <si>
    <t>Dubuque, Iowa</t>
  </si>
  <si>
    <t>Emmet</t>
  </si>
  <si>
    <t>Emmet, Iowa</t>
  </si>
  <si>
    <t>Fayette, Iowa</t>
  </si>
  <si>
    <t>Floyd, Iowa</t>
  </si>
  <si>
    <t>Franklin, Iowa</t>
  </si>
  <si>
    <t>Fremont, Iowa</t>
  </si>
  <si>
    <t>Greene, Iowa</t>
  </si>
  <si>
    <t>Grundy, Iowa</t>
  </si>
  <si>
    <t>Guthrie</t>
  </si>
  <si>
    <t>Guthrie, Iowa</t>
  </si>
  <si>
    <t>Hamilton, Iowa</t>
  </si>
  <si>
    <t>Hancock, Iowa</t>
  </si>
  <si>
    <t>Hardin, Iowa</t>
  </si>
  <si>
    <t>Harrison, Iowa</t>
  </si>
  <si>
    <t>Henry, Iowa</t>
  </si>
  <si>
    <t>Howard, Iowa</t>
  </si>
  <si>
    <t>Humboldt, Iowa</t>
  </si>
  <si>
    <t>Ida</t>
  </si>
  <si>
    <t>Ida, Iowa</t>
  </si>
  <si>
    <t>Iowa, Iowa</t>
  </si>
  <si>
    <t>Jackson, Iowa</t>
  </si>
  <si>
    <t>Jasper, Iowa</t>
  </si>
  <si>
    <t>Jefferson, Iowa</t>
  </si>
  <si>
    <t>Johnson, Iowa</t>
  </si>
  <si>
    <t>Jones, Iowa</t>
  </si>
  <si>
    <t>Keokuk</t>
  </si>
  <si>
    <t>Keokuk, Iowa</t>
  </si>
  <si>
    <t>Kossuth</t>
  </si>
  <si>
    <t>Kossuth, Iowa</t>
  </si>
  <si>
    <t>Lee, Iowa</t>
  </si>
  <si>
    <t>Linn</t>
  </si>
  <si>
    <t>Linn, Iowa</t>
  </si>
  <si>
    <t>Louisa</t>
  </si>
  <si>
    <t>Louisa, Iowa</t>
  </si>
  <si>
    <t>Lucas</t>
  </si>
  <si>
    <t>Lucas, Iowa</t>
  </si>
  <si>
    <t>Lyon</t>
  </si>
  <si>
    <t>Lyon, Iowa</t>
  </si>
  <si>
    <t>Madison, Iowa</t>
  </si>
  <si>
    <t>Mahaska</t>
  </si>
  <si>
    <t>Mahaska, Iowa</t>
  </si>
  <si>
    <t>Marion, Iowa</t>
  </si>
  <si>
    <t>Marshall, Iowa</t>
  </si>
  <si>
    <t>Mills</t>
  </si>
  <si>
    <t>Mills, Iowa</t>
  </si>
  <si>
    <t>Mitchell, Iowa</t>
  </si>
  <si>
    <t>Monona</t>
  </si>
  <si>
    <t>Monona, Iowa</t>
  </si>
  <si>
    <t>Monroe, Iowa</t>
  </si>
  <si>
    <t>Montgomery, Iowa</t>
  </si>
  <si>
    <t>Muscatine</t>
  </si>
  <si>
    <t>Muscatine, Iowa</t>
  </si>
  <si>
    <t>O'Brien</t>
  </si>
  <si>
    <t>O'Brien, Iowa</t>
  </si>
  <si>
    <t>Osceola, Iowa</t>
  </si>
  <si>
    <t>Page</t>
  </si>
  <si>
    <t>Page, Iowa</t>
  </si>
  <si>
    <t>Palo Alto</t>
  </si>
  <si>
    <t>Palo Alto, Iowa</t>
  </si>
  <si>
    <t>Plymouth</t>
  </si>
  <si>
    <t>Plymouth, Iowa</t>
  </si>
  <si>
    <t>Pocahontas</t>
  </si>
  <si>
    <t>Pocahontas, Iowa</t>
  </si>
  <si>
    <t>Polk, Iowa</t>
  </si>
  <si>
    <t>Pottawattamie</t>
  </si>
  <si>
    <t>Pottawattamie, Iowa</t>
  </si>
  <si>
    <t>Poweshiek</t>
  </si>
  <si>
    <t>Poweshiek, Iowa</t>
  </si>
  <si>
    <t>Ringgold</t>
  </si>
  <si>
    <t>Ringgold, Iowa</t>
  </si>
  <si>
    <t>Sac</t>
  </si>
  <si>
    <t>Sac, Iowa</t>
  </si>
  <si>
    <t>Scott, Iowa</t>
  </si>
  <si>
    <t>Shelby, Iowa</t>
  </si>
  <si>
    <t>Sioux</t>
  </si>
  <si>
    <t>Sioux, Iowa</t>
  </si>
  <si>
    <t>Story</t>
  </si>
  <si>
    <t>Story, Iowa</t>
  </si>
  <si>
    <t>Tama</t>
  </si>
  <si>
    <t>Tama, Iowa</t>
  </si>
  <si>
    <t>Taylor, Iowa</t>
  </si>
  <si>
    <t>Union, Iowa</t>
  </si>
  <si>
    <t>Van Buren, Iowa</t>
  </si>
  <si>
    <t>Wapello</t>
  </si>
  <si>
    <t>Wapello, Iowa</t>
  </si>
  <si>
    <t>Warren, Iowa</t>
  </si>
  <si>
    <t>Washington, Iowa</t>
  </si>
  <si>
    <t>Wayne, Iowa</t>
  </si>
  <si>
    <t>Webster, Iowa</t>
  </si>
  <si>
    <t>Winnebago, Iowa</t>
  </si>
  <si>
    <t>Winneshiek</t>
  </si>
  <si>
    <t>Winneshiek, Iowa</t>
  </si>
  <si>
    <t>Woodbury</t>
  </si>
  <si>
    <t>Woodbury, Iowa</t>
  </si>
  <si>
    <t>Worth, Iowa</t>
  </si>
  <si>
    <t>Wright</t>
  </si>
  <si>
    <t>Wright, Iowa</t>
  </si>
  <si>
    <t>Kansas</t>
  </si>
  <si>
    <t>Allen, Kansas</t>
  </si>
  <si>
    <t>Anderson</t>
  </si>
  <si>
    <t>Anderson, Kansas</t>
  </si>
  <si>
    <t>Atchison</t>
  </si>
  <si>
    <t>Atchison, Kansas</t>
  </si>
  <si>
    <t>Barber</t>
  </si>
  <si>
    <t>Barber, Kansas</t>
  </si>
  <si>
    <t>Barton</t>
  </si>
  <si>
    <t>Barton, Kansas</t>
  </si>
  <si>
    <t>Bourbon</t>
  </si>
  <si>
    <t>Bourbon, Kansas</t>
  </si>
  <si>
    <t>Brown, Kansas</t>
  </si>
  <si>
    <t>Butler, Kansas</t>
  </si>
  <si>
    <t>Chase</t>
  </si>
  <si>
    <t>Chase, Kansas</t>
  </si>
  <si>
    <t>Chautauqua</t>
  </si>
  <si>
    <t>Chautauqua, Kansas</t>
  </si>
  <si>
    <t>Cherokee, Kansas</t>
  </si>
  <si>
    <t>Cheyenne, Kansas</t>
  </si>
  <si>
    <t>Clark, Kansas</t>
  </si>
  <si>
    <t>Clay, Kansas</t>
  </si>
  <si>
    <t>Cloud</t>
  </si>
  <si>
    <t>Cloud, Kansas</t>
  </si>
  <si>
    <t>Coffey</t>
  </si>
  <si>
    <t>Coffey, Kansas</t>
  </si>
  <si>
    <t>Comanche</t>
  </si>
  <si>
    <t>Comanche, Kansas</t>
  </si>
  <si>
    <t>Cowley</t>
  </si>
  <si>
    <t>Cowley, Kansas</t>
  </si>
  <si>
    <t>Crawford, Kansas</t>
  </si>
  <si>
    <t>Decatur, Kansas</t>
  </si>
  <si>
    <t>Dickinson, Kansas</t>
  </si>
  <si>
    <t>Doniphan</t>
  </si>
  <si>
    <t>Doniphan, Kansas</t>
  </si>
  <si>
    <t>Douglas, Kansas</t>
  </si>
  <si>
    <t>Edwards, Kansas</t>
  </si>
  <si>
    <t>Elk</t>
  </si>
  <si>
    <t>Elk, Kansas</t>
  </si>
  <si>
    <t>Ellis</t>
  </si>
  <si>
    <t>Ellis, Kansas</t>
  </si>
  <si>
    <t>Ellsworth</t>
  </si>
  <si>
    <t>Ellsworth, Kansas</t>
  </si>
  <si>
    <t>Finney</t>
  </si>
  <si>
    <t>Finney, Kansas</t>
  </si>
  <si>
    <t>Ford, Kansas</t>
  </si>
  <si>
    <t>Franklin, Kansas</t>
  </si>
  <si>
    <t>Geary</t>
  </si>
  <si>
    <t>Geary, Kansas</t>
  </si>
  <si>
    <t>Gove</t>
  </si>
  <si>
    <t>Gove, Kansas</t>
  </si>
  <si>
    <t>Graham, Kansas</t>
  </si>
  <si>
    <t>Grant, Kansas</t>
  </si>
  <si>
    <t>Gray</t>
  </si>
  <si>
    <t>Gray, Kansas</t>
  </si>
  <si>
    <t>Greeley</t>
  </si>
  <si>
    <t>Greeley, Kansas</t>
  </si>
  <si>
    <t>Greenwood</t>
  </si>
  <si>
    <t>Greenwood, Kansas</t>
  </si>
  <si>
    <t>Hamilton, Kansas</t>
  </si>
  <si>
    <t>Harper</t>
  </si>
  <si>
    <t>Harper, Kansas</t>
  </si>
  <si>
    <t>Harvey</t>
  </si>
  <si>
    <t>Harvey, Kansas</t>
  </si>
  <si>
    <t>Haskell</t>
  </si>
  <si>
    <t>Haskell, Kansas</t>
  </si>
  <si>
    <t>Hodgeman</t>
  </si>
  <si>
    <t>Hodgeman, Kansas</t>
  </si>
  <si>
    <t>Jackson, Kansas</t>
  </si>
  <si>
    <t>Jefferson, Kansas</t>
  </si>
  <si>
    <t>Jewell</t>
  </si>
  <si>
    <t>Jewell, Kansas</t>
  </si>
  <si>
    <t>Johnson, Kansas</t>
  </si>
  <si>
    <t>Kearny</t>
  </si>
  <si>
    <t>Kearny, Kansas</t>
  </si>
  <si>
    <t>Kingman</t>
  </si>
  <si>
    <t>Kingman, Kansas</t>
  </si>
  <si>
    <t>Kiowa, Kansas</t>
  </si>
  <si>
    <t>Labette</t>
  </si>
  <si>
    <t>Labette, Kansas</t>
  </si>
  <si>
    <t>Lane</t>
  </si>
  <si>
    <t>Lane, Kansas</t>
  </si>
  <si>
    <t>Leavenworth</t>
  </si>
  <si>
    <t>Leavenworth, Kansas</t>
  </si>
  <si>
    <t>Lincoln, Kansas</t>
  </si>
  <si>
    <t>Linn, Kansas</t>
  </si>
  <si>
    <t>Logan, Kansas</t>
  </si>
  <si>
    <t>Lyon, Kansas</t>
  </si>
  <si>
    <t>McPherson</t>
  </si>
  <si>
    <t>McPherson, Kansas</t>
  </si>
  <si>
    <t>Marion, Kansas</t>
  </si>
  <si>
    <t>Marshall, Kansas</t>
  </si>
  <si>
    <t>Meade</t>
  </si>
  <si>
    <t>Meade, Kansas</t>
  </si>
  <si>
    <t>Miami, Kansas</t>
  </si>
  <si>
    <t>Mitchell, Kansas</t>
  </si>
  <si>
    <t>Montgomery, Kansas</t>
  </si>
  <si>
    <t>Morris</t>
  </si>
  <si>
    <t>Morris, Kansas</t>
  </si>
  <si>
    <t>Morton</t>
  </si>
  <si>
    <t>Morton, Kansas</t>
  </si>
  <si>
    <t>Nemaha</t>
  </si>
  <si>
    <t>Nemaha, Kansas</t>
  </si>
  <si>
    <t>Neosho</t>
  </si>
  <si>
    <t>Neosho, Kansas</t>
  </si>
  <si>
    <t>Ness</t>
  </si>
  <si>
    <t>Ness, Kansas</t>
  </si>
  <si>
    <t>Norton</t>
  </si>
  <si>
    <t>Norton, Kansas</t>
  </si>
  <si>
    <t>Osage</t>
  </si>
  <si>
    <t>Osage, Kansas</t>
  </si>
  <si>
    <t>Osborne</t>
  </si>
  <si>
    <t>Osborne, Kansas</t>
  </si>
  <si>
    <t>Ottawa</t>
  </si>
  <si>
    <t>Ottawa, Kansas</t>
  </si>
  <si>
    <t>Pawnee</t>
  </si>
  <si>
    <t>Pawnee, Kansas</t>
  </si>
  <si>
    <t>Phillips, Kansas</t>
  </si>
  <si>
    <t>Pottawatomie</t>
  </si>
  <si>
    <t>Pottawatomie, Kansas</t>
  </si>
  <si>
    <t>Pratt</t>
  </si>
  <si>
    <t>Pratt, Kansas</t>
  </si>
  <si>
    <t>Rawlins</t>
  </si>
  <si>
    <t>Rawlins, Kansas</t>
  </si>
  <si>
    <t>Reno</t>
  </si>
  <si>
    <t>Reno, Kansas</t>
  </si>
  <si>
    <t>Republic</t>
  </si>
  <si>
    <t>Republic, Kansas</t>
  </si>
  <si>
    <t>Rice</t>
  </si>
  <si>
    <t>Rice, Kansas</t>
  </si>
  <si>
    <t>Riley</t>
  </si>
  <si>
    <t>Riley, Kansas</t>
  </si>
  <si>
    <t>Rooks</t>
  </si>
  <si>
    <t>Rooks, Kansas</t>
  </si>
  <si>
    <t>Rush, Kansas</t>
  </si>
  <si>
    <t>Russell, Kansas</t>
  </si>
  <si>
    <t>Saline, Kansas</t>
  </si>
  <si>
    <t>Scott, Kansas</t>
  </si>
  <si>
    <t>Sedgwick, Kansas</t>
  </si>
  <si>
    <t>Seward</t>
  </si>
  <si>
    <t>Seward, Kansas</t>
  </si>
  <si>
    <t>Shawnee</t>
  </si>
  <si>
    <t>Shawnee, Kansas</t>
  </si>
  <si>
    <t>Sheridan</t>
  </si>
  <si>
    <t>Sheridan, Kansas</t>
  </si>
  <si>
    <t>Sherman</t>
  </si>
  <si>
    <t>Sherman, Kansas</t>
  </si>
  <si>
    <t>Smith</t>
  </si>
  <si>
    <t>Smith, Kansas</t>
  </si>
  <si>
    <t>Stafford</t>
  </si>
  <si>
    <t>Stafford, Kansas</t>
  </si>
  <si>
    <t>Stanton</t>
  </si>
  <si>
    <t>Stanton, Kansas</t>
  </si>
  <si>
    <t>Stevens</t>
  </si>
  <si>
    <t>Stevens, Kansas</t>
  </si>
  <si>
    <t>Sumner</t>
  </si>
  <si>
    <t>Sumner, Kansas</t>
  </si>
  <si>
    <t>Thomas, Kansas</t>
  </si>
  <si>
    <t>Trego</t>
  </si>
  <si>
    <t>Trego, Kansas</t>
  </si>
  <si>
    <t>Wabaunsee</t>
  </si>
  <si>
    <t>Wabaunsee, Kansas</t>
  </si>
  <si>
    <t>Wallace</t>
  </si>
  <si>
    <t>Wallace, Kansas</t>
  </si>
  <si>
    <t>Washington, Kansas</t>
  </si>
  <si>
    <t>Wichita</t>
  </si>
  <si>
    <t>Wichita, Kansas</t>
  </si>
  <si>
    <t>Wilson</t>
  </si>
  <si>
    <t>Wilson, Kansas</t>
  </si>
  <si>
    <t>Woodson</t>
  </si>
  <si>
    <t>Woodson, Kansas</t>
  </si>
  <si>
    <t>Wyandotte</t>
  </si>
  <si>
    <t>Wyandotte, Kansas</t>
  </si>
  <si>
    <t>Kentucky</t>
  </si>
  <si>
    <t>Adair, Kentucky</t>
  </si>
  <si>
    <t>Allen, Kentucky</t>
  </si>
  <si>
    <t>Anderson, Kentucky</t>
  </si>
  <si>
    <t>Ballard</t>
  </si>
  <si>
    <t>Ballard, Kentucky</t>
  </si>
  <si>
    <t>Barren</t>
  </si>
  <si>
    <t>Barren, Kentucky</t>
  </si>
  <si>
    <t>Bath</t>
  </si>
  <si>
    <t>Bath, Kentucky</t>
  </si>
  <si>
    <t>Bell</t>
  </si>
  <si>
    <t>Bell, Kentucky</t>
  </si>
  <si>
    <t>Boone, Kentucky</t>
  </si>
  <si>
    <t>Bourbon, Kentucky</t>
  </si>
  <si>
    <t>Boyd</t>
  </si>
  <si>
    <t>Boyd, Kentucky</t>
  </si>
  <si>
    <t>Boyle</t>
  </si>
  <si>
    <t>Boyle, Kentucky</t>
  </si>
  <si>
    <t>Bracken</t>
  </si>
  <si>
    <t>Bracken, Kentucky</t>
  </si>
  <si>
    <t>Breathitt</t>
  </si>
  <si>
    <t>Breathitt, Kentucky</t>
  </si>
  <si>
    <t>Breckinridge</t>
  </si>
  <si>
    <t>Breckinridge, Kentucky</t>
  </si>
  <si>
    <t>Bullitt</t>
  </si>
  <si>
    <t>Bullitt, Kentucky</t>
  </si>
  <si>
    <t>Butler, Kentucky</t>
  </si>
  <si>
    <t>Caldwell</t>
  </si>
  <si>
    <t>Caldwell, Kentucky</t>
  </si>
  <si>
    <t>Calloway</t>
  </si>
  <si>
    <t>Calloway, Kentucky</t>
  </si>
  <si>
    <t>Campbell</t>
  </si>
  <si>
    <t>Campbell, Kentucky</t>
  </si>
  <si>
    <t>Carlisle</t>
  </si>
  <si>
    <t>Carlisle, Kentucky</t>
  </si>
  <si>
    <t>Carroll, Kentucky</t>
  </si>
  <si>
    <t>Carter</t>
  </si>
  <si>
    <t>Carter, Kentucky</t>
  </si>
  <si>
    <t>Casey</t>
  </si>
  <si>
    <t>Casey, Kentucky</t>
  </si>
  <si>
    <t>Christian, Kentucky</t>
  </si>
  <si>
    <t>Clark, Kentucky</t>
  </si>
  <si>
    <t>Clay, Kentucky</t>
  </si>
  <si>
    <t>Clinton, Kentucky</t>
  </si>
  <si>
    <t>Crittenden, Kentucky</t>
  </si>
  <si>
    <t>Cumberland, Kentucky</t>
  </si>
  <si>
    <t>Daviess, Kentucky</t>
  </si>
  <si>
    <t>Edmonson</t>
  </si>
  <si>
    <t>Edmonson, Kentucky</t>
  </si>
  <si>
    <t>Elliott</t>
  </si>
  <si>
    <t>Elliott, Kentucky</t>
  </si>
  <si>
    <t>Estill</t>
  </si>
  <si>
    <t>Estill, Kentucky</t>
  </si>
  <si>
    <t>Fayette, Kentucky</t>
  </si>
  <si>
    <t>Fleming</t>
  </si>
  <si>
    <t>Fleming, Kentucky</t>
  </si>
  <si>
    <t>Floyd, Kentucky</t>
  </si>
  <si>
    <t>Franklin, Kentucky</t>
  </si>
  <si>
    <t>Fulton, Kentucky</t>
  </si>
  <si>
    <t>Gallatin, Kentucky</t>
  </si>
  <si>
    <t>Garrard</t>
  </si>
  <si>
    <t>Garrard, Kentucky</t>
  </si>
  <si>
    <t>Grant, Kentucky</t>
  </si>
  <si>
    <t>Graves</t>
  </si>
  <si>
    <t>Graves, Kentucky</t>
  </si>
  <si>
    <t>Grayson</t>
  </si>
  <si>
    <t>Grayson, Kentucky</t>
  </si>
  <si>
    <t>Green</t>
  </si>
  <si>
    <t>Green, Kentucky</t>
  </si>
  <si>
    <t>Greenup</t>
  </si>
  <si>
    <t>Greenup, Kentucky</t>
  </si>
  <si>
    <t>Hancock, Kentucky</t>
  </si>
  <si>
    <t>Hardin, Kentucky</t>
  </si>
  <si>
    <t>Harlan</t>
  </si>
  <si>
    <t>Harlan, Kentucky</t>
  </si>
  <si>
    <t>Harrison, Kentucky</t>
  </si>
  <si>
    <t>Hart, Kentucky</t>
  </si>
  <si>
    <t>Henderson, Kentucky</t>
  </si>
  <si>
    <t>Henry, Kentucky</t>
  </si>
  <si>
    <t>Hickman</t>
  </si>
  <si>
    <t>Hickman, Kentucky</t>
  </si>
  <si>
    <t>Hopkins</t>
  </si>
  <si>
    <t>Hopkins, Kentucky</t>
  </si>
  <si>
    <t>Jackson, Kentucky</t>
  </si>
  <si>
    <t>Jefferson, Kentucky</t>
  </si>
  <si>
    <t>Jessamine</t>
  </si>
  <si>
    <t>Jessamine, Kentucky</t>
  </si>
  <si>
    <t>Johnson, Kentucky</t>
  </si>
  <si>
    <t>Kenton</t>
  </si>
  <si>
    <t>Kenton, Kentucky</t>
  </si>
  <si>
    <t>Knott</t>
  </si>
  <si>
    <t>Knott, Kentucky</t>
  </si>
  <si>
    <t>Knox, Kentucky</t>
  </si>
  <si>
    <t>Larue</t>
  </si>
  <si>
    <t>Larue, Kentucky</t>
  </si>
  <si>
    <t>Laurel</t>
  </si>
  <si>
    <t>Laurel, Kentucky</t>
  </si>
  <si>
    <t>Lawrence, Kentucky</t>
  </si>
  <si>
    <t>Lee, Kentucky</t>
  </si>
  <si>
    <t>Leslie</t>
  </si>
  <si>
    <t>Leslie, Kentucky</t>
  </si>
  <si>
    <t>Letcher</t>
  </si>
  <si>
    <t>Letcher, Kentucky</t>
  </si>
  <si>
    <t>Lewis, Kentucky</t>
  </si>
  <si>
    <t>Lincoln, Kentucky</t>
  </si>
  <si>
    <t>Livingston, Kentucky</t>
  </si>
  <si>
    <t>Logan, Kentucky</t>
  </si>
  <si>
    <t>Lyon, Kentucky</t>
  </si>
  <si>
    <t>McCracken</t>
  </si>
  <si>
    <t>McCracken, Kentucky</t>
  </si>
  <si>
    <t>McCreary</t>
  </si>
  <si>
    <t>McCreary, Kentucky</t>
  </si>
  <si>
    <t>McLean, Kentucky</t>
  </si>
  <si>
    <t>Madison, Kentucky</t>
  </si>
  <si>
    <t>Magoffin</t>
  </si>
  <si>
    <t>Magoffin, Kentucky</t>
  </si>
  <si>
    <t>Marion, Kentucky</t>
  </si>
  <si>
    <t>Marshall, Kentucky</t>
  </si>
  <si>
    <t>Martin, Kentucky</t>
  </si>
  <si>
    <t>Mason, Kentucky</t>
  </si>
  <si>
    <t>Meade, Kentucky</t>
  </si>
  <si>
    <t>Menifee</t>
  </si>
  <si>
    <t>Menifee, Kentucky</t>
  </si>
  <si>
    <t>Mercer, Kentucky</t>
  </si>
  <si>
    <t>Metcalfe</t>
  </si>
  <si>
    <t>Metcalfe, Kentucky</t>
  </si>
  <si>
    <t>Monroe, Kentucky</t>
  </si>
  <si>
    <t>Montgomery, Kentucky</t>
  </si>
  <si>
    <t>Morgan, Kentucky</t>
  </si>
  <si>
    <t>Muhlenberg</t>
  </si>
  <si>
    <t>Muhlenberg, Kentucky</t>
  </si>
  <si>
    <t>Nelson</t>
  </si>
  <si>
    <t>Nelson, Kentucky</t>
  </si>
  <si>
    <t>Nicholas</t>
  </si>
  <si>
    <t>Nicholas, Kentucky</t>
  </si>
  <si>
    <t>Ohio, Kentucky</t>
  </si>
  <si>
    <t>Oldham</t>
  </si>
  <si>
    <t>Oldham, Kentucky</t>
  </si>
  <si>
    <t>Owen, Kentucky</t>
  </si>
  <si>
    <t>Owsley</t>
  </si>
  <si>
    <t>Owsley, Kentucky</t>
  </si>
  <si>
    <t>Pendleton</t>
  </si>
  <si>
    <t>Pendleton, Kentucky</t>
  </si>
  <si>
    <t>Perry, Kentucky</t>
  </si>
  <si>
    <t>Pike, Kentucky</t>
  </si>
  <si>
    <t>Powell</t>
  </si>
  <si>
    <t>Powell, Kentucky</t>
  </si>
  <si>
    <t>Pulaski, Kentucky</t>
  </si>
  <si>
    <t>Robertson</t>
  </si>
  <si>
    <t>Robertson, Kentucky</t>
  </si>
  <si>
    <t>Rockcastle</t>
  </si>
  <si>
    <t>Rockcastle, Kentucky</t>
  </si>
  <si>
    <t>Rowan</t>
  </si>
  <si>
    <t>Rowan, Kentucky</t>
  </si>
  <si>
    <t>Russell, Kentucky</t>
  </si>
  <si>
    <t>Scott, Kentucky</t>
  </si>
  <si>
    <t>Shelby, Kentucky</t>
  </si>
  <si>
    <t>Simpson</t>
  </si>
  <si>
    <t>Simpson, Kentucky</t>
  </si>
  <si>
    <t>Spencer, Kentucky</t>
  </si>
  <si>
    <t>Taylor, Kentucky</t>
  </si>
  <si>
    <t>Todd</t>
  </si>
  <si>
    <t>Todd, Kentucky</t>
  </si>
  <si>
    <t>Trigg</t>
  </si>
  <si>
    <t>Trigg, Kentucky</t>
  </si>
  <si>
    <t>Trimble</t>
  </si>
  <si>
    <t>Trimble, Kentucky</t>
  </si>
  <si>
    <t>Union, Kentucky</t>
  </si>
  <si>
    <t>Warren, Kentucky</t>
  </si>
  <si>
    <t>Washington, Kentucky</t>
  </si>
  <si>
    <t>Wayne, Kentucky</t>
  </si>
  <si>
    <t>Webster, Kentucky</t>
  </si>
  <si>
    <t>Whitley, Kentucky</t>
  </si>
  <si>
    <t>Wolfe</t>
  </si>
  <si>
    <t>Wolfe, Kentucky</t>
  </si>
  <si>
    <t>Woodford, Kentucky</t>
  </si>
  <si>
    <t>Louisiana</t>
  </si>
  <si>
    <t>Acadia</t>
  </si>
  <si>
    <t>Acadia, Louisiana</t>
  </si>
  <si>
    <t>Allen, Louisiana</t>
  </si>
  <si>
    <t>Ascension</t>
  </si>
  <si>
    <t>Ascension, Louisiana</t>
  </si>
  <si>
    <t>Assumption</t>
  </si>
  <si>
    <t>Assumption, Louisiana</t>
  </si>
  <si>
    <t>Avoyelles</t>
  </si>
  <si>
    <t>Avoyelles, Louisiana</t>
  </si>
  <si>
    <t>Beauregard</t>
  </si>
  <si>
    <t>Beauregard, Louisiana</t>
  </si>
  <si>
    <t>Bienville</t>
  </si>
  <si>
    <t>Bienville, Louisiana</t>
  </si>
  <si>
    <t>Bossier</t>
  </si>
  <si>
    <t>Bossier, Louisiana</t>
  </si>
  <si>
    <t>Caddo</t>
  </si>
  <si>
    <t>Caddo, Louisiana</t>
  </si>
  <si>
    <t>Calcasieu</t>
  </si>
  <si>
    <t>Calcasieu, Louisiana</t>
  </si>
  <si>
    <t>Caldwell, Louisiana</t>
  </si>
  <si>
    <t>Cameron</t>
  </si>
  <si>
    <t>Cameron, Louisiana</t>
  </si>
  <si>
    <t>Catahoula</t>
  </si>
  <si>
    <t>Catahoula, Louisiana</t>
  </si>
  <si>
    <t>Claiborne</t>
  </si>
  <si>
    <t>Claiborne, Louisiana</t>
  </si>
  <si>
    <t>Concordia</t>
  </si>
  <si>
    <t>Concordia, Louisiana</t>
  </si>
  <si>
    <t>De Soto</t>
  </si>
  <si>
    <t>De Soto, Louisiana</t>
  </si>
  <si>
    <t>East Baton Rouge</t>
  </si>
  <si>
    <t>East Baton Rouge, Louisiana</t>
  </si>
  <si>
    <t>East Carroll</t>
  </si>
  <si>
    <t>East Carroll, Louisiana</t>
  </si>
  <si>
    <t>East Feliciana</t>
  </si>
  <si>
    <t>East Feliciana, Louisiana</t>
  </si>
  <si>
    <t>Evangeline</t>
  </si>
  <si>
    <t>Evangeline, Louisiana</t>
  </si>
  <si>
    <t>Franklin, Louisiana</t>
  </si>
  <si>
    <t>Grant, Louisiana</t>
  </si>
  <si>
    <t>Iberia</t>
  </si>
  <si>
    <t>Iberia, Louisiana</t>
  </si>
  <si>
    <t>Iberville</t>
  </si>
  <si>
    <t>Iberville, Louisiana</t>
  </si>
  <si>
    <t>Jackson, Louisiana</t>
  </si>
  <si>
    <t>Jefferson, Louisiana</t>
  </si>
  <si>
    <t>Jefferson Davis</t>
  </si>
  <si>
    <t>Jefferson Davis, Louisiana</t>
  </si>
  <si>
    <t>Lafayette, Louisiana</t>
  </si>
  <si>
    <t>Lafourche</t>
  </si>
  <si>
    <t>Lafourche, Louisiana</t>
  </si>
  <si>
    <t>LaSalle, Louisiana</t>
  </si>
  <si>
    <t>Lincoln, Louisiana</t>
  </si>
  <si>
    <t>Livingston, Louisiana</t>
  </si>
  <si>
    <t>Madison, Louisiana</t>
  </si>
  <si>
    <t>Morehouse</t>
  </si>
  <si>
    <t>Morehouse, Louisiana</t>
  </si>
  <si>
    <t>Natchitoches</t>
  </si>
  <si>
    <t>Natchitoches, Louisiana</t>
  </si>
  <si>
    <t>Orleans</t>
  </si>
  <si>
    <t>Orleans, Louisiana</t>
  </si>
  <si>
    <t>Ouachita, Louisiana</t>
  </si>
  <si>
    <t>Plaquemines</t>
  </si>
  <si>
    <t>Plaquemines, Louisiana</t>
  </si>
  <si>
    <t>Pointe Coupee</t>
  </si>
  <si>
    <t>Pointe Coupee, Louisiana</t>
  </si>
  <si>
    <t>Rapides</t>
  </si>
  <si>
    <t>Rapides, Louisiana</t>
  </si>
  <si>
    <t>Red River</t>
  </si>
  <si>
    <t>Red River, Louisiana</t>
  </si>
  <si>
    <t>Richland, Louisiana</t>
  </si>
  <si>
    <t>Sabine</t>
  </si>
  <si>
    <t>Sabine, Louisiana</t>
  </si>
  <si>
    <t>St. Bernard</t>
  </si>
  <si>
    <t>St. Bernard, Louisiana</t>
  </si>
  <si>
    <t>St. Charles</t>
  </si>
  <si>
    <t>St. Charles, Louisiana</t>
  </si>
  <si>
    <t>St. Helena</t>
  </si>
  <si>
    <t>St. Helena, Louisiana</t>
  </si>
  <si>
    <t>St. James</t>
  </si>
  <si>
    <t>St. James, Louisiana</t>
  </si>
  <si>
    <t>St. John the Baptist</t>
  </si>
  <si>
    <t>St. John the Baptist, Louisiana</t>
  </si>
  <si>
    <t>St. Landry</t>
  </si>
  <si>
    <t>St. Landry, Louisiana</t>
  </si>
  <si>
    <t>St. Martin</t>
  </si>
  <si>
    <t>St. Martin, Louisiana</t>
  </si>
  <si>
    <t>St. Mary</t>
  </si>
  <si>
    <t>St. Mary, Louisiana</t>
  </si>
  <si>
    <t>St. Tammany</t>
  </si>
  <si>
    <t>St. Tammany, Louisiana</t>
  </si>
  <si>
    <t>Tangipahoa</t>
  </si>
  <si>
    <t>Tangipahoa, Louisiana</t>
  </si>
  <si>
    <t>Tensas</t>
  </si>
  <si>
    <t>Tensas, Louisiana</t>
  </si>
  <si>
    <t>Terrebonne</t>
  </si>
  <si>
    <t>Terrebonne, Louisiana</t>
  </si>
  <si>
    <t>Union, Louisiana</t>
  </si>
  <si>
    <t>Vermilion, Louisiana</t>
  </si>
  <si>
    <t>Vernon</t>
  </si>
  <si>
    <t>Vernon, Louisiana</t>
  </si>
  <si>
    <t>Washington, Louisiana</t>
  </si>
  <si>
    <t>Webster, Louisiana</t>
  </si>
  <si>
    <t>West Baton Rouge</t>
  </si>
  <si>
    <t>West Baton Rouge, Louisiana</t>
  </si>
  <si>
    <t>West Carroll</t>
  </si>
  <si>
    <t>West Carroll, Louisiana</t>
  </si>
  <si>
    <t>West Feliciana</t>
  </si>
  <si>
    <t>West Feliciana, Louisiana</t>
  </si>
  <si>
    <t>Winn</t>
  </si>
  <si>
    <t>Winn, Louisiana</t>
  </si>
  <si>
    <t>Maine</t>
  </si>
  <si>
    <t>Androscoggin</t>
  </si>
  <si>
    <t>Androscoggin, Maine</t>
  </si>
  <si>
    <t>Aroostook</t>
  </si>
  <si>
    <t>Aroostook, Maine</t>
  </si>
  <si>
    <t>Cumberland, Maine</t>
  </si>
  <si>
    <t>Franklin, Maine</t>
  </si>
  <si>
    <t>Hancock, Maine</t>
  </si>
  <si>
    <t>Kennebec</t>
  </si>
  <si>
    <t>Kennebec, Maine</t>
  </si>
  <si>
    <t>Knox, Maine</t>
  </si>
  <si>
    <t>Lincoln, Maine</t>
  </si>
  <si>
    <t>Oxford</t>
  </si>
  <si>
    <t>Oxford, Maine</t>
  </si>
  <si>
    <t>Penobscot</t>
  </si>
  <si>
    <t>Penobscot, Maine</t>
  </si>
  <si>
    <t>Piscataquis</t>
  </si>
  <si>
    <t>Piscataquis, Maine</t>
  </si>
  <si>
    <t>Sagadahoc</t>
  </si>
  <si>
    <t>Sagadahoc, Maine</t>
  </si>
  <si>
    <t>Somerset</t>
  </si>
  <si>
    <t>Somerset, Maine</t>
  </si>
  <si>
    <t>Waldo</t>
  </si>
  <si>
    <t>Waldo, Maine</t>
  </si>
  <si>
    <t>Washington, Maine</t>
  </si>
  <si>
    <t>York</t>
  </si>
  <si>
    <t>York, Maine</t>
  </si>
  <si>
    <t>Maryland</t>
  </si>
  <si>
    <t>Allegany</t>
  </si>
  <si>
    <t>Allegany, Maryland</t>
  </si>
  <si>
    <t>Anne Arundel</t>
  </si>
  <si>
    <t>Anne Arundel, Maryland</t>
  </si>
  <si>
    <t>Baltimore</t>
  </si>
  <si>
    <t>Baltimore, Maryland</t>
  </si>
  <si>
    <t>Calvert</t>
  </si>
  <si>
    <t>Calvert, Maryland</t>
  </si>
  <si>
    <t>Caroline</t>
  </si>
  <si>
    <t>Caroline, Maryland</t>
  </si>
  <si>
    <t>Carroll, Maryland</t>
  </si>
  <si>
    <t>Cecil</t>
  </si>
  <si>
    <t>Cecil, Maryland</t>
  </si>
  <si>
    <t>Charles</t>
  </si>
  <si>
    <t>Charles, Maryland</t>
  </si>
  <si>
    <t>Dorchester</t>
  </si>
  <si>
    <t>Dorchester, Maryland</t>
  </si>
  <si>
    <t>Frederick</t>
  </si>
  <si>
    <t>Frederick, Maryland</t>
  </si>
  <si>
    <t>Garrett</t>
  </si>
  <si>
    <t>Garrett, Maryland</t>
  </si>
  <si>
    <t>Harford</t>
  </si>
  <si>
    <t>Harford, Maryland</t>
  </si>
  <si>
    <t>Howard, Maryland</t>
  </si>
  <si>
    <t>Kent, Maryland</t>
  </si>
  <si>
    <t>Montgomery, Maryland</t>
  </si>
  <si>
    <t>Prince George's</t>
  </si>
  <si>
    <t>Prince George's, Maryland</t>
  </si>
  <si>
    <t>Queen Anne's</t>
  </si>
  <si>
    <t>Queen Anne's, Maryland</t>
  </si>
  <si>
    <t>St. Mary's</t>
  </si>
  <si>
    <t>St. Mary's, Maryland</t>
  </si>
  <si>
    <t>Somerset, Maryland</t>
  </si>
  <si>
    <t>Talbot, Maryland</t>
  </si>
  <si>
    <t>Washington, Maryland</t>
  </si>
  <si>
    <t>Wicomico</t>
  </si>
  <si>
    <t>Wicomico, Maryland</t>
  </si>
  <si>
    <t>Worcester</t>
  </si>
  <si>
    <t>Worcester, Maryland</t>
  </si>
  <si>
    <t>Baltimore City</t>
  </si>
  <si>
    <t>Baltimore City, Maryland</t>
  </si>
  <si>
    <t>Massachusetts</t>
  </si>
  <si>
    <t>Barnstable</t>
  </si>
  <si>
    <t>Barnstable, Massachusetts</t>
  </si>
  <si>
    <t>Berkshire</t>
  </si>
  <si>
    <t>Berkshire, Massachusetts</t>
  </si>
  <si>
    <t>Bristol</t>
  </si>
  <si>
    <t>Bristol, Massachusetts</t>
  </si>
  <si>
    <t>Dukes</t>
  </si>
  <si>
    <t>Dukes, Massachusetts</t>
  </si>
  <si>
    <t>Essex</t>
  </si>
  <si>
    <t>Essex, Massachusetts</t>
  </si>
  <si>
    <t>Franklin, Massachusetts</t>
  </si>
  <si>
    <t>Hampden</t>
  </si>
  <si>
    <t>Hampden, Massachusetts</t>
  </si>
  <si>
    <t>Hampshire</t>
  </si>
  <si>
    <t>Hampshire, Massachusetts</t>
  </si>
  <si>
    <t>Middlesex</t>
  </si>
  <si>
    <t>Middlesex, Massachusetts</t>
  </si>
  <si>
    <t>Nantucket</t>
  </si>
  <si>
    <t>Nantucket, Massachusetts</t>
  </si>
  <si>
    <t>Norfolk</t>
  </si>
  <si>
    <t>Norfolk, Massachusetts</t>
  </si>
  <si>
    <t>Plymouth, Massachusetts</t>
  </si>
  <si>
    <t>Suffolk</t>
  </si>
  <si>
    <t>Suffolk, Massachusetts</t>
  </si>
  <si>
    <t>Worcester, Massachusetts</t>
  </si>
  <si>
    <t>Michigan</t>
  </si>
  <si>
    <t>Alcona</t>
  </si>
  <si>
    <t>Alcona, Michigan</t>
  </si>
  <si>
    <t>Alger</t>
  </si>
  <si>
    <t>Alger, Michigan</t>
  </si>
  <si>
    <t>Allegan</t>
  </si>
  <si>
    <t>Allegan, Michigan</t>
  </si>
  <si>
    <t>Alpena</t>
  </si>
  <si>
    <t>Alpena, Michigan</t>
  </si>
  <si>
    <t>Antrim</t>
  </si>
  <si>
    <t>Antrim, Michigan</t>
  </si>
  <si>
    <t>Arenac</t>
  </si>
  <si>
    <t>Arenac, Michigan</t>
  </si>
  <si>
    <t>Baraga</t>
  </si>
  <si>
    <t>Baraga, Michigan</t>
  </si>
  <si>
    <t>Barry</t>
  </si>
  <si>
    <t>Barry, Michigan</t>
  </si>
  <si>
    <t>Bay, Michigan</t>
  </si>
  <si>
    <t>Benzie</t>
  </si>
  <si>
    <t>Benzie, Michigan</t>
  </si>
  <si>
    <t>Berrien, Michigan</t>
  </si>
  <si>
    <t>Branch</t>
  </si>
  <si>
    <t>Branch, Michigan</t>
  </si>
  <si>
    <t>Calhoun, Michigan</t>
  </si>
  <si>
    <t>Cass, Michigan</t>
  </si>
  <si>
    <t>Charlevoix</t>
  </si>
  <si>
    <t>Charlevoix, Michigan</t>
  </si>
  <si>
    <t>Cheboygan</t>
  </si>
  <si>
    <t>Cheboygan, Michigan</t>
  </si>
  <si>
    <t>Chippewa</t>
  </si>
  <si>
    <t>Chippewa, Michigan</t>
  </si>
  <si>
    <t>Clare</t>
  </si>
  <si>
    <t>Clare, Michigan</t>
  </si>
  <si>
    <t>Clinton, Michigan</t>
  </si>
  <si>
    <t>Crawford, Michigan</t>
  </si>
  <si>
    <t>Delta, Michigan</t>
  </si>
  <si>
    <t>Dickinson, Michigan</t>
  </si>
  <si>
    <t>Eaton</t>
  </si>
  <si>
    <t>Eaton, Michigan</t>
  </si>
  <si>
    <t>Emmet, Michigan</t>
  </si>
  <si>
    <t>Genesee</t>
  </si>
  <si>
    <t>Genesee, Michigan</t>
  </si>
  <si>
    <t>Gladwin</t>
  </si>
  <si>
    <t>Gladwin, Michigan</t>
  </si>
  <si>
    <t>Gogebic</t>
  </si>
  <si>
    <t>Gogebic, Michigan</t>
  </si>
  <si>
    <t>Grand Traverse</t>
  </si>
  <si>
    <t>Grand Traverse, Michigan</t>
  </si>
  <si>
    <t>Gratiot</t>
  </si>
  <si>
    <t>Gratiot, Michigan</t>
  </si>
  <si>
    <t>Hillsdale</t>
  </si>
  <si>
    <t>Hillsdale, Michigan</t>
  </si>
  <si>
    <t>Houghton</t>
  </si>
  <si>
    <t>Houghton, Michigan</t>
  </si>
  <si>
    <t>Huron</t>
  </si>
  <si>
    <t>Huron, Michigan</t>
  </si>
  <si>
    <t>Ingham</t>
  </si>
  <si>
    <t>Ingham, Michigan</t>
  </si>
  <si>
    <t>Ionia</t>
  </si>
  <si>
    <t>Ionia, Michigan</t>
  </si>
  <si>
    <t>Iosco</t>
  </si>
  <si>
    <t>Iosco, Michigan</t>
  </si>
  <si>
    <t>Iron</t>
  </si>
  <si>
    <t>Iron, Michigan</t>
  </si>
  <si>
    <t>Isabella</t>
  </si>
  <si>
    <t>Isabella, Michigan</t>
  </si>
  <si>
    <t>Jackson, Michigan</t>
  </si>
  <si>
    <t>Kalamazoo</t>
  </si>
  <si>
    <t>Kalamazoo, Michigan</t>
  </si>
  <si>
    <t>Kalkaska</t>
  </si>
  <si>
    <t>Kalkaska, Michigan</t>
  </si>
  <si>
    <t>Kent, Michigan</t>
  </si>
  <si>
    <t>Keweenaw</t>
  </si>
  <si>
    <t>Keweenaw, Michigan</t>
  </si>
  <si>
    <t>Lake, Michigan</t>
  </si>
  <si>
    <t>Lapeer</t>
  </si>
  <si>
    <t>Lapeer, Michigan</t>
  </si>
  <si>
    <t>Leelanau</t>
  </si>
  <si>
    <t>Leelanau, Michigan</t>
  </si>
  <si>
    <t>Lenawee</t>
  </si>
  <si>
    <t>Lenawee, Michigan</t>
  </si>
  <si>
    <t>Livingston, Michigan</t>
  </si>
  <si>
    <t>Luce</t>
  </si>
  <si>
    <t>Luce, Michigan</t>
  </si>
  <si>
    <t>Mackinac</t>
  </si>
  <si>
    <t>Mackinac, Michigan</t>
  </si>
  <si>
    <t>Macomb</t>
  </si>
  <si>
    <t>Macomb, Michigan</t>
  </si>
  <si>
    <t>Manistee</t>
  </si>
  <si>
    <t>Manistee, Michigan</t>
  </si>
  <si>
    <t>Marquette</t>
  </si>
  <si>
    <t>Marquette, Michigan</t>
  </si>
  <si>
    <t>Mason, Michigan</t>
  </si>
  <si>
    <t>Mecosta</t>
  </si>
  <si>
    <t>Mecosta, Michigan</t>
  </si>
  <si>
    <t>Menominee</t>
  </si>
  <si>
    <t>Menominee, Michigan</t>
  </si>
  <si>
    <t>Midland</t>
  </si>
  <si>
    <t>Midland, Michigan</t>
  </si>
  <si>
    <t>Missaukee</t>
  </si>
  <si>
    <t>Missaukee, Michigan</t>
  </si>
  <si>
    <t>Monroe, Michigan</t>
  </si>
  <si>
    <t>Montcalm</t>
  </si>
  <si>
    <t>Montcalm, Michigan</t>
  </si>
  <si>
    <t>Montmorency</t>
  </si>
  <si>
    <t>Montmorency, Michigan</t>
  </si>
  <si>
    <t>Muskegon</t>
  </si>
  <si>
    <t>Muskegon, Michigan</t>
  </si>
  <si>
    <t>Newaygo</t>
  </si>
  <si>
    <t>Newaygo, Michigan</t>
  </si>
  <si>
    <t>Oakland</t>
  </si>
  <si>
    <t>Oakland, Michigan</t>
  </si>
  <si>
    <t>Oceana</t>
  </si>
  <si>
    <t>Oceana, Michigan</t>
  </si>
  <si>
    <t>Ogemaw</t>
  </si>
  <si>
    <t>Ogemaw, Michigan</t>
  </si>
  <si>
    <t>Ontonagon</t>
  </si>
  <si>
    <t>Ontonagon, Michigan</t>
  </si>
  <si>
    <t>Osceola, Michigan</t>
  </si>
  <si>
    <t>Oscoda</t>
  </si>
  <si>
    <t>Oscoda, Michigan</t>
  </si>
  <si>
    <t>Otsego</t>
  </si>
  <si>
    <t>Otsego, Michigan</t>
  </si>
  <si>
    <t>Ottawa, Michigan</t>
  </si>
  <si>
    <t>Presque Isle</t>
  </si>
  <si>
    <t>Presque Isle, Michigan</t>
  </si>
  <si>
    <t>Roscommon</t>
  </si>
  <si>
    <t>Roscommon, Michigan</t>
  </si>
  <si>
    <t>Saginaw</t>
  </si>
  <si>
    <t>Saginaw, Michigan</t>
  </si>
  <si>
    <t>St. Clair, Michigan</t>
  </si>
  <si>
    <t>St. Joseph, Michigan</t>
  </si>
  <si>
    <t>Sanilac</t>
  </si>
  <si>
    <t>Sanilac, Michigan</t>
  </si>
  <si>
    <t>Schoolcraft</t>
  </si>
  <si>
    <t>Schoolcraft, Michigan</t>
  </si>
  <si>
    <t>Shiawassee</t>
  </si>
  <si>
    <t>Shiawassee, Michigan</t>
  </si>
  <si>
    <t>Tuscola</t>
  </si>
  <si>
    <t>Tuscola, Michigan</t>
  </si>
  <si>
    <t>Van Buren, Michigan</t>
  </si>
  <si>
    <t>Washtenaw</t>
  </si>
  <si>
    <t>Washtenaw, Michigan</t>
  </si>
  <si>
    <t>Wayne, Michigan</t>
  </si>
  <si>
    <t>Wexford</t>
  </si>
  <si>
    <t>Wexford, Michigan</t>
  </si>
  <si>
    <t>Minnesota</t>
  </si>
  <si>
    <t>Aitkin</t>
  </si>
  <si>
    <t>Aitkin, Minnesota</t>
  </si>
  <si>
    <t>Anoka</t>
  </si>
  <si>
    <t>Anoka, Minnesota</t>
  </si>
  <si>
    <t>Becker</t>
  </si>
  <si>
    <t>Becker, Minnesota</t>
  </si>
  <si>
    <t>Beltrami</t>
  </si>
  <si>
    <t>Beltrami, Minnesota</t>
  </si>
  <si>
    <t>Benton, Minnesota</t>
  </si>
  <si>
    <t>Big Stone</t>
  </si>
  <si>
    <t>Big Stone, Minnesota</t>
  </si>
  <si>
    <t>Blue Earth</t>
  </si>
  <si>
    <t>Blue Earth, Minnesota</t>
  </si>
  <si>
    <t>Brown, Minnesota</t>
  </si>
  <si>
    <t>Carlton</t>
  </si>
  <si>
    <t>Carlton, Minnesota</t>
  </si>
  <si>
    <t>Carver</t>
  </si>
  <si>
    <t>Carver, Minnesota</t>
  </si>
  <si>
    <t>Cass, Minnesota</t>
  </si>
  <si>
    <t>Chippewa, Minnesota</t>
  </si>
  <si>
    <t>Chisago</t>
  </si>
  <si>
    <t>Chisago, Minnesota</t>
  </si>
  <si>
    <t>Clay, Minnesota</t>
  </si>
  <si>
    <t>Clearwater, Minnesota</t>
  </si>
  <si>
    <t>Cook, Minnesota</t>
  </si>
  <si>
    <t>Cottonwood</t>
  </si>
  <si>
    <t>Cottonwood, Minnesota</t>
  </si>
  <si>
    <t>Crow Wing</t>
  </si>
  <si>
    <t>Crow Wing, Minnesota</t>
  </si>
  <si>
    <t>Dakota</t>
  </si>
  <si>
    <t>Dakota, Minnesota</t>
  </si>
  <si>
    <t>Dodge, Minnesota</t>
  </si>
  <si>
    <t>Douglas, Minnesota</t>
  </si>
  <si>
    <t>Faribault</t>
  </si>
  <si>
    <t>Faribault, Minnesota</t>
  </si>
  <si>
    <t>Fillmore</t>
  </si>
  <si>
    <t>Fillmore, Minnesota</t>
  </si>
  <si>
    <t>Freeborn</t>
  </si>
  <si>
    <t>Freeborn, Minnesota</t>
  </si>
  <si>
    <t>Goodhue</t>
  </si>
  <si>
    <t>Goodhue, Minnesota</t>
  </si>
  <si>
    <t>Grant, Minnesota</t>
  </si>
  <si>
    <t>Hennepin</t>
  </si>
  <si>
    <t>Hennepin, Minnesota</t>
  </si>
  <si>
    <t>Houston, Minnesota</t>
  </si>
  <si>
    <t>Hubbard</t>
  </si>
  <si>
    <t>Hubbard, Minnesota</t>
  </si>
  <si>
    <t>Isanti</t>
  </si>
  <si>
    <t>Isanti, Minnesota</t>
  </si>
  <si>
    <t>Itasca</t>
  </si>
  <si>
    <t>Itasca, Minnesota</t>
  </si>
  <si>
    <t>Jackson, Minnesota</t>
  </si>
  <si>
    <t>Kanabec</t>
  </si>
  <si>
    <t>Kanabec, Minnesota</t>
  </si>
  <si>
    <t>Kandiyohi</t>
  </si>
  <si>
    <t>Kandiyohi, Minnesota</t>
  </si>
  <si>
    <t>Kittson</t>
  </si>
  <si>
    <t>Kittson, Minnesota</t>
  </si>
  <si>
    <t>Koochiching</t>
  </si>
  <si>
    <t>Koochiching, Minnesota</t>
  </si>
  <si>
    <t>Lac Qui Parle</t>
  </si>
  <si>
    <t>Lac Qui Parle, Minnesota</t>
  </si>
  <si>
    <t>Lake, Minnesota</t>
  </si>
  <si>
    <t>Lake of the Woods</t>
  </si>
  <si>
    <t>Lake of the Woods, Minnesota</t>
  </si>
  <si>
    <t>Le Sueur</t>
  </si>
  <si>
    <t>Le Sueur, Minnesota</t>
  </si>
  <si>
    <t>Lincoln, Minnesota</t>
  </si>
  <si>
    <t>Lyon, Minnesota</t>
  </si>
  <si>
    <t>McLeod</t>
  </si>
  <si>
    <t>McLeod, Minnesota</t>
  </si>
  <si>
    <t>Mahnomen</t>
  </si>
  <si>
    <t>Mahnomen, Minnesota</t>
  </si>
  <si>
    <t>Marshall, Minnesota</t>
  </si>
  <si>
    <t>Martin, Minnesota</t>
  </si>
  <si>
    <t>Meeker</t>
  </si>
  <si>
    <t>Meeker, Minnesota</t>
  </si>
  <si>
    <t>Mille Lacs</t>
  </si>
  <si>
    <t>Mille Lacs, Minnesota</t>
  </si>
  <si>
    <t>Morrison</t>
  </si>
  <si>
    <t>Morrison, Minnesota</t>
  </si>
  <si>
    <t>Mower</t>
  </si>
  <si>
    <t>Mower, Minnesota</t>
  </si>
  <si>
    <t>Murray, Minnesota</t>
  </si>
  <si>
    <t>Nicollet</t>
  </si>
  <si>
    <t>Nicollet, Minnesota</t>
  </si>
  <si>
    <t>Nobles</t>
  </si>
  <si>
    <t>Nobles, Minnesota</t>
  </si>
  <si>
    <t>Norman</t>
  </si>
  <si>
    <t>Norman, Minnesota</t>
  </si>
  <si>
    <t>Olmsted</t>
  </si>
  <si>
    <t>Olmsted, Minnesota</t>
  </si>
  <si>
    <t>Otter Tail</t>
  </si>
  <si>
    <t>Otter Tail, Minnesota</t>
  </si>
  <si>
    <t>Pennington</t>
  </si>
  <si>
    <t>Pennington, Minnesota</t>
  </si>
  <si>
    <t>Pine</t>
  </si>
  <si>
    <t>Pine, Minnesota</t>
  </si>
  <si>
    <t>Pipestone</t>
  </si>
  <si>
    <t>Pipestone, Minnesota</t>
  </si>
  <si>
    <t>Polk, Minnesota</t>
  </si>
  <si>
    <t>Pope, Minnesota</t>
  </si>
  <si>
    <t>Ramsey</t>
  </si>
  <si>
    <t>Ramsey, Minnesota</t>
  </si>
  <si>
    <t>Red Lake</t>
  </si>
  <si>
    <t>Red Lake, Minnesota</t>
  </si>
  <si>
    <t>Redwood</t>
  </si>
  <si>
    <t>Redwood, Minnesota</t>
  </si>
  <si>
    <t>Renville</t>
  </si>
  <si>
    <t>Renville, Minnesota</t>
  </si>
  <si>
    <t>Rice, Minnesota</t>
  </si>
  <si>
    <t>Rock</t>
  </si>
  <si>
    <t>Rock, Minnesota</t>
  </si>
  <si>
    <t>Roseau</t>
  </si>
  <si>
    <t>Roseau, Minnesota</t>
  </si>
  <si>
    <t>St. Louis</t>
  </si>
  <si>
    <t>St. Louis, Minnesota</t>
  </si>
  <si>
    <t>Scott, Minnesota</t>
  </si>
  <si>
    <t>Sherburne</t>
  </si>
  <si>
    <t>Sherburne, Minnesota</t>
  </si>
  <si>
    <t>Sibley</t>
  </si>
  <si>
    <t>Sibley, Minnesota</t>
  </si>
  <si>
    <t>Stearns</t>
  </si>
  <si>
    <t>Stearns, Minnesota</t>
  </si>
  <si>
    <t>Steele</t>
  </si>
  <si>
    <t>Steele, Minnesota</t>
  </si>
  <si>
    <t>Stevens, Minnesota</t>
  </si>
  <si>
    <t>Swift</t>
  </si>
  <si>
    <t>Swift, Minnesota</t>
  </si>
  <si>
    <t>Todd, Minnesota</t>
  </si>
  <si>
    <t>Traverse</t>
  </si>
  <si>
    <t>Traverse, Minnesota</t>
  </si>
  <si>
    <t>Wabasha</t>
  </si>
  <si>
    <t>Wabasha, Minnesota</t>
  </si>
  <si>
    <t>Wadena</t>
  </si>
  <si>
    <t>Wadena, Minnesota</t>
  </si>
  <si>
    <t>Waseca</t>
  </si>
  <si>
    <t>Waseca, Minnesota</t>
  </si>
  <si>
    <t>Washington, Minnesota</t>
  </si>
  <si>
    <t>Watonwan</t>
  </si>
  <si>
    <t>Watonwan, Minnesota</t>
  </si>
  <si>
    <t>Wilkin</t>
  </si>
  <si>
    <t>Wilkin, Minnesota</t>
  </si>
  <si>
    <t>Winona</t>
  </si>
  <si>
    <t>Winona, Minnesota</t>
  </si>
  <si>
    <t>Wright, Minnesota</t>
  </si>
  <si>
    <t>Yellow Medicine</t>
  </si>
  <si>
    <t>Yellow Medicine, Minnesota</t>
  </si>
  <si>
    <t>Adams, Mississippi</t>
  </si>
  <si>
    <t>Alcorn</t>
  </si>
  <si>
    <t>Alcorn, Mississippi</t>
  </si>
  <si>
    <t>Amite</t>
  </si>
  <si>
    <t>Amite, Mississippi</t>
  </si>
  <si>
    <t>Attala</t>
  </si>
  <si>
    <t>Attala, Mississippi</t>
  </si>
  <si>
    <t>Benton, Mississippi</t>
  </si>
  <si>
    <t>Bolivar</t>
  </si>
  <si>
    <t>Bolivar, Mississippi</t>
  </si>
  <si>
    <t>Calhoun, Mississippi</t>
  </si>
  <si>
    <t>Carroll, Mississippi</t>
  </si>
  <si>
    <t>Chickasaw, Mississippi</t>
  </si>
  <si>
    <t>Choctaw, Mississippi</t>
  </si>
  <si>
    <t>Claiborne, Mississippi</t>
  </si>
  <si>
    <t>Clarke, Mississippi</t>
  </si>
  <si>
    <t>Clay, Mississippi</t>
  </si>
  <si>
    <t>Coahoma</t>
  </si>
  <si>
    <t>Coahoma, Mississippi</t>
  </si>
  <si>
    <t>Copiah</t>
  </si>
  <si>
    <t>Copiah, Mississippi</t>
  </si>
  <si>
    <t>Covington, Mississippi</t>
  </si>
  <si>
    <t>DeSoto, Mississippi</t>
  </si>
  <si>
    <t>Forrest</t>
  </si>
  <si>
    <t>Forrest, Mississippi</t>
  </si>
  <si>
    <t>Franklin, Mississippi</t>
  </si>
  <si>
    <t>George</t>
  </si>
  <si>
    <t>George, Mississippi</t>
  </si>
  <si>
    <t>Greene, Mississippi</t>
  </si>
  <si>
    <t>Grenada</t>
  </si>
  <si>
    <t>Grenada, Mississippi</t>
  </si>
  <si>
    <t>Hancock, Mississippi</t>
  </si>
  <si>
    <t>Harrison, Mississippi</t>
  </si>
  <si>
    <t>Hinds</t>
  </si>
  <si>
    <t>Hinds, Mississippi</t>
  </si>
  <si>
    <t>Holmes, Mississippi</t>
  </si>
  <si>
    <t>Humphreys</t>
  </si>
  <si>
    <t>Humphreys, Mississippi</t>
  </si>
  <si>
    <t>Issaquena</t>
  </si>
  <si>
    <t>Issaquena, Mississippi</t>
  </si>
  <si>
    <t>Itawamba</t>
  </si>
  <si>
    <t>Itawamba, Mississippi</t>
  </si>
  <si>
    <t>Jackson, Mississippi</t>
  </si>
  <si>
    <t>Jasper, Mississippi</t>
  </si>
  <si>
    <t>Jefferson, Mississippi</t>
  </si>
  <si>
    <t>Jefferson Davis, Mississippi</t>
  </si>
  <si>
    <t>Jones, Mississippi</t>
  </si>
  <si>
    <t>Kemper</t>
  </si>
  <si>
    <t>Kemper, Mississippi</t>
  </si>
  <si>
    <t>Lafayette, Mississippi</t>
  </si>
  <si>
    <t>Lamar, Mississippi</t>
  </si>
  <si>
    <t>Lauderdale, Mississippi</t>
  </si>
  <si>
    <t>Lawrence, Mississippi</t>
  </si>
  <si>
    <t>Leake</t>
  </si>
  <si>
    <t>Leake, Mississippi</t>
  </si>
  <si>
    <t>Lee, Mississippi</t>
  </si>
  <si>
    <t>Leflore</t>
  </si>
  <si>
    <t>Leflore, Mississippi</t>
  </si>
  <si>
    <t>Lincoln, Mississippi</t>
  </si>
  <si>
    <t>Lowndes, Mississippi</t>
  </si>
  <si>
    <t>Madison, Mississippi</t>
  </si>
  <si>
    <t>Marion, Mississippi</t>
  </si>
  <si>
    <t>Marshall, Mississippi</t>
  </si>
  <si>
    <t>Monroe, Mississippi</t>
  </si>
  <si>
    <t>Montgomery, Mississippi</t>
  </si>
  <si>
    <t>Neshoba</t>
  </si>
  <si>
    <t>Neshoba, Mississippi</t>
  </si>
  <si>
    <t>Newton, Mississippi</t>
  </si>
  <si>
    <t>Noxubee</t>
  </si>
  <si>
    <t>Noxubee, Mississippi</t>
  </si>
  <si>
    <t>Oktibbeha</t>
  </si>
  <si>
    <t>Oktibbeha, Mississippi</t>
  </si>
  <si>
    <t>Panola</t>
  </si>
  <si>
    <t>Panola, Mississippi</t>
  </si>
  <si>
    <t>Pearl River</t>
  </si>
  <si>
    <t>Pearl River, Mississippi</t>
  </si>
  <si>
    <t>Perry, Mississippi</t>
  </si>
  <si>
    <t>Pike, Mississippi</t>
  </si>
  <si>
    <t>Pontotoc</t>
  </si>
  <si>
    <t>Pontotoc, Mississippi</t>
  </si>
  <si>
    <t>Prentiss</t>
  </si>
  <si>
    <t>Prentiss, Mississippi</t>
  </si>
  <si>
    <t>Quitman, Mississippi</t>
  </si>
  <si>
    <t>Rankin</t>
  </si>
  <si>
    <t>Rankin, Mississippi</t>
  </si>
  <si>
    <t>Scott, Mississippi</t>
  </si>
  <si>
    <t>Sharkey</t>
  </si>
  <si>
    <t>Sharkey, Mississippi</t>
  </si>
  <si>
    <t>Simpson, Mississippi</t>
  </si>
  <si>
    <t>Smith, Mississippi</t>
  </si>
  <si>
    <t>Stone, Mississippi</t>
  </si>
  <si>
    <t>Sunflower</t>
  </si>
  <si>
    <t>Sunflower, Mississippi</t>
  </si>
  <si>
    <t>Tallahatchie</t>
  </si>
  <si>
    <t>Tallahatchie, Mississippi</t>
  </si>
  <si>
    <t>Tate</t>
  </si>
  <si>
    <t>Tate, Mississippi</t>
  </si>
  <si>
    <t>Tippah</t>
  </si>
  <si>
    <t>Tippah, Mississippi</t>
  </si>
  <si>
    <t>Tishomingo</t>
  </si>
  <si>
    <t>Tishomingo, Mississippi</t>
  </si>
  <si>
    <t>Tunica</t>
  </si>
  <si>
    <t>Tunica, Mississippi</t>
  </si>
  <si>
    <t>Union, Mississippi</t>
  </si>
  <si>
    <t>Walthall</t>
  </si>
  <si>
    <t>Walthall, Mississippi</t>
  </si>
  <si>
    <t>Warren, Mississippi</t>
  </si>
  <si>
    <t>Washington, Mississippi</t>
  </si>
  <si>
    <t>Wayne, Mississippi</t>
  </si>
  <si>
    <t>Webster, Mississippi</t>
  </si>
  <si>
    <t>Wilkinson, Mississippi</t>
  </si>
  <si>
    <t>Winston, Mississippi</t>
  </si>
  <si>
    <t>Yalobusha</t>
  </si>
  <si>
    <t>Yalobusha, Mississippi</t>
  </si>
  <si>
    <t>Yazoo</t>
  </si>
  <si>
    <t>Yazoo, Mississippi</t>
  </si>
  <si>
    <t>Missouri</t>
  </si>
  <si>
    <t>Adair, Missouri</t>
  </si>
  <si>
    <t>Andrew</t>
  </si>
  <si>
    <t>Andrew, Missouri</t>
  </si>
  <si>
    <t>Atchison, Missouri</t>
  </si>
  <si>
    <t>Audrain</t>
  </si>
  <si>
    <t>Audrain, Missouri</t>
  </si>
  <si>
    <t>Barry, Missouri</t>
  </si>
  <si>
    <t>Barton, Missouri</t>
  </si>
  <si>
    <t>Bates</t>
  </si>
  <si>
    <t>Bates, Missouri</t>
  </si>
  <si>
    <t>Benton, Missouri</t>
  </si>
  <si>
    <t>Bollinger</t>
  </si>
  <si>
    <t>Bollinger, Missouri</t>
  </si>
  <si>
    <t>Boone, Missouri</t>
  </si>
  <si>
    <t>Buchanan, Missouri</t>
  </si>
  <si>
    <t>Butler, Missouri</t>
  </si>
  <si>
    <t>Caldwell, Missouri</t>
  </si>
  <si>
    <t>Callaway</t>
  </si>
  <si>
    <t>Callaway, Missouri</t>
  </si>
  <si>
    <t>Camden, Missouri</t>
  </si>
  <si>
    <t>Cape Girardeau</t>
  </si>
  <si>
    <t>Cape Girardeau, Missouri</t>
  </si>
  <si>
    <t>Carroll, Missouri</t>
  </si>
  <si>
    <t>Carter, Missouri</t>
  </si>
  <si>
    <t>Cass, Missouri</t>
  </si>
  <si>
    <t>Cedar, Missouri</t>
  </si>
  <si>
    <t>Chariton</t>
  </si>
  <si>
    <t>Chariton, Missouri</t>
  </si>
  <si>
    <t>Christian, Missouri</t>
  </si>
  <si>
    <t>Clark, Missouri</t>
  </si>
  <si>
    <t>Clay, Missouri</t>
  </si>
  <si>
    <t>Clinton, Missouri</t>
  </si>
  <si>
    <t>Cole</t>
  </si>
  <si>
    <t>Cole, Missouri</t>
  </si>
  <si>
    <t>Cooper</t>
  </si>
  <si>
    <t>Cooper, Missouri</t>
  </si>
  <si>
    <t>Crawford, Missouri</t>
  </si>
  <si>
    <t>Dade, Missouri</t>
  </si>
  <si>
    <t>Dallas, Missouri</t>
  </si>
  <si>
    <t>Daviess, Missouri</t>
  </si>
  <si>
    <t>DeKalb, Missouri</t>
  </si>
  <si>
    <t>Dent</t>
  </si>
  <si>
    <t>Dent, Missouri</t>
  </si>
  <si>
    <t>Douglas, Missouri</t>
  </si>
  <si>
    <t>Dunklin</t>
  </si>
  <si>
    <t>Dunklin, Missouri</t>
  </si>
  <si>
    <t>Franklin, Missouri</t>
  </si>
  <si>
    <t>Gasconade</t>
  </si>
  <si>
    <t>Gasconade, Missouri</t>
  </si>
  <si>
    <t>Gentry</t>
  </si>
  <si>
    <t>Gentry, Missouri</t>
  </si>
  <si>
    <t>Greene, Missouri</t>
  </si>
  <si>
    <t>Grundy, Missouri</t>
  </si>
  <si>
    <t>Harrison, Missouri</t>
  </si>
  <si>
    <t>Henry, Missouri</t>
  </si>
  <si>
    <t>Hickory</t>
  </si>
  <si>
    <t>Hickory, Missouri</t>
  </si>
  <si>
    <t>Holt</t>
  </si>
  <si>
    <t>Holt, Missouri</t>
  </si>
  <si>
    <t>Howard, Missouri</t>
  </si>
  <si>
    <t>Howell</t>
  </si>
  <si>
    <t>Howell, Missouri</t>
  </si>
  <si>
    <t>Iron, Missouri</t>
  </si>
  <si>
    <t>Jackson, Missouri</t>
  </si>
  <si>
    <t>Jasper, Missouri</t>
  </si>
  <si>
    <t>Jefferson, Missouri</t>
  </si>
  <si>
    <t>Johnson, Missouri</t>
  </si>
  <si>
    <t>Knox, Missouri</t>
  </si>
  <si>
    <t>Laclede</t>
  </si>
  <si>
    <t>Laclede, Missouri</t>
  </si>
  <si>
    <t>Lafayette, Missouri</t>
  </si>
  <si>
    <t>Lawrence, Missouri</t>
  </si>
  <si>
    <t>Lewis, Missouri</t>
  </si>
  <si>
    <t>Lincoln, Missouri</t>
  </si>
  <si>
    <t>Linn, Missouri</t>
  </si>
  <si>
    <t>Livingston, Missouri</t>
  </si>
  <si>
    <t>McDonald</t>
  </si>
  <si>
    <t>McDonald, Missouri</t>
  </si>
  <si>
    <t>Macon, Missouri</t>
  </si>
  <si>
    <t>Madison, Missouri</t>
  </si>
  <si>
    <t>Maries</t>
  </si>
  <si>
    <t>Maries, Missouri</t>
  </si>
  <si>
    <t>Marion, Missouri</t>
  </si>
  <si>
    <t>Mercer, Missouri</t>
  </si>
  <si>
    <t>Miller, Missouri</t>
  </si>
  <si>
    <t>Mississippi, Missouri</t>
  </si>
  <si>
    <t>Moniteau</t>
  </si>
  <si>
    <t>Moniteau, Missouri</t>
  </si>
  <si>
    <t>Monroe, Missouri</t>
  </si>
  <si>
    <t>Montgomery, Missouri</t>
  </si>
  <si>
    <t>Morgan, Missouri</t>
  </si>
  <si>
    <t>New Madrid</t>
  </si>
  <si>
    <t>New Madrid, Missouri</t>
  </si>
  <si>
    <t>Newton, Missouri</t>
  </si>
  <si>
    <t>Nodaway</t>
  </si>
  <si>
    <t>Nodaway, Missouri</t>
  </si>
  <si>
    <t>Oregon</t>
  </si>
  <si>
    <t>Oregon, Missouri</t>
  </si>
  <si>
    <t>Osage, Missouri</t>
  </si>
  <si>
    <t>Ozark</t>
  </si>
  <si>
    <t>Ozark, Missouri</t>
  </si>
  <si>
    <t>Pemiscot</t>
  </si>
  <si>
    <t>Pemiscot, Missouri</t>
  </si>
  <si>
    <t>Perry, Missouri</t>
  </si>
  <si>
    <t>Pettis</t>
  </si>
  <si>
    <t>Pettis, Missouri</t>
  </si>
  <si>
    <t>Phelps</t>
  </si>
  <si>
    <t>Phelps, Missouri</t>
  </si>
  <si>
    <t>Pike, Missouri</t>
  </si>
  <si>
    <t>Platte</t>
  </si>
  <si>
    <t>Platte, Missouri</t>
  </si>
  <si>
    <t>Polk, Missouri</t>
  </si>
  <si>
    <t>Pulaski, Missouri</t>
  </si>
  <si>
    <t>Putnam, Missouri</t>
  </si>
  <si>
    <t>Ralls</t>
  </si>
  <si>
    <t>Ralls, Missouri</t>
  </si>
  <si>
    <t>Randolph, Missouri</t>
  </si>
  <si>
    <t>Ray</t>
  </si>
  <si>
    <t>Ray, Missouri</t>
  </si>
  <si>
    <t>Reynolds</t>
  </si>
  <si>
    <t>Reynolds, Missouri</t>
  </si>
  <si>
    <t>Ripley, Missouri</t>
  </si>
  <si>
    <t>St. Charles, Missouri</t>
  </si>
  <si>
    <t>St. Clair, Missouri</t>
  </si>
  <si>
    <t>Ste. Genevieve</t>
  </si>
  <si>
    <t>Ste. Genevieve, Missouri</t>
  </si>
  <si>
    <t>St. Francois</t>
  </si>
  <si>
    <t>St. Francois, Missouri</t>
  </si>
  <si>
    <t>St. Louis, Missouri</t>
  </si>
  <si>
    <t>Saline, Missouri</t>
  </si>
  <si>
    <t>Schuyler, Missouri</t>
  </si>
  <si>
    <t>Scotland</t>
  </si>
  <si>
    <t>Scotland, Missouri</t>
  </si>
  <si>
    <t>Scott, Missouri</t>
  </si>
  <si>
    <t>Shannon</t>
  </si>
  <si>
    <t>Shannon, Missouri</t>
  </si>
  <si>
    <t>Shelby, Missouri</t>
  </si>
  <si>
    <t>Stoddard</t>
  </si>
  <si>
    <t>Stoddard, Missouri</t>
  </si>
  <si>
    <t>Stone, Missouri</t>
  </si>
  <si>
    <t>Sullivan, Missouri</t>
  </si>
  <si>
    <t>Taney</t>
  </si>
  <si>
    <t>Taney, Missouri</t>
  </si>
  <si>
    <t>Texas</t>
  </si>
  <si>
    <t>Texas, Missouri</t>
  </si>
  <si>
    <t>Vernon, Missouri</t>
  </si>
  <si>
    <t>Warren, Missouri</t>
  </si>
  <si>
    <t>Washington, Missouri</t>
  </si>
  <si>
    <t>Wayne, Missouri</t>
  </si>
  <si>
    <t>Webster, Missouri</t>
  </si>
  <si>
    <t>Worth, Missouri</t>
  </si>
  <si>
    <t>Wright, Missouri</t>
  </si>
  <si>
    <t>St. Louis City</t>
  </si>
  <si>
    <t>St. Louis City, Missouri</t>
  </si>
  <si>
    <t>Montana</t>
  </si>
  <si>
    <t>Beaverhead</t>
  </si>
  <si>
    <t>Beaverhead, Montana</t>
  </si>
  <si>
    <t>Big Horn</t>
  </si>
  <si>
    <t>Big Horn, Montana</t>
  </si>
  <si>
    <t>Blaine, Montana</t>
  </si>
  <si>
    <t>Broadwater</t>
  </si>
  <si>
    <t>Broadwater, Montana</t>
  </si>
  <si>
    <t>Carbon</t>
  </si>
  <si>
    <t>Carbon, Montana</t>
  </si>
  <si>
    <t>Carter, Montana</t>
  </si>
  <si>
    <t>Cascade</t>
  </si>
  <si>
    <t>Cascade, Montana</t>
  </si>
  <si>
    <t>Chouteau</t>
  </si>
  <si>
    <t>Chouteau, Montana</t>
  </si>
  <si>
    <t>Custer, Montana</t>
  </si>
  <si>
    <t>Daniels</t>
  </si>
  <si>
    <t>Daniels, Montana</t>
  </si>
  <si>
    <t>Dawson, Montana</t>
  </si>
  <si>
    <t>Deer Lodge</t>
  </si>
  <si>
    <t>Deer Lodge, Montana</t>
  </si>
  <si>
    <t>Fallon</t>
  </si>
  <si>
    <t>Fallon, Montana</t>
  </si>
  <si>
    <t>Fergus</t>
  </si>
  <si>
    <t>Fergus, Montana</t>
  </si>
  <si>
    <t>Flathead</t>
  </si>
  <si>
    <t>Flathead, Montana</t>
  </si>
  <si>
    <t>Gallatin, Montana</t>
  </si>
  <si>
    <t>Garfield, Montana</t>
  </si>
  <si>
    <t>Glacier</t>
  </si>
  <si>
    <t>Glacier, Montana</t>
  </si>
  <si>
    <t>Golden Valley</t>
  </si>
  <si>
    <t>Golden Valley, Montana</t>
  </si>
  <si>
    <t>Granite</t>
  </si>
  <si>
    <t>Granite, Montana</t>
  </si>
  <si>
    <t>Hill</t>
  </si>
  <si>
    <t>Hill, Montana</t>
  </si>
  <si>
    <t>Jefferson, Montana</t>
  </si>
  <si>
    <t>Judith Basin</t>
  </si>
  <si>
    <t>Judith Basin, Montana</t>
  </si>
  <si>
    <t>Lake, Montana</t>
  </si>
  <si>
    <t>Lewis and Clark</t>
  </si>
  <si>
    <t>Lewis and Clark, Montana</t>
  </si>
  <si>
    <t>Liberty, Montana</t>
  </si>
  <si>
    <t>Lincoln, Montana</t>
  </si>
  <si>
    <t>McCone</t>
  </si>
  <si>
    <t>McCone, Montana</t>
  </si>
  <si>
    <t>Madison, Montana</t>
  </si>
  <si>
    <t>Meagher</t>
  </si>
  <si>
    <t>Meagher, Montana</t>
  </si>
  <si>
    <t>Mineral, Montana</t>
  </si>
  <si>
    <t>Missoula</t>
  </si>
  <si>
    <t>Missoula, Montana</t>
  </si>
  <si>
    <t>Musselshell</t>
  </si>
  <si>
    <t>Musselshell, Montana</t>
  </si>
  <si>
    <t>Park, Montana</t>
  </si>
  <si>
    <t>Petroleum</t>
  </si>
  <si>
    <t>Petroleum, Montana</t>
  </si>
  <si>
    <t>Phillips, Montana</t>
  </si>
  <si>
    <t>Pondera</t>
  </si>
  <si>
    <t>Pondera, Montana</t>
  </si>
  <si>
    <t>Powder River</t>
  </si>
  <si>
    <t>Powder River, Montana</t>
  </si>
  <si>
    <t>Powell, Montana</t>
  </si>
  <si>
    <t>Prairie, Montana</t>
  </si>
  <si>
    <t>Ravalli</t>
  </si>
  <si>
    <t>Ravalli, Montana</t>
  </si>
  <si>
    <t>Richland, Montana</t>
  </si>
  <si>
    <t>Roosevelt</t>
  </si>
  <si>
    <t>Roosevelt, Montana</t>
  </si>
  <si>
    <t>Rosebud</t>
  </si>
  <si>
    <t>Rosebud, Montana</t>
  </si>
  <si>
    <t>Sanders</t>
  </si>
  <si>
    <t>Sanders, Montana</t>
  </si>
  <si>
    <t>Sheridan, Montana</t>
  </si>
  <si>
    <t>Silver Bow</t>
  </si>
  <si>
    <t>Silver Bow, Montana</t>
  </si>
  <si>
    <t>Stillwater</t>
  </si>
  <si>
    <t>Stillwater, Montana</t>
  </si>
  <si>
    <t>Sweet Grass</t>
  </si>
  <si>
    <t>Sweet Grass, Montana</t>
  </si>
  <si>
    <t>Teton, Montana</t>
  </si>
  <si>
    <t>Toole</t>
  </si>
  <si>
    <t>Toole, Montana</t>
  </si>
  <si>
    <t>Treasure</t>
  </si>
  <si>
    <t>Treasure, Montana</t>
  </si>
  <si>
    <t>Valley, Montana</t>
  </si>
  <si>
    <t>Wheatland</t>
  </si>
  <si>
    <t>Wheatland, Montana</t>
  </si>
  <si>
    <t>Wibaux</t>
  </si>
  <si>
    <t>Wibaux, Montana</t>
  </si>
  <si>
    <t>Yellowstone</t>
  </si>
  <si>
    <t>Yellowstone, Montana</t>
  </si>
  <si>
    <t>Nebraska</t>
  </si>
  <si>
    <t>Adams, Nebraska</t>
  </si>
  <si>
    <t>Antelope</t>
  </si>
  <si>
    <t>Antelope, Nebraska</t>
  </si>
  <si>
    <t>Arthur</t>
  </si>
  <si>
    <t>Arthur, Nebraska</t>
  </si>
  <si>
    <t>Banner</t>
  </si>
  <si>
    <t>Banner, Nebraska</t>
  </si>
  <si>
    <t>Blaine, Nebraska</t>
  </si>
  <si>
    <t>Boone, Nebraska</t>
  </si>
  <si>
    <t>Box Butte</t>
  </si>
  <si>
    <t>Box Butte, Nebraska</t>
  </si>
  <si>
    <t>Boyd, Nebraska</t>
  </si>
  <si>
    <t>Brown, Nebraska</t>
  </si>
  <si>
    <t>Buffalo</t>
  </si>
  <si>
    <t>Buffalo, Nebraska</t>
  </si>
  <si>
    <t>Burt</t>
  </si>
  <si>
    <t>Burt, Nebraska</t>
  </si>
  <si>
    <t>Butler, Nebraska</t>
  </si>
  <si>
    <t>Cass, Nebraska</t>
  </si>
  <si>
    <t>Cedar, Nebraska</t>
  </si>
  <si>
    <t>Chase, Nebraska</t>
  </si>
  <si>
    <t>Cherry</t>
  </si>
  <si>
    <t>Cherry, Nebraska</t>
  </si>
  <si>
    <t>Cheyenne, Nebraska</t>
  </si>
  <si>
    <t>Clay, Nebraska</t>
  </si>
  <si>
    <t>Colfax</t>
  </si>
  <si>
    <t>Colfax, Nebraska</t>
  </si>
  <si>
    <t>Cuming</t>
  </si>
  <si>
    <t>Cuming, Nebraska</t>
  </si>
  <si>
    <t>Custer, Nebraska</t>
  </si>
  <si>
    <t>Dakota, Nebraska</t>
  </si>
  <si>
    <t>Dawes</t>
  </si>
  <si>
    <t>Dawes, Nebraska</t>
  </si>
  <si>
    <t>Dawson, Nebraska</t>
  </si>
  <si>
    <t>Deuel</t>
  </si>
  <si>
    <t>Deuel, Nebraska</t>
  </si>
  <si>
    <t>Dixon</t>
  </si>
  <si>
    <t>Dixon, Nebraska</t>
  </si>
  <si>
    <t>Dodge, Nebraska</t>
  </si>
  <si>
    <t>Douglas, Nebraska</t>
  </si>
  <si>
    <t>Dundy</t>
  </si>
  <si>
    <t>Dundy, Nebraska</t>
  </si>
  <si>
    <t>Fillmore, Nebraska</t>
  </si>
  <si>
    <t>Franklin, Nebraska</t>
  </si>
  <si>
    <t>Frontier</t>
  </si>
  <si>
    <t>Frontier, Nebraska</t>
  </si>
  <si>
    <t>Furnas</t>
  </si>
  <si>
    <t>Furnas, Nebraska</t>
  </si>
  <si>
    <t>Gage</t>
  </si>
  <si>
    <t>Gage, Nebraska</t>
  </si>
  <si>
    <t>Garden</t>
  </si>
  <si>
    <t>Garden, Nebraska</t>
  </si>
  <si>
    <t>Garfield, Nebraska</t>
  </si>
  <si>
    <t>Gosper</t>
  </si>
  <si>
    <t>Gosper, Nebraska</t>
  </si>
  <si>
    <t>Grant, Nebraska</t>
  </si>
  <si>
    <t>Greeley, Nebraska</t>
  </si>
  <si>
    <t>Hall, Nebraska</t>
  </si>
  <si>
    <t>Hamilton, Nebraska</t>
  </si>
  <si>
    <t>Harlan, Nebraska</t>
  </si>
  <si>
    <t>Hayes</t>
  </si>
  <si>
    <t>Hayes, Nebraska</t>
  </si>
  <si>
    <t>Hitchcock</t>
  </si>
  <si>
    <t>Hitchcock, Nebraska</t>
  </si>
  <si>
    <t>Holt, Nebraska</t>
  </si>
  <si>
    <t>Hooker</t>
  </si>
  <si>
    <t>Hooker, Nebraska</t>
  </si>
  <si>
    <t>Howard, Nebraska</t>
  </si>
  <si>
    <t>Jefferson, Nebraska</t>
  </si>
  <si>
    <t>Johnson, Nebraska</t>
  </si>
  <si>
    <t>Kearney</t>
  </si>
  <si>
    <t>Kearney, Nebraska</t>
  </si>
  <si>
    <t>Keith</t>
  </si>
  <si>
    <t>Keith, Nebraska</t>
  </si>
  <si>
    <t>Keya Paha</t>
  </si>
  <si>
    <t>Keya Paha, Nebraska</t>
  </si>
  <si>
    <t>Kimball</t>
  </si>
  <si>
    <t>Kimball, Nebraska</t>
  </si>
  <si>
    <t>Knox, Nebraska</t>
  </si>
  <si>
    <t>Lancaster</t>
  </si>
  <si>
    <t>Lancaster, Nebraska</t>
  </si>
  <si>
    <t>Lincoln, Nebraska</t>
  </si>
  <si>
    <t>Logan, Nebraska</t>
  </si>
  <si>
    <t>Loup</t>
  </si>
  <si>
    <t>Loup, Nebraska</t>
  </si>
  <si>
    <t>McPherson, Nebraska</t>
  </si>
  <si>
    <t>Madison, Nebraska</t>
  </si>
  <si>
    <t>Merrick</t>
  </si>
  <si>
    <t>Merrick, Nebraska</t>
  </si>
  <si>
    <t>Morrill</t>
  </si>
  <si>
    <t>Morrill, Nebraska</t>
  </si>
  <si>
    <t>Nance</t>
  </si>
  <si>
    <t>Nance, Nebraska</t>
  </si>
  <si>
    <t>Nemaha, Nebraska</t>
  </si>
  <si>
    <t>Nuckolls</t>
  </si>
  <si>
    <t>Nuckolls, Nebraska</t>
  </si>
  <si>
    <t>Otoe</t>
  </si>
  <si>
    <t>Otoe, Nebraska</t>
  </si>
  <si>
    <t>Pawnee, Nebraska</t>
  </si>
  <si>
    <t>Perkins</t>
  </si>
  <si>
    <t>Perkins, Nebraska</t>
  </si>
  <si>
    <t>Phelps, Nebraska</t>
  </si>
  <si>
    <t>Pierce, Nebraska</t>
  </si>
  <si>
    <t>Platte, Nebraska</t>
  </si>
  <si>
    <t>Polk, Nebraska</t>
  </si>
  <si>
    <t>Red Willow</t>
  </si>
  <si>
    <t>Red Willow, Nebraska</t>
  </si>
  <si>
    <t>Richardson</t>
  </si>
  <si>
    <t>Richardson, Nebraska</t>
  </si>
  <si>
    <t>Rock, Nebraska</t>
  </si>
  <si>
    <t>Saline, Nebraska</t>
  </si>
  <si>
    <t>Sarpy</t>
  </si>
  <si>
    <t>Sarpy, Nebraska</t>
  </si>
  <si>
    <t>Saunders</t>
  </si>
  <si>
    <t>Saunders, Nebraska</t>
  </si>
  <si>
    <t>Scotts Bluff</t>
  </si>
  <si>
    <t>Scotts Bluff, Nebraska</t>
  </si>
  <si>
    <t>Seward, Nebraska</t>
  </si>
  <si>
    <t>Sheridan, Nebraska</t>
  </si>
  <si>
    <t>Sherman, Nebraska</t>
  </si>
  <si>
    <t>Sioux, Nebraska</t>
  </si>
  <si>
    <t>Stanton, Nebraska</t>
  </si>
  <si>
    <t>Thayer</t>
  </si>
  <si>
    <t>Thayer, Nebraska</t>
  </si>
  <si>
    <t>Thomas, Nebraska</t>
  </si>
  <si>
    <t>Thurston</t>
  </si>
  <si>
    <t>Thurston, Nebraska</t>
  </si>
  <si>
    <t>Valley, Nebraska</t>
  </si>
  <si>
    <t>Washington, Nebraska</t>
  </si>
  <si>
    <t>Wayne, Nebraska</t>
  </si>
  <si>
    <t>Webster, Nebraska</t>
  </si>
  <si>
    <t>Wheeler, Nebraska</t>
  </si>
  <si>
    <t>York, Nebraska</t>
  </si>
  <si>
    <t>Churchill</t>
  </si>
  <si>
    <t>Churchill, Nevada</t>
  </si>
  <si>
    <t>Clark, Nevada</t>
  </si>
  <si>
    <t>Douglas, Nevada</t>
  </si>
  <si>
    <t>Elko</t>
  </si>
  <si>
    <t>Elko, Nevada</t>
  </si>
  <si>
    <t>Esmeralda</t>
  </si>
  <si>
    <t>Esmeralda, Nevada</t>
  </si>
  <si>
    <t>Eureka</t>
  </si>
  <si>
    <t>Eureka, Nevada</t>
  </si>
  <si>
    <t>Humboldt, Nevada</t>
  </si>
  <si>
    <t>Lander</t>
  </si>
  <si>
    <t>Lander, Nevada</t>
  </si>
  <si>
    <t>Lincoln, Nevada</t>
  </si>
  <si>
    <t>Lyon, Nevada</t>
  </si>
  <si>
    <t>Mineral, Nevada</t>
  </si>
  <si>
    <t>Nye</t>
  </si>
  <si>
    <t>Nye, Nevada</t>
  </si>
  <si>
    <t>Pershing</t>
  </si>
  <si>
    <t>Pershing, Nevada</t>
  </si>
  <si>
    <t>Storey</t>
  </si>
  <si>
    <t>Storey, Nevada</t>
  </si>
  <si>
    <t>Washoe</t>
  </si>
  <si>
    <t>Washoe, Nevada</t>
  </si>
  <si>
    <t>White Pine</t>
  </si>
  <si>
    <t>White Pine, Nevada</t>
  </si>
  <si>
    <t>Carson City</t>
  </si>
  <si>
    <t>Carson City, Nevada</t>
  </si>
  <si>
    <t>New Hampshire</t>
  </si>
  <si>
    <t>Belknap</t>
  </si>
  <si>
    <t>Belknap, New Hampshire</t>
  </si>
  <si>
    <t>Carroll, New Hampshire</t>
  </si>
  <si>
    <t>Cheshire</t>
  </si>
  <si>
    <t>Cheshire, New Hampshire</t>
  </si>
  <si>
    <t>Coos</t>
  </si>
  <si>
    <t>Coos, New Hampshire</t>
  </si>
  <si>
    <t>Grafton</t>
  </si>
  <si>
    <t>Grafton, New Hampshire</t>
  </si>
  <si>
    <t>Hillsborough, New Hampshire</t>
  </si>
  <si>
    <t>Merrimack</t>
  </si>
  <si>
    <t>Merrimack, New Hampshire</t>
  </si>
  <si>
    <t>Rockingham</t>
  </si>
  <si>
    <t>Rockingham, New Hampshire</t>
  </si>
  <si>
    <t>Strafford</t>
  </si>
  <si>
    <t>Strafford, New Hampshire</t>
  </si>
  <si>
    <t>Sullivan, New Hampshire</t>
  </si>
  <si>
    <t>New Jersey</t>
  </si>
  <si>
    <t>Atlantic</t>
  </si>
  <si>
    <t>Atlantic, New Jersey</t>
  </si>
  <si>
    <t>Bergen</t>
  </si>
  <si>
    <t>Bergen, New Jersey</t>
  </si>
  <si>
    <t>Burlington</t>
  </si>
  <si>
    <t>Burlington, New Jersey</t>
  </si>
  <si>
    <t>Camden, New Jersey</t>
  </si>
  <si>
    <t>Cape May</t>
  </si>
  <si>
    <t>Cape May, New Jersey</t>
  </si>
  <si>
    <t>Cumberland, New Jersey</t>
  </si>
  <si>
    <t>Essex, New Jersey</t>
  </si>
  <si>
    <t>Gloucester</t>
  </si>
  <si>
    <t>Gloucester, New Jersey</t>
  </si>
  <si>
    <t>Hudson</t>
  </si>
  <si>
    <t>Hudson, New Jersey</t>
  </si>
  <si>
    <t>Hunterdon</t>
  </si>
  <si>
    <t>Hunterdon, New Jersey</t>
  </si>
  <si>
    <t>Mercer, New Jersey</t>
  </si>
  <si>
    <t>Middlesex, New Jersey</t>
  </si>
  <si>
    <t>Monmouth</t>
  </si>
  <si>
    <t>Monmouth, New Jersey</t>
  </si>
  <si>
    <t>Morris, New Jersey</t>
  </si>
  <si>
    <t>Ocean</t>
  </si>
  <si>
    <t>Ocean, New Jersey</t>
  </si>
  <si>
    <t>Passaic</t>
  </si>
  <si>
    <t>Passaic, New Jersey</t>
  </si>
  <si>
    <t>Salem</t>
  </si>
  <si>
    <t>Salem, New Jersey</t>
  </si>
  <si>
    <t>Somerset, New Jersey</t>
  </si>
  <si>
    <t>Sussex, New Jersey</t>
  </si>
  <si>
    <t>Union, New Jersey</t>
  </si>
  <si>
    <t>Warren, New Jersey</t>
  </si>
  <si>
    <t>New Mexico</t>
  </si>
  <si>
    <t>Bernalillo</t>
  </si>
  <si>
    <t>Bernalillo, New Mexico</t>
  </si>
  <si>
    <t>Catron</t>
  </si>
  <si>
    <t>Catron, New Mexico</t>
  </si>
  <si>
    <t>Chaves</t>
  </si>
  <si>
    <t>Chaves, New Mexico</t>
  </si>
  <si>
    <t>Cibola</t>
  </si>
  <si>
    <t>Cibola, New Mexico</t>
  </si>
  <si>
    <t>Colfax, New Mexico</t>
  </si>
  <si>
    <t>Curry</t>
  </si>
  <si>
    <t>Curry, New Mexico</t>
  </si>
  <si>
    <t>De Baca</t>
  </si>
  <si>
    <t>De Baca, New Mexico</t>
  </si>
  <si>
    <t>Dona Ana</t>
  </si>
  <si>
    <t>Dona Ana, New Mexico</t>
  </si>
  <si>
    <t>Eddy</t>
  </si>
  <si>
    <t>Eddy, New Mexico</t>
  </si>
  <si>
    <t>Grant, New Mexico</t>
  </si>
  <si>
    <t>Guadalupe</t>
  </si>
  <si>
    <t>Guadalupe, New Mexico</t>
  </si>
  <si>
    <t>Harding</t>
  </si>
  <si>
    <t>Harding, New Mexico</t>
  </si>
  <si>
    <t>Hidalgo</t>
  </si>
  <si>
    <t>Hidalgo, New Mexico</t>
  </si>
  <si>
    <t>Lea</t>
  </si>
  <si>
    <t>Lea, New Mexico</t>
  </si>
  <si>
    <t>Lincoln, New Mexico</t>
  </si>
  <si>
    <t>Los Alamos</t>
  </si>
  <si>
    <t>Los Alamos, New Mexico</t>
  </si>
  <si>
    <t>Luna</t>
  </si>
  <si>
    <t>Luna, New Mexico</t>
  </si>
  <si>
    <t>McKinley</t>
  </si>
  <si>
    <t>McKinley, New Mexico</t>
  </si>
  <si>
    <t>Mora</t>
  </si>
  <si>
    <t>Mora, New Mexico</t>
  </si>
  <si>
    <t>Otero, New Mexico</t>
  </si>
  <si>
    <t>Quay</t>
  </si>
  <si>
    <t>Quay, New Mexico</t>
  </si>
  <si>
    <t>Rio Arriba</t>
  </si>
  <si>
    <t>Rio Arriba, New Mexico</t>
  </si>
  <si>
    <t>Roosevelt, New Mexico</t>
  </si>
  <si>
    <t>Sandoval</t>
  </si>
  <si>
    <t>Sandoval, New Mexico</t>
  </si>
  <si>
    <t>San Juan, New Mexico</t>
  </si>
  <si>
    <t>San Miguel, New Mexico</t>
  </si>
  <si>
    <t>Santa Fe</t>
  </si>
  <si>
    <t>Santa Fe, New Mexico</t>
  </si>
  <si>
    <t>Sierra, New Mexico</t>
  </si>
  <si>
    <t>Socorro</t>
  </si>
  <si>
    <t>Socorro, New Mexico</t>
  </si>
  <si>
    <t>Taos</t>
  </si>
  <si>
    <t>Taos, New Mexico</t>
  </si>
  <si>
    <t>Torrance</t>
  </si>
  <si>
    <t>Torrance, New Mexico</t>
  </si>
  <si>
    <t>Union, New Mexico</t>
  </si>
  <si>
    <t>Valencia</t>
  </si>
  <si>
    <t>Valencia, New Mexico</t>
  </si>
  <si>
    <t>New York</t>
  </si>
  <si>
    <t>Albany</t>
  </si>
  <si>
    <t>Albany, New York</t>
  </si>
  <si>
    <t>Allegany, New York</t>
  </si>
  <si>
    <t>Bronx</t>
  </si>
  <si>
    <t>Bronx, New York</t>
  </si>
  <si>
    <t>Broome</t>
  </si>
  <si>
    <t>Broome, New York</t>
  </si>
  <si>
    <t>Cattaraugus</t>
  </si>
  <si>
    <t>Cattaraugus, New York</t>
  </si>
  <si>
    <t>Cayuga</t>
  </si>
  <si>
    <t>Cayuga, New York</t>
  </si>
  <si>
    <t>Chautauqua, New York</t>
  </si>
  <si>
    <t>Chemung</t>
  </si>
  <si>
    <t>Chemung, New York</t>
  </si>
  <si>
    <t>Chenango</t>
  </si>
  <si>
    <t>Chenango, New York</t>
  </si>
  <si>
    <t>Clinton, New York</t>
  </si>
  <si>
    <t>Columbia, New York</t>
  </si>
  <si>
    <t>Cortland</t>
  </si>
  <si>
    <t>Cortland, New York</t>
  </si>
  <si>
    <t>Delaware, New York</t>
  </si>
  <si>
    <t>Dutchess</t>
  </si>
  <si>
    <t>Dutchess, New York</t>
  </si>
  <si>
    <t>Erie</t>
  </si>
  <si>
    <t>Erie, New York</t>
  </si>
  <si>
    <t>Essex, New York</t>
  </si>
  <si>
    <t>Franklin, New York</t>
  </si>
  <si>
    <t>Fulton, New York</t>
  </si>
  <si>
    <t>Genesee, New York</t>
  </si>
  <si>
    <t>Greene, New York</t>
  </si>
  <si>
    <t>Hamilton, New York</t>
  </si>
  <si>
    <t>Herkimer</t>
  </si>
  <si>
    <t>Herkimer, New York</t>
  </si>
  <si>
    <t>Jefferson, New York</t>
  </si>
  <si>
    <t>Kings, New York</t>
  </si>
  <si>
    <t>Lewis, New York</t>
  </si>
  <si>
    <t>Livingston, New York</t>
  </si>
  <si>
    <t>Madison, New York</t>
  </si>
  <si>
    <t>Monroe, New York</t>
  </si>
  <si>
    <t>Montgomery, New York</t>
  </si>
  <si>
    <t>Nassau, New York</t>
  </si>
  <si>
    <t>New York, New York</t>
  </si>
  <si>
    <t>Niagara</t>
  </si>
  <si>
    <t>Niagara, New York</t>
  </si>
  <si>
    <t>Oneida, New York</t>
  </si>
  <si>
    <t>Onondaga</t>
  </si>
  <si>
    <t>Onondaga, New York</t>
  </si>
  <si>
    <t>Ontario</t>
  </si>
  <si>
    <t>Ontario, New York</t>
  </si>
  <si>
    <t>Orange, New York</t>
  </si>
  <si>
    <t>Orleans, New York</t>
  </si>
  <si>
    <t>Oswego</t>
  </si>
  <si>
    <t>Oswego, New York</t>
  </si>
  <si>
    <t>Otsego, New York</t>
  </si>
  <si>
    <t>Putnam, New York</t>
  </si>
  <si>
    <t>Queens</t>
  </si>
  <si>
    <t>Queens, New York</t>
  </si>
  <si>
    <t>Rensselaer</t>
  </si>
  <si>
    <t>Rensselaer, New York</t>
  </si>
  <si>
    <t>Richmond, New York</t>
  </si>
  <si>
    <t>Rockland</t>
  </si>
  <si>
    <t>Rockland, New York</t>
  </si>
  <si>
    <t>St. Lawrence</t>
  </si>
  <si>
    <t>St. Lawrence, New York</t>
  </si>
  <si>
    <t>Saratoga</t>
  </si>
  <si>
    <t>Saratoga, New York</t>
  </si>
  <si>
    <t>Schenectady</t>
  </si>
  <si>
    <t>Schenectady, New York</t>
  </si>
  <si>
    <t>Schoharie</t>
  </si>
  <si>
    <t>Schoharie, New York</t>
  </si>
  <si>
    <t>Schuyler, New York</t>
  </si>
  <si>
    <t>Seneca</t>
  </si>
  <si>
    <t>Seneca, New York</t>
  </si>
  <si>
    <t>Steuben, New York</t>
  </si>
  <si>
    <t>Suffolk, New York</t>
  </si>
  <si>
    <t>Sullivan, New York</t>
  </si>
  <si>
    <t>Tioga</t>
  </si>
  <si>
    <t>Tioga, New York</t>
  </si>
  <si>
    <t>Tompkins</t>
  </si>
  <si>
    <t>Tompkins, New York</t>
  </si>
  <si>
    <t>Ulster</t>
  </si>
  <si>
    <t>Ulster, New York</t>
  </si>
  <si>
    <t>Warren, New York</t>
  </si>
  <si>
    <t>Washington, New York</t>
  </si>
  <si>
    <t>Wayne, New York</t>
  </si>
  <si>
    <t>Westchester</t>
  </si>
  <si>
    <t>Westchester, New York</t>
  </si>
  <si>
    <t>Wyoming</t>
  </si>
  <si>
    <t>Wyoming, New York</t>
  </si>
  <si>
    <t>Yates</t>
  </si>
  <si>
    <t>Yates, New York</t>
  </si>
  <si>
    <t>North Carolina</t>
  </si>
  <si>
    <t>Alamance</t>
  </si>
  <si>
    <t>Alamance, North Carolina</t>
  </si>
  <si>
    <t>Alexander, North Carolina</t>
  </si>
  <si>
    <t>Alleghany</t>
  </si>
  <si>
    <t>Alleghany, North Carolina</t>
  </si>
  <si>
    <t>Anson</t>
  </si>
  <si>
    <t>Anson, North Carolina</t>
  </si>
  <si>
    <t>Ashe</t>
  </si>
  <si>
    <t>Ashe, North Carolina</t>
  </si>
  <si>
    <t>Avery</t>
  </si>
  <si>
    <t>Avery, North Carolina</t>
  </si>
  <si>
    <t>Beaufort</t>
  </si>
  <si>
    <t>Beaufort, North Carolina</t>
  </si>
  <si>
    <t>Bertie</t>
  </si>
  <si>
    <t>Bertie, North Carolina</t>
  </si>
  <si>
    <t>Bladen</t>
  </si>
  <si>
    <t>Bladen, North Carolina</t>
  </si>
  <si>
    <t>Brunswick</t>
  </si>
  <si>
    <t>Brunswick, North Carolina</t>
  </si>
  <si>
    <t>Buncombe</t>
  </si>
  <si>
    <t>Buncombe, North Carolina</t>
  </si>
  <si>
    <t>Burke, North Carolina</t>
  </si>
  <si>
    <t>Cabarrus</t>
  </si>
  <si>
    <t>Cabarrus, North Carolina</t>
  </si>
  <si>
    <t>Caldwell, North Carolina</t>
  </si>
  <si>
    <t>Camden, North Carolina</t>
  </si>
  <si>
    <t>Carteret</t>
  </si>
  <si>
    <t>Carteret, North Carolina</t>
  </si>
  <si>
    <t>Caswell</t>
  </si>
  <si>
    <t>Caswell, North Carolina</t>
  </si>
  <si>
    <t>Catawba</t>
  </si>
  <si>
    <t>Catawba, North Carolina</t>
  </si>
  <si>
    <t>Chatham, North Carolina</t>
  </si>
  <si>
    <t>Cherokee, North Carolina</t>
  </si>
  <si>
    <t>Chowan</t>
  </si>
  <si>
    <t>Chowan, North Carolina</t>
  </si>
  <si>
    <t>Clay, North Carolina</t>
  </si>
  <si>
    <t>Cleveland, North Carolina</t>
  </si>
  <si>
    <t>Columbus</t>
  </si>
  <si>
    <t>Columbus, North Carolina</t>
  </si>
  <si>
    <t>Craven</t>
  </si>
  <si>
    <t>Craven, North Carolina</t>
  </si>
  <si>
    <t>Cumberland, North Carolina</t>
  </si>
  <si>
    <t>Currituck</t>
  </si>
  <si>
    <t>Currituck, North Carolina</t>
  </si>
  <si>
    <t>Dare</t>
  </si>
  <si>
    <t>Dare, North Carolina</t>
  </si>
  <si>
    <t>Davidson</t>
  </si>
  <si>
    <t>Davidson, North Carolina</t>
  </si>
  <si>
    <t>Davie</t>
  </si>
  <si>
    <t>Davie, North Carolina</t>
  </si>
  <si>
    <t>Duplin</t>
  </si>
  <si>
    <t>Duplin, North Carolina</t>
  </si>
  <si>
    <t>Durham</t>
  </si>
  <si>
    <t>Durham, North Carolina</t>
  </si>
  <si>
    <t>Edgecombe</t>
  </si>
  <si>
    <t>Edgecombe, North Carolina</t>
  </si>
  <si>
    <t>Forsyth, North Carolina</t>
  </si>
  <si>
    <t>Franklin, North Carolina</t>
  </si>
  <si>
    <t>Gaston</t>
  </si>
  <si>
    <t>Gaston, North Carolina</t>
  </si>
  <si>
    <t>Gates</t>
  </si>
  <si>
    <t>Gates, North Carolina</t>
  </si>
  <si>
    <t>Graham, North Carolina</t>
  </si>
  <si>
    <t>Granville</t>
  </si>
  <si>
    <t>Granville, North Carolina</t>
  </si>
  <si>
    <t>Greene, North Carolina</t>
  </si>
  <si>
    <t>Guilford</t>
  </si>
  <si>
    <t>Guilford, North Carolina</t>
  </si>
  <si>
    <t>Halifax</t>
  </si>
  <si>
    <t>Halifax, North Carolina</t>
  </si>
  <si>
    <t>Harnett</t>
  </si>
  <si>
    <t>Harnett, North Carolina</t>
  </si>
  <si>
    <t>Haywood</t>
  </si>
  <si>
    <t>Haywood, North Carolina</t>
  </si>
  <si>
    <t>Henderson, North Carolina</t>
  </si>
  <si>
    <t>Hertford</t>
  </si>
  <si>
    <t>Hertford, North Carolina</t>
  </si>
  <si>
    <t>Hoke</t>
  </si>
  <si>
    <t>Hoke, North Carolina</t>
  </si>
  <si>
    <t>Hyde</t>
  </si>
  <si>
    <t>Hyde, North Carolina</t>
  </si>
  <si>
    <t>Iredell</t>
  </si>
  <si>
    <t>Iredell, North Carolina</t>
  </si>
  <si>
    <t>Jackson, North Carolina</t>
  </si>
  <si>
    <t>Johnston</t>
  </si>
  <si>
    <t>Johnston, North Carolina</t>
  </si>
  <si>
    <t>Jones, North Carolina</t>
  </si>
  <si>
    <t>Lee, North Carolina</t>
  </si>
  <si>
    <t>Lenoir</t>
  </si>
  <si>
    <t>Lenoir, North Carolina</t>
  </si>
  <si>
    <t>Lincoln, North Carolina</t>
  </si>
  <si>
    <t>McDowell</t>
  </si>
  <si>
    <t>McDowell, North Carolina</t>
  </si>
  <si>
    <t>Macon, North Carolina</t>
  </si>
  <si>
    <t>Madison, North Carolina</t>
  </si>
  <si>
    <t>Martin, North Carolina</t>
  </si>
  <si>
    <t>Mecklenburg</t>
  </si>
  <si>
    <t>Mecklenburg, North Carolina</t>
  </si>
  <si>
    <t>Mitchell, North Carolina</t>
  </si>
  <si>
    <t>Montgomery, North Carolina</t>
  </si>
  <si>
    <t>Moore</t>
  </si>
  <si>
    <t>Moore, North Carolina</t>
  </si>
  <si>
    <t>Nash</t>
  </si>
  <si>
    <t>Nash, North Carolina</t>
  </si>
  <si>
    <t>New Hanover</t>
  </si>
  <si>
    <t>New Hanover, North Carolina</t>
  </si>
  <si>
    <t>Northampton</t>
  </si>
  <si>
    <t>Northampton, North Carolina</t>
  </si>
  <si>
    <t>Onslow</t>
  </si>
  <si>
    <t>Onslow, North Carolina</t>
  </si>
  <si>
    <t>Orange, North Carolina</t>
  </si>
  <si>
    <t>Pamlico</t>
  </si>
  <si>
    <t>Pamlico, North Carolina</t>
  </si>
  <si>
    <t>Pasquotank</t>
  </si>
  <si>
    <t>Pasquotank, North Carolina</t>
  </si>
  <si>
    <t>Pender</t>
  </si>
  <si>
    <t>Pender, North Carolina</t>
  </si>
  <si>
    <t>Perquimans</t>
  </si>
  <si>
    <t>Perquimans, North Carolina</t>
  </si>
  <si>
    <t>Person</t>
  </si>
  <si>
    <t>Person, North Carolina</t>
  </si>
  <si>
    <t>Pitt</t>
  </si>
  <si>
    <t>Pitt, North Carolina</t>
  </si>
  <si>
    <t>Polk, North Carolina</t>
  </si>
  <si>
    <t>Randolph, North Carolina</t>
  </si>
  <si>
    <t>Richmond, North Carolina</t>
  </si>
  <si>
    <t>Robeson</t>
  </si>
  <si>
    <t>Robeson, North Carolina</t>
  </si>
  <si>
    <t>Rockingham, North Carolina</t>
  </si>
  <si>
    <t>Rowan, North Carolina</t>
  </si>
  <si>
    <t>Rutherford</t>
  </si>
  <si>
    <t>Rutherford, North Carolina</t>
  </si>
  <si>
    <t>Sampson</t>
  </si>
  <si>
    <t>Sampson, North Carolina</t>
  </si>
  <si>
    <t>Scotland, North Carolina</t>
  </si>
  <si>
    <t>Stanly</t>
  </si>
  <si>
    <t>Stanly, North Carolina</t>
  </si>
  <si>
    <t>Stokes</t>
  </si>
  <si>
    <t>Stokes, North Carolina</t>
  </si>
  <si>
    <t>Surry</t>
  </si>
  <si>
    <t>Surry, North Carolina</t>
  </si>
  <si>
    <t>Swain</t>
  </si>
  <si>
    <t>Swain, North Carolina</t>
  </si>
  <si>
    <t>Transylvania</t>
  </si>
  <si>
    <t>Transylvania, North Carolina</t>
  </si>
  <si>
    <t>Tyrrell</t>
  </si>
  <si>
    <t>Tyrrell, North Carolina</t>
  </si>
  <si>
    <t>Union, North Carolina</t>
  </si>
  <si>
    <t>Vance</t>
  </si>
  <si>
    <t>Vance, North Carolina</t>
  </si>
  <si>
    <t>Wake</t>
  </si>
  <si>
    <t>Wake, North Carolina</t>
  </si>
  <si>
    <t>Warren, North Carolina</t>
  </si>
  <si>
    <t>Washington, North Carolina</t>
  </si>
  <si>
    <t>Watauga</t>
  </si>
  <si>
    <t>Watauga, North Carolina</t>
  </si>
  <si>
    <t>Wayne, North Carolina</t>
  </si>
  <si>
    <t>Wilkes, North Carolina</t>
  </si>
  <si>
    <t>Wilson, North Carolina</t>
  </si>
  <si>
    <t>Yadkin</t>
  </si>
  <si>
    <t>Yadkin, North Carolina</t>
  </si>
  <si>
    <t>Yancey</t>
  </si>
  <si>
    <t>Yancey, North Carolina</t>
  </si>
  <si>
    <t>North Dakota</t>
  </si>
  <si>
    <t>Adams, North Dakota</t>
  </si>
  <si>
    <t>Barnes</t>
  </si>
  <si>
    <t>Barnes, North Dakota</t>
  </si>
  <si>
    <t>Benson</t>
  </si>
  <si>
    <t>Benson, North Dakota</t>
  </si>
  <si>
    <t>Billings</t>
  </si>
  <si>
    <t>Billings, North Dakota</t>
  </si>
  <si>
    <t>Bottineau</t>
  </si>
  <si>
    <t>Bottineau, North Dakota</t>
  </si>
  <si>
    <t>Bowman</t>
  </si>
  <si>
    <t>Bowman, North Dakota</t>
  </si>
  <si>
    <t>Burke, North Dakota</t>
  </si>
  <si>
    <t>Burleigh</t>
  </si>
  <si>
    <t>Burleigh, North Dakota</t>
  </si>
  <si>
    <t>Cass, North Dakota</t>
  </si>
  <si>
    <t>Cavalier</t>
  </si>
  <si>
    <t>Cavalier, North Dakota</t>
  </si>
  <si>
    <t>Dickey</t>
  </si>
  <si>
    <t>Dickey, North Dakota</t>
  </si>
  <si>
    <t>Divide</t>
  </si>
  <si>
    <t>Divide, North Dakota</t>
  </si>
  <si>
    <t>Dunn</t>
  </si>
  <si>
    <t>Dunn, North Dakota</t>
  </si>
  <si>
    <t>Eddy, North Dakota</t>
  </si>
  <si>
    <t>Emmons</t>
  </si>
  <si>
    <t>Emmons, North Dakota</t>
  </si>
  <si>
    <t>Foster</t>
  </si>
  <si>
    <t>Foster, North Dakota</t>
  </si>
  <si>
    <t>Golden Valley, North Dakota</t>
  </si>
  <si>
    <t>Grand Forks</t>
  </si>
  <si>
    <t>Grand Forks, North Dakota</t>
  </si>
  <si>
    <t>Grant, North Dakota</t>
  </si>
  <si>
    <t>Griggs</t>
  </si>
  <si>
    <t>Griggs, North Dakota</t>
  </si>
  <si>
    <t>Hettinger</t>
  </si>
  <si>
    <t>Hettinger, North Dakota</t>
  </si>
  <si>
    <t>Kidder</t>
  </si>
  <si>
    <t>Kidder, North Dakota</t>
  </si>
  <si>
    <t>LaMoure</t>
  </si>
  <si>
    <t>LaMoure, North Dakota</t>
  </si>
  <si>
    <t>Logan, North Dakota</t>
  </si>
  <si>
    <t>McHenry, North Dakota</t>
  </si>
  <si>
    <t>McIntosh, North Dakota</t>
  </si>
  <si>
    <t>McKenzie</t>
  </si>
  <si>
    <t>McKenzie, North Dakota</t>
  </si>
  <si>
    <t>McLean, North Dakota</t>
  </si>
  <si>
    <t>Mercer, North Dakota</t>
  </si>
  <si>
    <t>Morton, North Dakota</t>
  </si>
  <si>
    <t>Mountrail</t>
  </si>
  <si>
    <t>Mountrail, North Dakota</t>
  </si>
  <si>
    <t>Nelson, North Dakota</t>
  </si>
  <si>
    <t>Oliver</t>
  </si>
  <si>
    <t>Oliver, North Dakota</t>
  </si>
  <si>
    <t>Pembina</t>
  </si>
  <si>
    <t>Pembina, North Dakota</t>
  </si>
  <si>
    <t>Pierce, North Dakota</t>
  </si>
  <si>
    <t>Ramsey, North Dakota</t>
  </si>
  <si>
    <t>Ransom</t>
  </si>
  <si>
    <t>Ransom, North Dakota</t>
  </si>
  <si>
    <t>Renville, North Dakota</t>
  </si>
  <si>
    <t>Richland, North Dakota</t>
  </si>
  <si>
    <t>Rolette</t>
  </si>
  <si>
    <t>Rolette, North Dakota</t>
  </si>
  <si>
    <t>Sargent</t>
  </si>
  <si>
    <t>Sargent, North Dakota</t>
  </si>
  <si>
    <t>Sheridan, North Dakota</t>
  </si>
  <si>
    <t>Sioux, North Dakota</t>
  </si>
  <si>
    <t>Slope</t>
  </si>
  <si>
    <t>Slope, North Dakota</t>
  </si>
  <si>
    <t>Stark, North Dakota</t>
  </si>
  <si>
    <t>Steele, North Dakota</t>
  </si>
  <si>
    <t>Stutsman</t>
  </si>
  <si>
    <t>Stutsman, North Dakota</t>
  </si>
  <si>
    <t>Towner</t>
  </si>
  <si>
    <t>Towner, North Dakota</t>
  </si>
  <si>
    <t>Traill</t>
  </si>
  <si>
    <t>Traill, North Dakota</t>
  </si>
  <si>
    <t>Walsh</t>
  </si>
  <si>
    <t>Walsh, North Dakota</t>
  </si>
  <si>
    <t>Ward</t>
  </si>
  <si>
    <t>Ward, North Dakota</t>
  </si>
  <si>
    <t>Wells, North Dakota</t>
  </si>
  <si>
    <t>Williams</t>
  </si>
  <si>
    <t>Williams, North Dakota</t>
  </si>
  <si>
    <t>Adams, Ohio</t>
  </si>
  <si>
    <t>Allen, Ohio</t>
  </si>
  <si>
    <t>Ashland</t>
  </si>
  <si>
    <t>Ashland, Ohio</t>
  </si>
  <si>
    <t>Ashtabula</t>
  </si>
  <si>
    <t>Ashtabula, Ohio</t>
  </si>
  <si>
    <t>Athens</t>
  </si>
  <si>
    <t>Athens, Ohio</t>
  </si>
  <si>
    <t>Auglaize</t>
  </si>
  <si>
    <t>Auglaize, Ohio</t>
  </si>
  <si>
    <t>Belmont</t>
  </si>
  <si>
    <t>Belmont, Ohio</t>
  </si>
  <si>
    <t>Brown, Ohio</t>
  </si>
  <si>
    <t>Butler, Ohio</t>
  </si>
  <si>
    <t>Carroll, Ohio</t>
  </si>
  <si>
    <t>Champaign, Ohio</t>
  </si>
  <si>
    <t>Clark, Ohio</t>
  </si>
  <si>
    <t>Clermont</t>
  </si>
  <si>
    <t>Clermont, Ohio</t>
  </si>
  <si>
    <t>Clinton, Ohio</t>
  </si>
  <si>
    <t>Columbiana</t>
  </si>
  <si>
    <t>Columbiana, Ohio</t>
  </si>
  <si>
    <t>Coshocton</t>
  </si>
  <si>
    <t>Coshocton, Ohio</t>
  </si>
  <si>
    <t>Crawford, Ohio</t>
  </si>
  <si>
    <t>Cuyahoga</t>
  </si>
  <si>
    <t>Cuyahoga, Ohio</t>
  </si>
  <si>
    <t>Darke</t>
  </si>
  <si>
    <t>Darke, Ohio</t>
  </si>
  <si>
    <t>Defiance</t>
  </si>
  <si>
    <t>Defiance, Ohio</t>
  </si>
  <si>
    <t>Delaware, Ohio</t>
  </si>
  <si>
    <t>Erie, Ohio</t>
  </si>
  <si>
    <t>Fairfield</t>
  </si>
  <si>
    <t>Fairfield, Ohio</t>
  </si>
  <si>
    <t>Fayette, Ohio</t>
  </si>
  <si>
    <t>Franklin, Ohio</t>
  </si>
  <si>
    <t>Fulton, Ohio</t>
  </si>
  <si>
    <t>Gallia</t>
  </si>
  <si>
    <t>Gallia, Ohio</t>
  </si>
  <si>
    <t>Geauga</t>
  </si>
  <si>
    <t>Geauga, Ohio</t>
  </si>
  <si>
    <t>Greene, Ohio</t>
  </si>
  <si>
    <t>Guernsey</t>
  </si>
  <si>
    <t>Guernsey, Ohio</t>
  </si>
  <si>
    <t>Hamilton, Ohio</t>
  </si>
  <si>
    <t>Hancock, Ohio</t>
  </si>
  <si>
    <t>Hardin, Ohio</t>
  </si>
  <si>
    <t>Harrison, Ohio</t>
  </si>
  <si>
    <t>Henry, Ohio</t>
  </si>
  <si>
    <t>Highland</t>
  </si>
  <si>
    <t>Highland, Ohio</t>
  </si>
  <si>
    <t>Hocking</t>
  </si>
  <si>
    <t>Hocking, Ohio</t>
  </si>
  <si>
    <t>Holmes, Ohio</t>
  </si>
  <si>
    <t>Huron, Ohio</t>
  </si>
  <si>
    <t>Jackson, Ohio</t>
  </si>
  <si>
    <t>Jefferson, Ohio</t>
  </si>
  <si>
    <t>Knox, Ohio</t>
  </si>
  <si>
    <t>Lake, Ohio</t>
  </si>
  <si>
    <t>Lawrence, Ohio</t>
  </si>
  <si>
    <t>Licking</t>
  </si>
  <si>
    <t>Licking, Ohio</t>
  </si>
  <si>
    <t>Logan, Ohio</t>
  </si>
  <si>
    <t>Lorain</t>
  </si>
  <si>
    <t>Lorain, Ohio</t>
  </si>
  <si>
    <t>Lucas, Ohio</t>
  </si>
  <si>
    <t>Madison, Ohio</t>
  </si>
  <si>
    <t>Mahoning</t>
  </si>
  <si>
    <t>Mahoning, Ohio</t>
  </si>
  <si>
    <t>Marion, Ohio</t>
  </si>
  <si>
    <t>Medina</t>
  </si>
  <si>
    <t>Medina, Ohio</t>
  </si>
  <si>
    <t>Meigs</t>
  </si>
  <si>
    <t>Meigs, Ohio</t>
  </si>
  <si>
    <t>Mercer, Ohio</t>
  </si>
  <si>
    <t>Miami, Ohio</t>
  </si>
  <si>
    <t>Monroe, Ohio</t>
  </si>
  <si>
    <t>Montgomery, Ohio</t>
  </si>
  <si>
    <t>Morgan, Ohio</t>
  </si>
  <si>
    <t>Morrow</t>
  </si>
  <si>
    <t>Morrow, Ohio</t>
  </si>
  <si>
    <t>Muskingum</t>
  </si>
  <si>
    <t>Muskingum, Ohio</t>
  </si>
  <si>
    <t>Noble, Ohio</t>
  </si>
  <si>
    <t>Ottawa, Ohio</t>
  </si>
  <si>
    <t>Paulding, Ohio</t>
  </si>
  <si>
    <t>Perry, Ohio</t>
  </si>
  <si>
    <t>Pickaway</t>
  </si>
  <si>
    <t>Pickaway, Ohio</t>
  </si>
  <si>
    <t>Pike, Ohio</t>
  </si>
  <si>
    <t>Portage</t>
  </si>
  <si>
    <t>Portage, Ohio</t>
  </si>
  <si>
    <t>Preble</t>
  </si>
  <si>
    <t>Preble, Ohio</t>
  </si>
  <si>
    <t>Putnam, Ohio</t>
  </si>
  <si>
    <t>Richland, Ohio</t>
  </si>
  <si>
    <t>Ross</t>
  </si>
  <si>
    <t>Ross, Ohio</t>
  </si>
  <si>
    <t>Sandusky</t>
  </si>
  <si>
    <t>Sandusky, Ohio</t>
  </si>
  <si>
    <t>Scioto</t>
  </si>
  <si>
    <t>Scioto, Ohio</t>
  </si>
  <si>
    <t>Seneca, Ohio</t>
  </si>
  <si>
    <t>Shelby, Ohio</t>
  </si>
  <si>
    <t>Stark, Ohio</t>
  </si>
  <si>
    <t>Summit, Ohio</t>
  </si>
  <si>
    <t>Trumbull</t>
  </si>
  <si>
    <t>Trumbull, Ohio</t>
  </si>
  <si>
    <t>Tuscarawas</t>
  </si>
  <si>
    <t>Tuscarawas, Ohio</t>
  </si>
  <si>
    <t>Union, Ohio</t>
  </si>
  <si>
    <t>Van Wert</t>
  </si>
  <si>
    <t>Van Wert, Ohio</t>
  </si>
  <si>
    <t>Vinton</t>
  </si>
  <si>
    <t>Vinton, Ohio</t>
  </si>
  <si>
    <t>Warren, Ohio</t>
  </si>
  <si>
    <t>Washington, Ohio</t>
  </si>
  <si>
    <t>Wayne, Ohio</t>
  </si>
  <si>
    <t>Williams, Ohio</t>
  </si>
  <si>
    <t>Wood</t>
  </si>
  <si>
    <t>Wood, Ohio</t>
  </si>
  <si>
    <t>Wyandot</t>
  </si>
  <si>
    <t>Wyandot, Ohio</t>
  </si>
  <si>
    <t>Oklahoma</t>
  </si>
  <si>
    <t>Adair, Oklahoma</t>
  </si>
  <si>
    <t>Alfalfa</t>
  </si>
  <si>
    <t>Alfalfa, Oklahoma</t>
  </si>
  <si>
    <t>Atoka</t>
  </si>
  <si>
    <t>Atoka, Oklahoma</t>
  </si>
  <si>
    <t>Beaver</t>
  </si>
  <si>
    <t>Beaver, Oklahoma</t>
  </si>
  <si>
    <t>Beckham</t>
  </si>
  <si>
    <t>Beckham, Oklahoma</t>
  </si>
  <si>
    <t>Blaine, Oklahoma</t>
  </si>
  <si>
    <t>Bryan, Oklahoma</t>
  </si>
  <si>
    <t>Caddo, Oklahoma</t>
  </si>
  <si>
    <t>Canadian</t>
  </si>
  <si>
    <t>Canadian, Oklahoma</t>
  </si>
  <si>
    <t>Carter, Oklahoma</t>
  </si>
  <si>
    <t>Cherokee, Oklahoma</t>
  </si>
  <si>
    <t>Choctaw, Oklahoma</t>
  </si>
  <si>
    <t>Cimarron</t>
  </si>
  <si>
    <t>Cimarron, Oklahoma</t>
  </si>
  <si>
    <t>Cleveland, Oklahoma</t>
  </si>
  <si>
    <t>Coal</t>
  </si>
  <si>
    <t>Coal, Oklahoma</t>
  </si>
  <si>
    <t>Comanche, Oklahoma</t>
  </si>
  <si>
    <t>Cotton</t>
  </si>
  <si>
    <t>Cotton, Oklahoma</t>
  </si>
  <si>
    <t>Craig</t>
  </si>
  <si>
    <t>Craig, Oklahoma</t>
  </si>
  <si>
    <t>Creek</t>
  </si>
  <si>
    <t>Creek, Oklahoma</t>
  </si>
  <si>
    <t>Custer, Oklahoma</t>
  </si>
  <si>
    <t>Delaware, Oklahoma</t>
  </si>
  <si>
    <t>Dewey</t>
  </si>
  <si>
    <t>Dewey, Oklahoma</t>
  </si>
  <si>
    <t>Ellis, Oklahoma</t>
  </si>
  <si>
    <t>Garfield, Oklahoma</t>
  </si>
  <si>
    <t>Garvin</t>
  </si>
  <si>
    <t>Garvin, Oklahoma</t>
  </si>
  <si>
    <t>Grady, Oklahoma</t>
  </si>
  <si>
    <t>Grant, Oklahoma</t>
  </si>
  <si>
    <t>Greer</t>
  </si>
  <si>
    <t>Greer, Oklahoma</t>
  </si>
  <si>
    <t>Harmon</t>
  </si>
  <si>
    <t>Harmon, Oklahoma</t>
  </si>
  <si>
    <t>Harper, Oklahoma</t>
  </si>
  <si>
    <t>Haskell, Oklahoma</t>
  </si>
  <si>
    <t>Hughes</t>
  </si>
  <si>
    <t>Hughes, Oklahoma</t>
  </si>
  <si>
    <t>Jackson, Oklahoma</t>
  </si>
  <si>
    <t>Jefferson, Oklahoma</t>
  </si>
  <si>
    <t>Johnston, Oklahoma</t>
  </si>
  <si>
    <t>Kay</t>
  </si>
  <si>
    <t>Kay, Oklahoma</t>
  </si>
  <si>
    <t>Kingfisher</t>
  </si>
  <si>
    <t>Kingfisher, Oklahoma</t>
  </si>
  <si>
    <t>Kiowa, Oklahoma</t>
  </si>
  <si>
    <t>Latimer</t>
  </si>
  <si>
    <t>Latimer, Oklahoma</t>
  </si>
  <si>
    <t>Le Flore</t>
  </si>
  <si>
    <t>Le Flore, Oklahoma</t>
  </si>
  <si>
    <t>Lincoln, Oklahoma</t>
  </si>
  <si>
    <t>Logan, Oklahoma</t>
  </si>
  <si>
    <t>Love</t>
  </si>
  <si>
    <t>Love, Oklahoma</t>
  </si>
  <si>
    <t>McClain</t>
  </si>
  <si>
    <t>McClain, Oklahoma</t>
  </si>
  <si>
    <t>McCurtain</t>
  </si>
  <si>
    <t>McCurtain, Oklahoma</t>
  </si>
  <si>
    <t>McIntosh, Oklahoma</t>
  </si>
  <si>
    <t>Major</t>
  </si>
  <si>
    <t>Major, Oklahoma</t>
  </si>
  <si>
    <t>Marshall, Oklahoma</t>
  </si>
  <si>
    <t>Mayes</t>
  </si>
  <si>
    <t>Mayes, Oklahoma</t>
  </si>
  <si>
    <t>Murray, Oklahoma</t>
  </si>
  <si>
    <t>Muskogee</t>
  </si>
  <si>
    <t>Muskogee, Oklahoma</t>
  </si>
  <si>
    <t>Noble, Oklahoma</t>
  </si>
  <si>
    <t>Nowata</t>
  </si>
  <si>
    <t>Nowata, Oklahoma</t>
  </si>
  <si>
    <t>Okfuskee</t>
  </si>
  <si>
    <t>Okfuskee, Oklahoma</t>
  </si>
  <si>
    <t>Oklahoma, Oklahoma</t>
  </si>
  <si>
    <t>Okmulgee</t>
  </si>
  <si>
    <t>Okmulgee, Oklahoma</t>
  </si>
  <si>
    <t>Osage, Oklahoma</t>
  </si>
  <si>
    <t>Ottawa, Oklahoma</t>
  </si>
  <si>
    <t>Pawnee, Oklahoma</t>
  </si>
  <si>
    <t>Payne</t>
  </si>
  <si>
    <t>Payne, Oklahoma</t>
  </si>
  <si>
    <t>Pittsburg</t>
  </si>
  <si>
    <t>Pittsburg, Oklahoma</t>
  </si>
  <si>
    <t>Pontotoc, Oklahoma</t>
  </si>
  <si>
    <t>Pottawatomie, Oklahoma</t>
  </si>
  <si>
    <t>Pushmataha</t>
  </si>
  <si>
    <t>Pushmataha, Oklahoma</t>
  </si>
  <si>
    <t>Roger Mills</t>
  </si>
  <si>
    <t>Roger Mills, Oklahoma</t>
  </si>
  <si>
    <t>Rogers</t>
  </si>
  <si>
    <t>Rogers, Oklahoma</t>
  </si>
  <si>
    <t>Seminole, Oklahoma</t>
  </si>
  <si>
    <t>Sequoyah</t>
  </si>
  <si>
    <t>Sequoyah, Oklahoma</t>
  </si>
  <si>
    <t>Stephens, Oklahoma</t>
  </si>
  <si>
    <t>Texas, Oklahoma</t>
  </si>
  <si>
    <t>Tillman</t>
  </si>
  <si>
    <t>Tillman, Oklahoma</t>
  </si>
  <si>
    <t>Tulsa</t>
  </si>
  <si>
    <t>Tulsa, Oklahoma</t>
  </si>
  <si>
    <t>Wagoner</t>
  </si>
  <si>
    <t>Wagoner, Oklahoma</t>
  </si>
  <si>
    <t>Washington, Oklahoma</t>
  </si>
  <si>
    <t>Washita</t>
  </si>
  <si>
    <t>Washita, Oklahoma</t>
  </si>
  <si>
    <t>Woods</t>
  </si>
  <si>
    <t>Woods, Oklahoma</t>
  </si>
  <si>
    <t>Woodward</t>
  </si>
  <si>
    <t>Woodward, Oklahoma</t>
  </si>
  <si>
    <t>Baker, Oregon</t>
  </si>
  <si>
    <t>Benton, Oregon</t>
  </si>
  <si>
    <t>Clackamas</t>
  </si>
  <si>
    <t>Clackamas, Oregon</t>
  </si>
  <si>
    <t>Clatsop</t>
  </si>
  <si>
    <t>Clatsop, Oregon</t>
  </si>
  <si>
    <t>Columbia, Oregon</t>
  </si>
  <si>
    <t>Coos, Oregon</t>
  </si>
  <si>
    <t>Crook</t>
  </si>
  <si>
    <t>Crook, Oregon</t>
  </si>
  <si>
    <t>Curry, Oregon</t>
  </si>
  <si>
    <t>Deschutes</t>
  </si>
  <si>
    <t>Deschutes, Oregon</t>
  </si>
  <si>
    <t>Douglas, Oregon</t>
  </si>
  <si>
    <t>Gilliam</t>
  </si>
  <si>
    <t>Gilliam, Oregon</t>
  </si>
  <si>
    <t>Grant, Oregon</t>
  </si>
  <si>
    <t>Harney</t>
  </si>
  <si>
    <t>Harney, Oregon</t>
  </si>
  <si>
    <t>Hood River</t>
  </si>
  <si>
    <t>Hood River, Oregon</t>
  </si>
  <si>
    <t>Jackson, Oregon</t>
  </si>
  <si>
    <t>Jefferson, Oregon</t>
  </si>
  <si>
    <t>Josephine</t>
  </si>
  <si>
    <t>Josephine, Oregon</t>
  </si>
  <si>
    <t>Klamath</t>
  </si>
  <si>
    <t>Klamath, Oregon</t>
  </si>
  <si>
    <t>Lake, Oregon</t>
  </si>
  <si>
    <t>Lane, Oregon</t>
  </si>
  <si>
    <t>Lincoln, Oregon</t>
  </si>
  <si>
    <t>Linn, Oregon</t>
  </si>
  <si>
    <t>Malheur</t>
  </si>
  <si>
    <t>Malheur, Oregon</t>
  </si>
  <si>
    <t>Marion, Oregon</t>
  </si>
  <si>
    <t>Morrow, Oregon</t>
  </si>
  <si>
    <t>Multnomah</t>
  </si>
  <si>
    <t>Multnomah, Oregon</t>
  </si>
  <si>
    <t>Polk, Oregon</t>
  </si>
  <si>
    <t>Sherman, Oregon</t>
  </si>
  <si>
    <t>Tillamook</t>
  </si>
  <si>
    <t>Tillamook, Oregon</t>
  </si>
  <si>
    <t>Umatilla</t>
  </si>
  <si>
    <t>Umatilla, Oregon</t>
  </si>
  <si>
    <t>Union, Oregon</t>
  </si>
  <si>
    <t>Wallowa</t>
  </si>
  <si>
    <t>Wallowa, Oregon</t>
  </si>
  <si>
    <t>Wasco</t>
  </si>
  <si>
    <t>Wasco, Oregon</t>
  </si>
  <si>
    <t>Washington, Oregon</t>
  </si>
  <si>
    <t>Wheeler, Oregon</t>
  </si>
  <si>
    <t>Yamhill</t>
  </si>
  <si>
    <t>Yamhill, Oregon</t>
  </si>
  <si>
    <t>Pennsylvania</t>
  </si>
  <si>
    <t>Adams, Pennsylvania</t>
  </si>
  <si>
    <t>Allegheny</t>
  </si>
  <si>
    <t>Allegheny, Pennsylvania</t>
  </si>
  <si>
    <t>Armstrong</t>
  </si>
  <si>
    <t>Armstrong, Pennsylvania</t>
  </si>
  <si>
    <t>Beaver, Pennsylvania</t>
  </si>
  <si>
    <t>Bedford</t>
  </si>
  <si>
    <t>Bedford, Pennsylvania</t>
  </si>
  <si>
    <t>Berks</t>
  </si>
  <si>
    <t>Berks, Pennsylvania</t>
  </si>
  <si>
    <t>Blair</t>
  </si>
  <si>
    <t>Blair, Pennsylvania</t>
  </si>
  <si>
    <t>Bradford, Pennsylvania</t>
  </si>
  <si>
    <t>Bucks</t>
  </si>
  <si>
    <t>Bucks, Pennsylvania</t>
  </si>
  <si>
    <t>Butler, Pennsylvania</t>
  </si>
  <si>
    <t>Cambria</t>
  </si>
  <si>
    <t>Cambria, Pennsylvania</t>
  </si>
  <si>
    <t>Cameron, Pennsylvania</t>
  </si>
  <si>
    <t>Carbon, Pennsylvania</t>
  </si>
  <si>
    <t>Centre</t>
  </si>
  <si>
    <t>Centre, Pennsylvania</t>
  </si>
  <si>
    <t>Chester</t>
  </si>
  <si>
    <t>Chester, Pennsylvania</t>
  </si>
  <si>
    <t>Clarion</t>
  </si>
  <si>
    <t>Clarion, Pennsylvania</t>
  </si>
  <si>
    <t>Clearfield</t>
  </si>
  <si>
    <t>Clearfield, Pennsylvania</t>
  </si>
  <si>
    <t>Clinton, Pennsylvania</t>
  </si>
  <si>
    <t>Columbia, Pennsylvania</t>
  </si>
  <si>
    <t>Crawford, Pennsylvania</t>
  </si>
  <si>
    <t>Cumberland, Pennsylvania</t>
  </si>
  <si>
    <t>Dauphin</t>
  </si>
  <si>
    <t>Dauphin, Pennsylvania</t>
  </si>
  <si>
    <t>Delaware, Pennsylvania</t>
  </si>
  <si>
    <t>Elk, Pennsylvania</t>
  </si>
  <si>
    <t>Erie, Pennsylvania</t>
  </si>
  <si>
    <t>Fayette, Pennsylvania</t>
  </si>
  <si>
    <t>Forest</t>
  </si>
  <si>
    <t>Forest, Pennsylvania</t>
  </si>
  <si>
    <t>Franklin, Pennsylvania</t>
  </si>
  <si>
    <t>Fulton, Pennsylvania</t>
  </si>
  <si>
    <t>Greene, Pennsylvania</t>
  </si>
  <si>
    <t>Huntingdon</t>
  </si>
  <si>
    <t>Huntingdon, Pennsylvania</t>
  </si>
  <si>
    <t>Indiana, Pennsylvania</t>
  </si>
  <si>
    <t>Jefferson, Pennsylvania</t>
  </si>
  <si>
    <t>Juniata</t>
  </si>
  <si>
    <t>Juniata, Pennsylvania</t>
  </si>
  <si>
    <t>Lackawanna</t>
  </si>
  <si>
    <t>Lackawanna, Pennsylvania</t>
  </si>
  <si>
    <t>Lancaster, Pennsylvania</t>
  </si>
  <si>
    <t>Lawrence, Pennsylvania</t>
  </si>
  <si>
    <t>Lebanon</t>
  </si>
  <si>
    <t>Lebanon, Pennsylvania</t>
  </si>
  <si>
    <t>Lehigh</t>
  </si>
  <si>
    <t>Lehigh, Pennsylvania</t>
  </si>
  <si>
    <t>Luzerne</t>
  </si>
  <si>
    <t>Luzerne, Pennsylvania</t>
  </si>
  <si>
    <t>Lycoming</t>
  </si>
  <si>
    <t>Lycoming, Pennsylvania</t>
  </si>
  <si>
    <t>McKean</t>
  </si>
  <si>
    <t>McKean, Pennsylvania</t>
  </si>
  <si>
    <t>Mercer, Pennsylvania</t>
  </si>
  <si>
    <t>Mifflin</t>
  </si>
  <si>
    <t>Mifflin, Pennsylvania</t>
  </si>
  <si>
    <t>Monroe, Pennsylvania</t>
  </si>
  <si>
    <t>Montgomery, Pennsylvania</t>
  </si>
  <si>
    <t>Montour</t>
  </si>
  <si>
    <t>Montour, Pennsylvania</t>
  </si>
  <si>
    <t>Northampton, Pennsylvania</t>
  </si>
  <si>
    <t>Northumberland</t>
  </si>
  <si>
    <t>Northumberland, Pennsylvania</t>
  </si>
  <si>
    <t>Perry, Pennsylvania</t>
  </si>
  <si>
    <t>Philadelphia</t>
  </si>
  <si>
    <t>Philadelphia, Pennsylvania</t>
  </si>
  <si>
    <t>Pike, Pennsylvania</t>
  </si>
  <si>
    <t>Potter</t>
  </si>
  <si>
    <t>Potter, Pennsylvania</t>
  </si>
  <si>
    <t>Schuylkill</t>
  </si>
  <si>
    <t>Schuylkill, Pennsylvania</t>
  </si>
  <si>
    <t>Snyder</t>
  </si>
  <si>
    <t>Snyder, Pennsylvania</t>
  </si>
  <si>
    <t>Somerset, Pennsylvania</t>
  </si>
  <si>
    <t>Sullivan, Pennsylvania</t>
  </si>
  <si>
    <t>Susquehanna</t>
  </si>
  <si>
    <t>Susquehanna, Pennsylvania</t>
  </si>
  <si>
    <t>Tioga, Pennsylvania</t>
  </si>
  <si>
    <t>Union, Pennsylvania</t>
  </si>
  <si>
    <t>Venango</t>
  </si>
  <si>
    <t>Venango, Pennsylvania</t>
  </si>
  <si>
    <t>Warren, Pennsylvania</t>
  </si>
  <si>
    <t>Washington, Pennsylvania</t>
  </si>
  <si>
    <t>Wayne, Pennsylvania</t>
  </si>
  <si>
    <t>Westmoreland</t>
  </si>
  <si>
    <t>Westmoreland, Pennsylvania</t>
  </si>
  <si>
    <t>Wyoming, Pennsylvania</t>
  </si>
  <si>
    <t>York, Pennsylvania</t>
  </si>
  <si>
    <t>Rhode Island</t>
  </si>
  <si>
    <t>Bristol, Rhode Island</t>
  </si>
  <si>
    <t>Kent, Rhode Island</t>
  </si>
  <si>
    <t>Newport</t>
  </si>
  <si>
    <t>Newport, Rhode Island</t>
  </si>
  <si>
    <t>Providence</t>
  </si>
  <si>
    <t>Providence, Rhode Island</t>
  </si>
  <si>
    <t>Washington, Rhode Island</t>
  </si>
  <si>
    <t>South Carolina</t>
  </si>
  <si>
    <t>Abbeville</t>
  </si>
  <si>
    <t>Abbeville, South Carolina</t>
  </si>
  <si>
    <t>Aiken</t>
  </si>
  <si>
    <t>Aiken, South Carolina</t>
  </si>
  <si>
    <t>Allendale</t>
  </si>
  <si>
    <t>Allendale, South Carolina</t>
  </si>
  <si>
    <t>Anderson, South Carolina</t>
  </si>
  <si>
    <t>Bamberg</t>
  </si>
  <si>
    <t>Bamberg, South Carolina</t>
  </si>
  <si>
    <t>Barnwell</t>
  </si>
  <si>
    <t>Barnwell, South Carolina</t>
  </si>
  <si>
    <t>Beaufort, South Carolina</t>
  </si>
  <si>
    <t>Berkeley</t>
  </si>
  <si>
    <t>Berkeley, South Carolina</t>
  </si>
  <si>
    <t>Calhoun, South Carolina</t>
  </si>
  <si>
    <t>Charleston</t>
  </si>
  <si>
    <t>Charleston, South Carolina</t>
  </si>
  <si>
    <t>Cherokee, South Carolina</t>
  </si>
  <si>
    <t>Chester, South Carolina</t>
  </si>
  <si>
    <t>Chesterfield</t>
  </si>
  <si>
    <t>Chesterfield, South Carolina</t>
  </si>
  <si>
    <t>Clarendon</t>
  </si>
  <si>
    <t>Clarendon, South Carolina</t>
  </si>
  <si>
    <t>Colleton</t>
  </si>
  <si>
    <t>Colleton, South Carolina</t>
  </si>
  <si>
    <t>Darlington</t>
  </si>
  <si>
    <t>Darlington, South Carolina</t>
  </si>
  <si>
    <t>Dillon</t>
  </si>
  <si>
    <t>Dillon, South Carolina</t>
  </si>
  <si>
    <t>Dorchester, South Carolina</t>
  </si>
  <si>
    <t>Edgefield</t>
  </si>
  <si>
    <t>Edgefield, South Carolina</t>
  </si>
  <si>
    <t>Fairfield, South Carolina</t>
  </si>
  <si>
    <t>Florence</t>
  </si>
  <si>
    <t>Florence, South Carolina</t>
  </si>
  <si>
    <t>Georgetown</t>
  </si>
  <si>
    <t>Georgetown, South Carolina</t>
  </si>
  <si>
    <t>Greenville</t>
  </si>
  <si>
    <t>Greenville, South Carolina</t>
  </si>
  <si>
    <t>Greenwood, South Carolina</t>
  </si>
  <si>
    <t>Hampton</t>
  </si>
  <si>
    <t>Hampton, South Carolina</t>
  </si>
  <si>
    <t>Horry</t>
  </si>
  <si>
    <t>Horry, South Carolina</t>
  </si>
  <si>
    <t>Jasper, South Carolina</t>
  </si>
  <si>
    <t>Kershaw</t>
  </si>
  <si>
    <t>Kershaw, South Carolina</t>
  </si>
  <si>
    <t>Lancaster, South Carolina</t>
  </si>
  <si>
    <t>Laurens, South Carolina</t>
  </si>
  <si>
    <t>Lee, South Carolina</t>
  </si>
  <si>
    <t>Lexington</t>
  </si>
  <si>
    <t>Lexington, South Carolina</t>
  </si>
  <si>
    <t>McCormick</t>
  </si>
  <si>
    <t>McCormick, South Carolina</t>
  </si>
  <si>
    <t>Marion, South Carolina</t>
  </si>
  <si>
    <t>Marlboro</t>
  </si>
  <si>
    <t>Marlboro, South Carolina</t>
  </si>
  <si>
    <t>Newberry</t>
  </si>
  <si>
    <t>Newberry, South Carolina</t>
  </si>
  <si>
    <t>Oconee, South Carolina</t>
  </si>
  <si>
    <t>Orangeburg</t>
  </si>
  <si>
    <t>Orangeburg, South Carolina</t>
  </si>
  <si>
    <t>Pickens, South Carolina</t>
  </si>
  <si>
    <t>Richland, South Carolina</t>
  </si>
  <si>
    <t>Saluda</t>
  </si>
  <si>
    <t>Saluda, South Carolina</t>
  </si>
  <si>
    <t>Spartanburg</t>
  </si>
  <si>
    <t>Spartanburg, South Carolina</t>
  </si>
  <si>
    <t>Sumter, South Carolina</t>
  </si>
  <si>
    <t>Union, South Carolina</t>
  </si>
  <si>
    <t>Williamsburg</t>
  </si>
  <si>
    <t>Williamsburg, South Carolina</t>
  </si>
  <si>
    <t>York, South Carolina</t>
  </si>
  <si>
    <t>South Dakota</t>
  </si>
  <si>
    <t>Aurora</t>
  </si>
  <si>
    <t>Aurora, South Dakota</t>
  </si>
  <si>
    <t>Beadle</t>
  </si>
  <si>
    <t>Beadle, South Dakota</t>
  </si>
  <si>
    <t>Bennett</t>
  </si>
  <si>
    <t>Bennett, South Dakota</t>
  </si>
  <si>
    <t>Bon Homme</t>
  </si>
  <si>
    <t>Bon Homme, South Dakota</t>
  </si>
  <si>
    <t>Brookings</t>
  </si>
  <si>
    <t>Brookings, South Dakota</t>
  </si>
  <si>
    <t>Brown, South Dakota</t>
  </si>
  <si>
    <t>Brule</t>
  </si>
  <si>
    <t>Brule, South Dakota</t>
  </si>
  <si>
    <t>Buffalo, South Dakota</t>
  </si>
  <si>
    <t>Butte, South Dakota</t>
  </si>
  <si>
    <t>Campbell, South Dakota</t>
  </si>
  <si>
    <t>Charles Mix</t>
  </si>
  <si>
    <t>Charles Mix, South Dakota</t>
  </si>
  <si>
    <t>Clark, South Dakota</t>
  </si>
  <si>
    <t>Clay, South Dakota</t>
  </si>
  <si>
    <t>Codington</t>
  </si>
  <si>
    <t>Codington, South Dakota</t>
  </si>
  <si>
    <t>Corson</t>
  </si>
  <si>
    <t>Corson, South Dakota</t>
  </si>
  <si>
    <t>Custer, South Dakota</t>
  </si>
  <si>
    <t>Davison</t>
  </si>
  <si>
    <t>Davison, South Dakota</t>
  </si>
  <si>
    <t>Day</t>
  </si>
  <si>
    <t>Day, South Dakota</t>
  </si>
  <si>
    <t>Deuel, South Dakota</t>
  </si>
  <si>
    <t>Dewey, South Dakota</t>
  </si>
  <si>
    <t>Douglas, South Dakota</t>
  </si>
  <si>
    <t>Edmunds</t>
  </si>
  <si>
    <t>Edmunds, South Dakota</t>
  </si>
  <si>
    <t>Fall River</t>
  </si>
  <si>
    <t>Fall River, South Dakota</t>
  </si>
  <si>
    <t>Faulk</t>
  </si>
  <si>
    <t>Faulk, South Dakota</t>
  </si>
  <si>
    <t>Grant, South Dakota</t>
  </si>
  <si>
    <t>Gregory</t>
  </si>
  <si>
    <t>Gregory, South Dakota</t>
  </si>
  <si>
    <t>Haakon</t>
  </si>
  <si>
    <t>Haakon, South Dakota</t>
  </si>
  <si>
    <t>Hamlin</t>
  </si>
  <si>
    <t>Hamlin, South Dakota</t>
  </si>
  <si>
    <t>Hand</t>
  </si>
  <si>
    <t>Hand, South Dakota</t>
  </si>
  <si>
    <t>Hanson</t>
  </si>
  <si>
    <t>Hanson, South Dakota</t>
  </si>
  <si>
    <t>Harding, South Dakota</t>
  </si>
  <si>
    <t>Hughes, South Dakota</t>
  </si>
  <si>
    <t>Hutchinson</t>
  </si>
  <si>
    <t>Hutchinson, South Dakota</t>
  </si>
  <si>
    <t>Hyde, South Dakota</t>
  </si>
  <si>
    <t>Jackson, South Dakota</t>
  </si>
  <si>
    <t>Jerauld</t>
  </si>
  <si>
    <t>Jerauld, South Dakota</t>
  </si>
  <si>
    <t>Jones, South Dakota</t>
  </si>
  <si>
    <t>Kingsbury</t>
  </si>
  <si>
    <t>Kingsbury, South Dakota</t>
  </si>
  <si>
    <t>Lake, South Dakota</t>
  </si>
  <si>
    <t>Lawrence, South Dakota</t>
  </si>
  <si>
    <t>Lincoln, South Dakota</t>
  </si>
  <si>
    <t>Lyman</t>
  </si>
  <si>
    <t>Lyman, South Dakota</t>
  </si>
  <si>
    <t>McCook</t>
  </si>
  <si>
    <t>McCook, South Dakota</t>
  </si>
  <si>
    <t>McPherson, South Dakota</t>
  </si>
  <si>
    <t>Marshall, South Dakota</t>
  </si>
  <si>
    <t>Meade, South Dakota</t>
  </si>
  <si>
    <t>Mellette</t>
  </si>
  <si>
    <t>Mellette, South Dakota</t>
  </si>
  <si>
    <t>Miner</t>
  </si>
  <si>
    <t>Miner, South Dakota</t>
  </si>
  <si>
    <t>Minnehaha</t>
  </si>
  <si>
    <t>Minnehaha, South Dakota</t>
  </si>
  <si>
    <t>Moody</t>
  </si>
  <si>
    <t>Moody, South Dakota</t>
  </si>
  <si>
    <t>Oglala Lakota</t>
  </si>
  <si>
    <t>Oglala Lakota, South Dakota</t>
  </si>
  <si>
    <t>Pennington, South Dakota</t>
  </si>
  <si>
    <t>Perkins, South Dakota</t>
  </si>
  <si>
    <t>Potter, South Dakota</t>
  </si>
  <si>
    <t>Roberts</t>
  </si>
  <si>
    <t>Roberts, South Dakota</t>
  </si>
  <si>
    <t>Sanborn</t>
  </si>
  <si>
    <t>Sanborn, South Dakota</t>
  </si>
  <si>
    <t>Spink</t>
  </si>
  <si>
    <t>Spink, South Dakota</t>
  </si>
  <si>
    <t>Stanley</t>
  </si>
  <si>
    <t>Stanley, South Dakota</t>
  </si>
  <si>
    <t>Sully</t>
  </si>
  <si>
    <t>Sully, South Dakota</t>
  </si>
  <si>
    <t>Todd, South Dakota</t>
  </si>
  <si>
    <t>Tripp</t>
  </si>
  <si>
    <t>Tripp, South Dakota</t>
  </si>
  <si>
    <t>Turner, South Dakota</t>
  </si>
  <si>
    <t>Union, South Dakota</t>
  </si>
  <si>
    <t>Walworth</t>
  </si>
  <si>
    <t>Walworth, South Dakota</t>
  </si>
  <si>
    <t>Yankton</t>
  </si>
  <si>
    <t>Yankton, South Dakota</t>
  </si>
  <si>
    <t>Ziebach</t>
  </si>
  <si>
    <t>Ziebach, South Dakota</t>
  </si>
  <si>
    <t>Tennessee</t>
  </si>
  <si>
    <t>Anderson, Tennessee</t>
  </si>
  <si>
    <t>Bedford, Tennessee</t>
  </si>
  <si>
    <t>Benton, Tennessee</t>
  </si>
  <si>
    <t>Bledsoe</t>
  </si>
  <si>
    <t>Bledsoe, Tennessee</t>
  </si>
  <si>
    <t>Blount, Tennessee</t>
  </si>
  <si>
    <t>Bradley, Tennessee</t>
  </si>
  <si>
    <t>Campbell, Tennessee</t>
  </si>
  <si>
    <t>Cannon</t>
  </si>
  <si>
    <t>Cannon, Tennessee</t>
  </si>
  <si>
    <t>Carroll, Tennessee</t>
  </si>
  <si>
    <t>Carter, Tennessee</t>
  </si>
  <si>
    <t>Cheatham</t>
  </si>
  <si>
    <t>Cheatham, Tennessee</t>
  </si>
  <si>
    <t>Chester, Tennessee</t>
  </si>
  <si>
    <t>Claiborne, Tennessee</t>
  </si>
  <si>
    <t>Clay, Tennessee</t>
  </si>
  <si>
    <t>Cocke</t>
  </si>
  <si>
    <t>Cocke, Tennessee</t>
  </si>
  <si>
    <t>Coffee, Tennessee</t>
  </si>
  <si>
    <t>Crockett</t>
  </si>
  <si>
    <t>Crockett, Tennessee</t>
  </si>
  <si>
    <t>Cumberland, Tennessee</t>
  </si>
  <si>
    <t>Davidson, Tennessee</t>
  </si>
  <si>
    <t>Decatur, Tennessee</t>
  </si>
  <si>
    <t>DeKalb, Tennessee</t>
  </si>
  <si>
    <t>Dickson</t>
  </si>
  <si>
    <t>Dickson, Tennessee</t>
  </si>
  <si>
    <t>Dyer</t>
  </si>
  <si>
    <t>Dyer, Tennessee</t>
  </si>
  <si>
    <t>Fayette, Tennessee</t>
  </si>
  <si>
    <t>Fentress</t>
  </si>
  <si>
    <t>Fentress, Tennessee</t>
  </si>
  <si>
    <t>Franklin, Tennessee</t>
  </si>
  <si>
    <t>Gibson, Tennessee</t>
  </si>
  <si>
    <t>Giles</t>
  </si>
  <si>
    <t>Giles, Tennessee</t>
  </si>
  <si>
    <t>Grainger</t>
  </si>
  <si>
    <t>Grainger, Tennessee</t>
  </si>
  <si>
    <t>Greene, Tennessee</t>
  </si>
  <si>
    <t>Grundy, Tennessee</t>
  </si>
  <si>
    <t>Hamblen</t>
  </si>
  <si>
    <t>Hamblen, Tennessee</t>
  </si>
  <si>
    <t>Hamilton, Tennessee</t>
  </si>
  <si>
    <t>Hancock, Tennessee</t>
  </si>
  <si>
    <t>Hardeman</t>
  </si>
  <si>
    <t>Hardeman, Tennessee</t>
  </si>
  <si>
    <t>Hardin, Tennessee</t>
  </si>
  <si>
    <t>Hawkins</t>
  </si>
  <si>
    <t>Hawkins, Tennessee</t>
  </si>
  <si>
    <t>Haywood, Tennessee</t>
  </si>
  <si>
    <t>Henderson, Tennessee</t>
  </si>
  <si>
    <t>Henry, Tennessee</t>
  </si>
  <si>
    <t>Hickman, Tennessee</t>
  </si>
  <si>
    <t>Houston, Tennessee</t>
  </si>
  <si>
    <t>Humphreys, Tennessee</t>
  </si>
  <si>
    <t>Jackson, Tennessee</t>
  </si>
  <si>
    <t>Jefferson, Tennessee</t>
  </si>
  <si>
    <t>Johnson, Tennessee</t>
  </si>
  <si>
    <t>Knox, Tennessee</t>
  </si>
  <si>
    <t>Lake, Tennessee</t>
  </si>
  <si>
    <t>Lauderdale, Tennessee</t>
  </si>
  <si>
    <t>Lawrence, Tennessee</t>
  </si>
  <si>
    <t>Lewis, Tennessee</t>
  </si>
  <si>
    <t>Lincoln, Tennessee</t>
  </si>
  <si>
    <t>Loudon</t>
  </si>
  <si>
    <t>Loudon, Tennessee</t>
  </si>
  <si>
    <t>McMinn</t>
  </si>
  <si>
    <t>McMinn, Tennessee</t>
  </si>
  <si>
    <t>McNairy</t>
  </si>
  <si>
    <t>McNairy, Tennessee</t>
  </si>
  <si>
    <t>Macon, Tennessee</t>
  </si>
  <si>
    <t>Madison, Tennessee</t>
  </si>
  <si>
    <t>Marion, Tennessee</t>
  </si>
  <si>
    <t>Marshall, Tennessee</t>
  </si>
  <si>
    <t>Maury</t>
  </si>
  <si>
    <t>Maury, Tennessee</t>
  </si>
  <si>
    <t>Meigs, Tennessee</t>
  </si>
  <si>
    <t>Monroe, Tennessee</t>
  </si>
  <si>
    <t>Montgomery, Tennessee</t>
  </si>
  <si>
    <t>Moore, Tennessee</t>
  </si>
  <si>
    <t>Morgan, Tennessee</t>
  </si>
  <si>
    <t>Obion</t>
  </si>
  <si>
    <t>Obion, Tennessee</t>
  </si>
  <si>
    <t>Overton</t>
  </si>
  <si>
    <t>Overton, Tennessee</t>
  </si>
  <si>
    <t>Perry, Tennessee</t>
  </si>
  <si>
    <t>Pickett</t>
  </si>
  <si>
    <t>Pickett, Tennessee</t>
  </si>
  <si>
    <t>Polk, Tennessee</t>
  </si>
  <si>
    <t>Putnam, Tennessee</t>
  </si>
  <si>
    <t>Rhea</t>
  </si>
  <si>
    <t>Rhea, Tennessee</t>
  </si>
  <si>
    <t>Roane</t>
  </si>
  <si>
    <t>Roane, Tennessee</t>
  </si>
  <si>
    <t>Robertson, Tennessee</t>
  </si>
  <si>
    <t>Rutherford, Tennessee</t>
  </si>
  <si>
    <t>Scott, Tennessee</t>
  </si>
  <si>
    <t>Sequatchie</t>
  </si>
  <si>
    <t>Sequatchie, Tennessee</t>
  </si>
  <si>
    <t>Sevier, Tennessee</t>
  </si>
  <si>
    <t>Shelby, Tennessee</t>
  </si>
  <si>
    <t>Smith, Tennessee</t>
  </si>
  <si>
    <t>Stewart, Tennessee</t>
  </si>
  <si>
    <t>Sullivan, Tennessee</t>
  </si>
  <si>
    <t>Sumner, Tennessee</t>
  </si>
  <si>
    <t>Tipton, Tennessee</t>
  </si>
  <si>
    <t>Trousdale</t>
  </si>
  <si>
    <t>Trousdale, Tennessee</t>
  </si>
  <si>
    <t>Unicoi</t>
  </si>
  <si>
    <t>Unicoi, Tennessee</t>
  </si>
  <si>
    <t>Union, Tennessee</t>
  </si>
  <si>
    <t>Van Buren, Tennessee</t>
  </si>
  <si>
    <t>Warren, Tennessee</t>
  </si>
  <si>
    <t>Washington, Tennessee</t>
  </si>
  <si>
    <t>Wayne, Tennessee</t>
  </si>
  <si>
    <t>Weakley</t>
  </si>
  <si>
    <t>Weakley, Tennessee</t>
  </si>
  <si>
    <t>White, Tennessee</t>
  </si>
  <si>
    <t>Williamson, Tennessee</t>
  </si>
  <si>
    <t>Wilson, Tennessee</t>
  </si>
  <si>
    <t>Anderson, Texas</t>
  </si>
  <si>
    <t>Andrews</t>
  </si>
  <si>
    <t>Andrews, Texas</t>
  </si>
  <si>
    <t>Angelina</t>
  </si>
  <si>
    <t>Angelina, Texas</t>
  </si>
  <si>
    <t>Aransas</t>
  </si>
  <si>
    <t>Aransas, Texas</t>
  </si>
  <si>
    <t>Archer</t>
  </si>
  <si>
    <t>Archer, Texas</t>
  </si>
  <si>
    <t>Armstrong, Texas</t>
  </si>
  <si>
    <t>Atascosa</t>
  </si>
  <si>
    <t>Atascosa, Texas</t>
  </si>
  <si>
    <t>Austin</t>
  </si>
  <si>
    <t>Austin, Texas</t>
  </si>
  <si>
    <t>Bailey</t>
  </si>
  <si>
    <t>Bailey, Texas</t>
  </si>
  <si>
    <t>Bandera</t>
  </si>
  <si>
    <t>Bandera, Texas</t>
  </si>
  <si>
    <t>Bastrop</t>
  </si>
  <si>
    <t>Bastrop, Texas</t>
  </si>
  <si>
    <t>Baylor</t>
  </si>
  <si>
    <t>Baylor, Texas</t>
  </si>
  <si>
    <t>Bee</t>
  </si>
  <si>
    <t>Bee, Texas</t>
  </si>
  <si>
    <t>Bell, Texas</t>
  </si>
  <si>
    <t>Bexar</t>
  </si>
  <si>
    <t>Bexar, Texas</t>
  </si>
  <si>
    <t>Blanco</t>
  </si>
  <si>
    <t>Blanco, Texas</t>
  </si>
  <si>
    <t>Borden</t>
  </si>
  <si>
    <t>Borden, Texas</t>
  </si>
  <si>
    <t>Bosque</t>
  </si>
  <si>
    <t>Bosque, Texas</t>
  </si>
  <si>
    <t>Bowie</t>
  </si>
  <si>
    <t>Bowie, Texas</t>
  </si>
  <si>
    <t>Brazoria</t>
  </si>
  <si>
    <t>Brazoria, Texas</t>
  </si>
  <si>
    <t>Brazos</t>
  </si>
  <si>
    <t>Brazos, Texas</t>
  </si>
  <si>
    <t>Brewster</t>
  </si>
  <si>
    <t>Brewster, Texas</t>
  </si>
  <si>
    <t>Briscoe</t>
  </si>
  <si>
    <t>Briscoe, Texas</t>
  </si>
  <si>
    <t>Brooks, Texas</t>
  </si>
  <si>
    <t>Brown, Texas</t>
  </si>
  <si>
    <t>Burleson</t>
  </si>
  <si>
    <t>Burleson, Texas</t>
  </si>
  <si>
    <t>Burnet</t>
  </si>
  <si>
    <t>Burnet, Texas</t>
  </si>
  <si>
    <t>Caldwell, Texas</t>
  </si>
  <si>
    <t>Calhoun, Texas</t>
  </si>
  <si>
    <t>Callahan</t>
  </si>
  <si>
    <t>Callahan, Texas</t>
  </si>
  <si>
    <t>Cameron, Texas</t>
  </si>
  <si>
    <t>Camp</t>
  </si>
  <si>
    <t>Camp, Texas</t>
  </si>
  <si>
    <t>Carson</t>
  </si>
  <si>
    <t>Carson, Texas</t>
  </si>
  <si>
    <t>Cass, Texas</t>
  </si>
  <si>
    <t>Castro</t>
  </si>
  <si>
    <t>Castro, Texas</t>
  </si>
  <si>
    <t>Chambers, Texas</t>
  </si>
  <si>
    <t>Cherokee, Texas</t>
  </si>
  <si>
    <t>Childress</t>
  </si>
  <si>
    <t>Childress, Texas</t>
  </si>
  <si>
    <t>Clay, Texas</t>
  </si>
  <si>
    <t>Cochran</t>
  </si>
  <si>
    <t>Cochran, Texas</t>
  </si>
  <si>
    <t>Coke</t>
  </si>
  <si>
    <t>Coke, Texas</t>
  </si>
  <si>
    <t>Coleman</t>
  </si>
  <si>
    <t>Coleman, Texas</t>
  </si>
  <si>
    <t>Collin</t>
  </si>
  <si>
    <t>Collin, Texas</t>
  </si>
  <si>
    <t>Collingsworth</t>
  </si>
  <si>
    <t>Collingsworth, Texas</t>
  </si>
  <si>
    <t>Colorado, Texas</t>
  </si>
  <si>
    <t>Comal</t>
  </si>
  <si>
    <t>Comal, Texas</t>
  </si>
  <si>
    <t>Comanche, Texas</t>
  </si>
  <si>
    <t>Concho</t>
  </si>
  <si>
    <t>Concho, Texas</t>
  </si>
  <si>
    <t>Cooke</t>
  </si>
  <si>
    <t>Cooke, Texas</t>
  </si>
  <si>
    <t>Coryell</t>
  </si>
  <si>
    <t>Coryell, Texas</t>
  </si>
  <si>
    <t>Cottle</t>
  </si>
  <si>
    <t>Cottle, Texas</t>
  </si>
  <si>
    <t>Crane</t>
  </si>
  <si>
    <t>Crane, Texas</t>
  </si>
  <si>
    <t>Crockett, Texas</t>
  </si>
  <si>
    <t>Crosby</t>
  </si>
  <si>
    <t>Crosby, Texas</t>
  </si>
  <si>
    <t>Culberson</t>
  </si>
  <si>
    <t>Culberson, Texas</t>
  </si>
  <si>
    <t>Dallam</t>
  </si>
  <si>
    <t>Dallam, Texas</t>
  </si>
  <si>
    <t>Dallas, Texas</t>
  </si>
  <si>
    <t>Dawson, Texas</t>
  </si>
  <si>
    <t>Deaf Smith</t>
  </si>
  <si>
    <t>Deaf Smith, Texas</t>
  </si>
  <si>
    <t>Delta, Texas</t>
  </si>
  <si>
    <t>Denton</t>
  </si>
  <si>
    <t>Denton, Texas</t>
  </si>
  <si>
    <t>DeWitt</t>
  </si>
  <si>
    <t>DeWitt, Texas</t>
  </si>
  <si>
    <t>Dickens</t>
  </si>
  <si>
    <t>Dickens, Texas</t>
  </si>
  <si>
    <t>Dimmit</t>
  </si>
  <si>
    <t>Dimmit, Texas</t>
  </si>
  <si>
    <t>Donley</t>
  </si>
  <si>
    <t>Donley, Texas</t>
  </si>
  <si>
    <t>Duval, Texas</t>
  </si>
  <si>
    <t>Eastland</t>
  </si>
  <si>
    <t>Eastland, Texas</t>
  </si>
  <si>
    <t>Ector</t>
  </si>
  <si>
    <t>Ector, Texas</t>
  </si>
  <si>
    <t>Edwards, Texas</t>
  </si>
  <si>
    <t>Ellis, Texas</t>
  </si>
  <si>
    <t>El Paso, Texas</t>
  </si>
  <si>
    <t>Erath</t>
  </si>
  <si>
    <t>Erath, Texas</t>
  </si>
  <si>
    <t>Falls</t>
  </si>
  <si>
    <t>Falls, Texas</t>
  </si>
  <si>
    <t>Fannin, Texas</t>
  </si>
  <si>
    <t>Fayette, Texas</t>
  </si>
  <si>
    <t>Fisher</t>
  </si>
  <si>
    <t>Fisher, Texas</t>
  </si>
  <si>
    <t>Floyd, Texas</t>
  </si>
  <si>
    <t>Foard</t>
  </si>
  <si>
    <t>Foard, Texas</t>
  </si>
  <si>
    <t>Fort Bend</t>
  </si>
  <si>
    <t>Fort Bend, Texas</t>
  </si>
  <si>
    <t>Franklin, Texas</t>
  </si>
  <si>
    <t>Freestone</t>
  </si>
  <si>
    <t>Freestone, Texas</t>
  </si>
  <si>
    <t>Frio</t>
  </si>
  <si>
    <t>Frio, Texas</t>
  </si>
  <si>
    <t>Gaines</t>
  </si>
  <si>
    <t>Gaines, Texas</t>
  </si>
  <si>
    <t>Galveston</t>
  </si>
  <si>
    <t>Galveston, Texas</t>
  </si>
  <si>
    <t>Garza</t>
  </si>
  <si>
    <t>Garza, Texas</t>
  </si>
  <si>
    <t>Gillespie</t>
  </si>
  <si>
    <t>Gillespie, Texas</t>
  </si>
  <si>
    <t>Glasscock</t>
  </si>
  <si>
    <t>Glasscock, Texas</t>
  </si>
  <si>
    <t>Goliad</t>
  </si>
  <si>
    <t>Goliad, Texas</t>
  </si>
  <si>
    <t>Gonzales</t>
  </si>
  <si>
    <t>Gonzales, Texas</t>
  </si>
  <si>
    <t>Gray, Texas</t>
  </si>
  <si>
    <t>Grayson, Texas</t>
  </si>
  <si>
    <t>Gregg</t>
  </si>
  <si>
    <t>Gregg, Texas</t>
  </si>
  <si>
    <t>Grimes</t>
  </si>
  <si>
    <t>Grimes, Texas</t>
  </si>
  <si>
    <t>Guadalupe, Texas</t>
  </si>
  <si>
    <t>Hale, Texas</t>
  </si>
  <si>
    <t>Hall, Texas</t>
  </si>
  <si>
    <t>Hamilton, Texas</t>
  </si>
  <si>
    <t>Hansford</t>
  </si>
  <si>
    <t>Hansford, Texas</t>
  </si>
  <si>
    <t>Hardeman, Texas</t>
  </si>
  <si>
    <t>Hardin, Texas</t>
  </si>
  <si>
    <t>Harris, Texas</t>
  </si>
  <si>
    <t>Harrison, Texas</t>
  </si>
  <si>
    <t>Hartley</t>
  </si>
  <si>
    <t>Hartley, Texas</t>
  </si>
  <si>
    <t>Haskell, Texas</t>
  </si>
  <si>
    <t>Hays</t>
  </si>
  <si>
    <t>Hays, Texas</t>
  </si>
  <si>
    <t>Hemphill</t>
  </si>
  <si>
    <t>Hemphill, Texas</t>
  </si>
  <si>
    <t>Henderson, Texas</t>
  </si>
  <si>
    <t>Hidalgo, Texas</t>
  </si>
  <si>
    <t>Hill, Texas</t>
  </si>
  <si>
    <t>Hockley</t>
  </si>
  <si>
    <t>Hockley, Texas</t>
  </si>
  <si>
    <t>Hood</t>
  </si>
  <si>
    <t>Hood, Texas</t>
  </si>
  <si>
    <t>Hopkins, Texas</t>
  </si>
  <si>
    <t>Houston, Texas</t>
  </si>
  <si>
    <t>Howard, Texas</t>
  </si>
  <si>
    <t>Hudspeth</t>
  </si>
  <si>
    <t>Hudspeth, Texas</t>
  </si>
  <si>
    <t>Hunt</t>
  </si>
  <si>
    <t>Hunt, Texas</t>
  </si>
  <si>
    <t>Hutchinson, Texas</t>
  </si>
  <si>
    <t>Irion</t>
  </si>
  <si>
    <t>Irion, Texas</t>
  </si>
  <si>
    <t>Jack</t>
  </si>
  <si>
    <t>Jack, Texas</t>
  </si>
  <si>
    <t>Jackson, Texas</t>
  </si>
  <si>
    <t>Jasper, Texas</t>
  </si>
  <si>
    <t>Jeff Davis, Texas</t>
  </si>
  <si>
    <t>Jefferson, Texas</t>
  </si>
  <si>
    <t>Jim Hogg</t>
  </si>
  <si>
    <t>Jim Hogg, Texas</t>
  </si>
  <si>
    <t>Jim Wells</t>
  </si>
  <si>
    <t>Jim Wells, Texas</t>
  </si>
  <si>
    <t>Johnson, Texas</t>
  </si>
  <si>
    <t>Jones, Texas</t>
  </si>
  <si>
    <t>Karnes</t>
  </si>
  <si>
    <t>Karnes, Texas</t>
  </si>
  <si>
    <t>Kaufman</t>
  </si>
  <si>
    <t>Kaufman, Texas</t>
  </si>
  <si>
    <t>Kendall, Texas</t>
  </si>
  <si>
    <t>Kenedy</t>
  </si>
  <si>
    <t>Kenedy, Texas</t>
  </si>
  <si>
    <t>Kent, Texas</t>
  </si>
  <si>
    <t>Kerr</t>
  </si>
  <si>
    <t>Kerr, Texas</t>
  </si>
  <si>
    <t>Kimble</t>
  </si>
  <si>
    <t>Kimble, Texas</t>
  </si>
  <si>
    <t>King</t>
  </si>
  <si>
    <t>King, Texas</t>
  </si>
  <si>
    <t>Kinney</t>
  </si>
  <si>
    <t>Kinney, Texas</t>
  </si>
  <si>
    <t>Kleberg</t>
  </si>
  <si>
    <t>Kleberg, Texas</t>
  </si>
  <si>
    <t>Knox, Texas</t>
  </si>
  <si>
    <t>Lamar, Texas</t>
  </si>
  <si>
    <t>Lamb</t>
  </si>
  <si>
    <t>Lamb, Texas</t>
  </si>
  <si>
    <t>Lampasas</t>
  </si>
  <si>
    <t>Lampasas, Texas</t>
  </si>
  <si>
    <t>La Salle</t>
  </si>
  <si>
    <t>La Salle, Texas</t>
  </si>
  <si>
    <t>Lavaca</t>
  </si>
  <si>
    <t>Lavaca, Texas</t>
  </si>
  <si>
    <t>Lee, Texas</t>
  </si>
  <si>
    <t>Leon, Texas</t>
  </si>
  <si>
    <t>Liberty, Texas</t>
  </si>
  <si>
    <t>Limestone, Texas</t>
  </si>
  <si>
    <t>Lipscomb</t>
  </si>
  <si>
    <t>Lipscomb, Texas</t>
  </si>
  <si>
    <t>Live Oak</t>
  </si>
  <si>
    <t>Live Oak, Texas</t>
  </si>
  <si>
    <t>Llano</t>
  </si>
  <si>
    <t>Llano, Texas</t>
  </si>
  <si>
    <t>Loving</t>
  </si>
  <si>
    <t>Loving, Texas</t>
  </si>
  <si>
    <t>Lubbock</t>
  </si>
  <si>
    <t>Lubbock, Texas</t>
  </si>
  <si>
    <t>Lynn</t>
  </si>
  <si>
    <t>Lynn, Texas</t>
  </si>
  <si>
    <t>McCulloch</t>
  </si>
  <si>
    <t>McCulloch, Texas</t>
  </si>
  <si>
    <t>McLennan</t>
  </si>
  <si>
    <t>McLennan, Texas</t>
  </si>
  <si>
    <t>McMullen</t>
  </si>
  <si>
    <t>McMullen, Texas</t>
  </si>
  <si>
    <t>Madison, Texas</t>
  </si>
  <si>
    <t>Marion, Texas</t>
  </si>
  <si>
    <t>Martin, Texas</t>
  </si>
  <si>
    <t>Mason, Texas</t>
  </si>
  <si>
    <t>Matagorda</t>
  </si>
  <si>
    <t>Matagorda, Texas</t>
  </si>
  <si>
    <t>Maverick</t>
  </si>
  <si>
    <t>Maverick, Texas</t>
  </si>
  <si>
    <t>Medina, Texas</t>
  </si>
  <si>
    <t>Menard, Texas</t>
  </si>
  <si>
    <t>Midland, Texas</t>
  </si>
  <si>
    <t>Milam</t>
  </si>
  <si>
    <t>Milam, Texas</t>
  </si>
  <si>
    <t>Mills, Texas</t>
  </si>
  <si>
    <t>Mitchell, Texas</t>
  </si>
  <si>
    <t>Montague</t>
  </si>
  <si>
    <t>Montague, Texas</t>
  </si>
  <si>
    <t>Montgomery, Texas</t>
  </si>
  <si>
    <t>Moore, Texas</t>
  </si>
  <si>
    <t>Morris, Texas</t>
  </si>
  <si>
    <t>Motley</t>
  </si>
  <si>
    <t>Motley, Texas</t>
  </si>
  <si>
    <t>Nacogdoches</t>
  </si>
  <si>
    <t>Nacogdoches, Texas</t>
  </si>
  <si>
    <t>Navarro</t>
  </si>
  <si>
    <t>Navarro, Texas</t>
  </si>
  <si>
    <t>Newton, Texas</t>
  </si>
  <si>
    <t>Nolan</t>
  </si>
  <si>
    <t>Nolan, Texas</t>
  </si>
  <si>
    <t>Nueces</t>
  </si>
  <si>
    <t>Nueces, Texas</t>
  </si>
  <si>
    <t>Ochiltree</t>
  </si>
  <si>
    <t>Ochiltree, Texas</t>
  </si>
  <si>
    <t>Oldham, Texas</t>
  </si>
  <si>
    <t>Orange, Texas</t>
  </si>
  <si>
    <t>Palo Pinto</t>
  </si>
  <si>
    <t>Palo Pinto, Texas</t>
  </si>
  <si>
    <t>Panola, Texas</t>
  </si>
  <si>
    <t>Parker</t>
  </si>
  <si>
    <t>Parker, Texas</t>
  </si>
  <si>
    <t>Parmer</t>
  </si>
  <si>
    <t>Parmer, Texas</t>
  </si>
  <si>
    <t>Pecos</t>
  </si>
  <si>
    <t>Pecos, Texas</t>
  </si>
  <si>
    <t>Polk, Texas</t>
  </si>
  <si>
    <t>Potter, Texas</t>
  </si>
  <si>
    <t>Presidio</t>
  </si>
  <si>
    <t>Presidio, Texas</t>
  </si>
  <si>
    <t>Rains</t>
  </si>
  <si>
    <t>Rains, Texas</t>
  </si>
  <si>
    <t>Randall</t>
  </si>
  <si>
    <t>Randall, Texas</t>
  </si>
  <si>
    <t>Reagan</t>
  </si>
  <si>
    <t>Reagan, Texas</t>
  </si>
  <si>
    <t>Real</t>
  </si>
  <si>
    <t>Real, Texas</t>
  </si>
  <si>
    <t>Red River, Texas</t>
  </si>
  <si>
    <t>Reeves</t>
  </si>
  <si>
    <t>Reeves, Texas</t>
  </si>
  <si>
    <t>Refugio</t>
  </si>
  <si>
    <t>Refugio, Texas</t>
  </si>
  <si>
    <t>Roberts, Texas</t>
  </si>
  <si>
    <t>Robertson, Texas</t>
  </si>
  <si>
    <t>Rockwall</t>
  </si>
  <si>
    <t>Rockwall, Texas</t>
  </si>
  <si>
    <t>Runnels</t>
  </si>
  <si>
    <t>Runnels, Texas</t>
  </si>
  <si>
    <t>Rusk</t>
  </si>
  <si>
    <t>Rusk, Texas</t>
  </si>
  <si>
    <t>Sabine, Texas</t>
  </si>
  <si>
    <t>San Augustine</t>
  </si>
  <si>
    <t>San Augustine, Texas</t>
  </si>
  <si>
    <t>San Jacinto</t>
  </si>
  <si>
    <t>San Jacinto, Texas</t>
  </si>
  <si>
    <t>San Patricio</t>
  </si>
  <si>
    <t>San Patricio, Texas</t>
  </si>
  <si>
    <t>San Saba</t>
  </si>
  <si>
    <t>San Saba, Texas</t>
  </si>
  <si>
    <t>Schleicher</t>
  </si>
  <si>
    <t>Schleicher, Texas</t>
  </si>
  <si>
    <t>Scurry</t>
  </si>
  <si>
    <t>Scurry, Texas</t>
  </si>
  <si>
    <t>Shackelford</t>
  </si>
  <si>
    <t>Shackelford, Texas</t>
  </si>
  <si>
    <t>Shelby, Texas</t>
  </si>
  <si>
    <t>Sherman, Texas</t>
  </si>
  <si>
    <t>Smith, Texas</t>
  </si>
  <si>
    <t>Somervell</t>
  </si>
  <si>
    <t>Somervell, Texas</t>
  </si>
  <si>
    <t>Starr</t>
  </si>
  <si>
    <t>Starr, Texas</t>
  </si>
  <si>
    <t>Stephens, Texas</t>
  </si>
  <si>
    <t>Sterling</t>
  </si>
  <si>
    <t>Sterling, Texas</t>
  </si>
  <si>
    <t>Stonewall</t>
  </si>
  <si>
    <t>Stonewall, Texas</t>
  </si>
  <si>
    <t>Sutton</t>
  </si>
  <si>
    <t>Sutton, Texas</t>
  </si>
  <si>
    <t>Swisher</t>
  </si>
  <si>
    <t>Swisher, Texas</t>
  </si>
  <si>
    <t>Tarrant</t>
  </si>
  <si>
    <t>Tarrant, Texas</t>
  </si>
  <si>
    <t>Taylor, Texas</t>
  </si>
  <si>
    <t>Terrell, Texas</t>
  </si>
  <si>
    <t>Terry</t>
  </si>
  <si>
    <t>Terry, Texas</t>
  </si>
  <si>
    <t>Throckmorton</t>
  </si>
  <si>
    <t>Throckmorton, Texas</t>
  </si>
  <si>
    <t>Titus</t>
  </si>
  <si>
    <t>Titus, Texas</t>
  </si>
  <si>
    <t>Tom Green</t>
  </si>
  <si>
    <t>Tom Green, Texas</t>
  </si>
  <si>
    <t>Travis</t>
  </si>
  <si>
    <t>Travis, Texas</t>
  </si>
  <si>
    <t>Trinity, Texas</t>
  </si>
  <si>
    <t>Tyler</t>
  </si>
  <si>
    <t>Tyler, Texas</t>
  </si>
  <si>
    <t>Upshur</t>
  </si>
  <si>
    <t>Upshur, Texas</t>
  </si>
  <si>
    <t>Upton</t>
  </si>
  <si>
    <t>Upton, Texas</t>
  </si>
  <si>
    <t>Uvalde</t>
  </si>
  <si>
    <t>Uvalde, Texas</t>
  </si>
  <si>
    <t>Val Verde</t>
  </si>
  <si>
    <t>Val Verde, Texas</t>
  </si>
  <si>
    <t>Van Zandt</t>
  </si>
  <si>
    <t>Van Zandt, Texas</t>
  </si>
  <si>
    <t>Victoria</t>
  </si>
  <si>
    <t>Victoria, Texas</t>
  </si>
  <si>
    <t>Walker, Texas</t>
  </si>
  <si>
    <t>Waller</t>
  </si>
  <si>
    <t>Waller, Texas</t>
  </si>
  <si>
    <t>Ward, Texas</t>
  </si>
  <si>
    <t>Washington, Texas</t>
  </si>
  <si>
    <t>Webb</t>
  </si>
  <si>
    <t>Webb, Texas</t>
  </si>
  <si>
    <t>Wharton</t>
  </si>
  <si>
    <t>Wharton, Texas</t>
  </si>
  <si>
    <t>Wheeler, Texas</t>
  </si>
  <si>
    <t>Wichita, Texas</t>
  </si>
  <si>
    <t>Wilbarger</t>
  </si>
  <si>
    <t>Wilbarger, Texas</t>
  </si>
  <si>
    <t>Willacy</t>
  </si>
  <si>
    <t>Willacy, Texas</t>
  </si>
  <si>
    <t>Williamson, Texas</t>
  </si>
  <si>
    <t>Wilson, Texas</t>
  </si>
  <si>
    <t>Winkler</t>
  </si>
  <si>
    <t>Winkler, Texas</t>
  </si>
  <si>
    <t>Wise</t>
  </si>
  <si>
    <t>Wise, Texas</t>
  </si>
  <si>
    <t>Wood, Texas</t>
  </si>
  <si>
    <t>Yoakum</t>
  </si>
  <si>
    <t>Yoakum, Texas</t>
  </si>
  <si>
    <t>Young</t>
  </si>
  <si>
    <t>Young, Texas</t>
  </si>
  <si>
    <t>Zapata</t>
  </si>
  <si>
    <t>Zapata, Texas</t>
  </si>
  <si>
    <t>Zavala</t>
  </si>
  <si>
    <t>Zavala, Texas</t>
  </si>
  <si>
    <t>Utah</t>
  </si>
  <si>
    <t>Beaver, Utah</t>
  </si>
  <si>
    <t>Box Elder</t>
  </si>
  <si>
    <t>Box Elder, Utah</t>
  </si>
  <si>
    <t>Cache</t>
  </si>
  <si>
    <t>Cache, Utah</t>
  </si>
  <si>
    <t>Carbon, Utah</t>
  </si>
  <si>
    <t>Daggett</t>
  </si>
  <si>
    <t>Daggett, Utah</t>
  </si>
  <si>
    <t>Davis, Utah</t>
  </si>
  <si>
    <t>Duchesne</t>
  </si>
  <si>
    <t>Duchesne, Utah</t>
  </si>
  <si>
    <t>Emery</t>
  </si>
  <si>
    <t>Emery, Utah</t>
  </si>
  <si>
    <t>Garfield, Utah</t>
  </si>
  <si>
    <t>Grand, Utah</t>
  </si>
  <si>
    <t>Iron, Utah</t>
  </si>
  <si>
    <t>Juab</t>
  </si>
  <si>
    <t>Juab, Utah</t>
  </si>
  <si>
    <t>Kane, Utah</t>
  </si>
  <si>
    <t>Millard</t>
  </si>
  <si>
    <t>Millard, Utah</t>
  </si>
  <si>
    <t>Morgan, Utah</t>
  </si>
  <si>
    <t>Piute</t>
  </si>
  <si>
    <t>Piute, Utah</t>
  </si>
  <si>
    <t>Rich</t>
  </si>
  <si>
    <t>Rich, Utah</t>
  </si>
  <si>
    <t>Salt Lake</t>
  </si>
  <si>
    <t>Salt Lake, Utah</t>
  </si>
  <si>
    <t>San Juan, Utah</t>
  </si>
  <si>
    <t>Sanpete</t>
  </si>
  <si>
    <t>Sanpete, Utah</t>
  </si>
  <si>
    <t>Sevier, Utah</t>
  </si>
  <si>
    <t>Summit, Utah</t>
  </si>
  <si>
    <t>Tooele</t>
  </si>
  <si>
    <t>Tooele, Utah</t>
  </si>
  <si>
    <t>Uintah</t>
  </si>
  <si>
    <t>Uintah, Utah</t>
  </si>
  <si>
    <t>Utah, Utah</t>
  </si>
  <si>
    <t>Wasatch</t>
  </si>
  <si>
    <t>Wasatch, Utah</t>
  </si>
  <si>
    <t>Washington, Utah</t>
  </si>
  <si>
    <t>Wayne, Utah</t>
  </si>
  <si>
    <t>Weber</t>
  </si>
  <si>
    <t>Weber, Utah</t>
  </si>
  <si>
    <t>Vermont</t>
  </si>
  <si>
    <t>Addison</t>
  </si>
  <si>
    <t>Addison, Vermont</t>
  </si>
  <si>
    <t>Bennington</t>
  </si>
  <si>
    <t>Bennington, Vermont</t>
  </si>
  <si>
    <t>Caledonia</t>
  </si>
  <si>
    <t>Caledonia, Vermont</t>
  </si>
  <si>
    <t>Chittenden</t>
  </si>
  <si>
    <t>Chittenden, Vermont</t>
  </si>
  <si>
    <t>Essex, Vermont</t>
  </si>
  <si>
    <t>Franklin, Vermont</t>
  </si>
  <si>
    <t>Grand Isle</t>
  </si>
  <si>
    <t>Grand Isle, Vermont</t>
  </si>
  <si>
    <t>Lamoille</t>
  </si>
  <si>
    <t>Lamoille, Vermont</t>
  </si>
  <si>
    <t>Orange, Vermont</t>
  </si>
  <si>
    <t>Orleans, Vermont</t>
  </si>
  <si>
    <t>Rutland</t>
  </si>
  <si>
    <t>Rutland, Vermont</t>
  </si>
  <si>
    <t>Washington, Vermont</t>
  </si>
  <si>
    <t>Windham</t>
  </si>
  <si>
    <t>Windham, Vermont</t>
  </si>
  <si>
    <t>Windsor</t>
  </si>
  <si>
    <t>Windsor, Vermont</t>
  </si>
  <si>
    <t>Virginia</t>
  </si>
  <si>
    <t>Accomack</t>
  </si>
  <si>
    <t>Accomack, Virginia</t>
  </si>
  <si>
    <t>Albemarle</t>
  </si>
  <si>
    <t>Albemarle, Virginia</t>
  </si>
  <si>
    <t>Alleghany, Virginia</t>
  </si>
  <si>
    <t>Amelia</t>
  </si>
  <si>
    <t>Amelia, Virginia</t>
  </si>
  <si>
    <t>Amherst</t>
  </si>
  <si>
    <t>Amherst, Virginia</t>
  </si>
  <si>
    <t>Appomattox</t>
  </si>
  <si>
    <t>Appomattox, Virginia</t>
  </si>
  <si>
    <t>Arlington</t>
  </si>
  <si>
    <t>Arlington, Virginia</t>
  </si>
  <si>
    <t>Augusta</t>
  </si>
  <si>
    <t>Augusta, Virginia</t>
  </si>
  <si>
    <t>Bath, Virginia</t>
  </si>
  <si>
    <t>Bedford, Virginia</t>
  </si>
  <si>
    <t>Bland</t>
  </si>
  <si>
    <t>Bland, Virginia</t>
  </si>
  <si>
    <t>Botetourt</t>
  </si>
  <si>
    <t>Botetourt, Virginia</t>
  </si>
  <si>
    <t>Brunswick, Virginia</t>
  </si>
  <si>
    <t>Buchanan, Virginia</t>
  </si>
  <si>
    <t>Buckingham</t>
  </si>
  <si>
    <t>Buckingham, Virginia</t>
  </si>
  <si>
    <t>Campbell, Virginia</t>
  </si>
  <si>
    <t>Caroline, Virginia</t>
  </si>
  <si>
    <t>Carroll, Virginia</t>
  </si>
  <si>
    <t>Charles City</t>
  </si>
  <si>
    <t>Charles City, Virginia</t>
  </si>
  <si>
    <t>Charlotte, Virginia</t>
  </si>
  <si>
    <t>Chesterfield, Virginia</t>
  </si>
  <si>
    <t>Clarke, Virginia</t>
  </si>
  <si>
    <t>Craig, Virginia</t>
  </si>
  <si>
    <t>Culpeper</t>
  </si>
  <si>
    <t>Culpeper, Virginia</t>
  </si>
  <si>
    <t>Cumberland, Virginia</t>
  </si>
  <si>
    <t>Dickenson</t>
  </si>
  <si>
    <t>Dickenson, Virginia</t>
  </si>
  <si>
    <t>Dinwiddie</t>
  </si>
  <si>
    <t>Dinwiddie, Virginia</t>
  </si>
  <si>
    <t>Essex, Virginia</t>
  </si>
  <si>
    <t>Fairfax</t>
  </si>
  <si>
    <t>Fairfax, Virginia</t>
  </si>
  <si>
    <t>Fauquier</t>
  </si>
  <si>
    <t>Fauquier, Virginia</t>
  </si>
  <si>
    <t>Floyd, Virginia</t>
  </si>
  <si>
    <t>Fluvanna</t>
  </si>
  <si>
    <t>Fluvanna, Virginia</t>
  </si>
  <si>
    <t>Franklin, Virginia</t>
  </si>
  <si>
    <t>Frederick, Virginia</t>
  </si>
  <si>
    <t>Giles, Virginia</t>
  </si>
  <si>
    <t>Gloucester, Virginia</t>
  </si>
  <si>
    <t>Goochland</t>
  </si>
  <si>
    <t>Goochland, Virginia</t>
  </si>
  <si>
    <t>Grayson, Virginia</t>
  </si>
  <si>
    <t>Greene, Virginia</t>
  </si>
  <si>
    <t>Greensville</t>
  </si>
  <si>
    <t>Greensville, Virginia</t>
  </si>
  <si>
    <t>Halifax, Virginia</t>
  </si>
  <si>
    <t>Hanover</t>
  </si>
  <si>
    <t>Hanover, Virginia</t>
  </si>
  <si>
    <t>Henrico</t>
  </si>
  <si>
    <t>Henrico, Virginia</t>
  </si>
  <si>
    <t>Henry, Virginia</t>
  </si>
  <si>
    <t>Highland, Virginia</t>
  </si>
  <si>
    <t>Isle Of Wight</t>
  </si>
  <si>
    <t>Isle Of Wight, Virginia</t>
  </si>
  <si>
    <t>James City</t>
  </si>
  <si>
    <t>James City, Virginia</t>
  </si>
  <si>
    <t>King And Queen</t>
  </si>
  <si>
    <t>King And Queen, Virginia</t>
  </si>
  <si>
    <t>King George</t>
  </si>
  <si>
    <t>King George, Virginia</t>
  </si>
  <si>
    <t>King William</t>
  </si>
  <si>
    <t>King William, Virginia</t>
  </si>
  <si>
    <t>Lancaster, Virginia</t>
  </si>
  <si>
    <t>Lee, Virginia</t>
  </si>
  <si>
    <t>Loudoun</t>
  </si>
  <si>
    <t>Loudoun, Virginia</t>
  </si>
  <si>
    <t>Louisa, Virginia</t>
  </si>
  <si>
    <t>Lunenburg</t>
  </si>
  <si>
    <t>Lunenburg, Virginia</t>
  </si>
  <si>
    <t>Madison, Virginia</t>
  </si>
  <si>
    <t>Mathews</t>
  </si>
  <si>
    <t>Mathews, Virginia</t>
  </si>
  <si>
    <t>Mecklenburg, Virginia</t>
  </si>
  <si>
    <t>Middlesex, Virginia</t>
  </si>
  <si>
    <t>Montgomery, Virginia</t>
  </si>
  <si>
    <t>Nelson, Virginia</t>
  </si>
  <si>
    <t>New Kent</t>
  </si>
  <si>
    <t>New Kent, Virginia</t>
  </si>
  <si>
    <t>Northampton, Virginia</t>
  </si>
  <si>
    <t>Northumberland, Virginia</t>
  </si>
  <si>
    <t>Nottoway</t>
  </si>
  <si>
    <t>Nottoway, Virginia</t>
  </si>
  <si>
    <t>Orange, Virginia</t>
  </si>
  <si>
    <t>Page, Virginia</t>
  </si>
  <si>
    <t>Patrick</t>
  </si>
  <si>
    <t>Patrick, Virginia</t>
  </si>
  <si>
    <t>Pittsylvania</t>
  </si>
  <si>
    <t>Pittsylvania, Virginia</t>
  </si>
  <si>
    <t>Powhatan</t>
  </si>
  <si>
    <t>Powhatan, Virginia</t>
  </si>
  <si>
    <t>Prince Edward</t>
  </si>
  <si>
    <t>Prince Edward, Virginia</t>
  </si>
  <si>
    <t>Prince George</t>
  </si>
  <si>
    <t>Prince George, Virginia</t>
  </si>
  <si>
    <t>Prince William</t>
  </si>
  <si>
    <t>Prince William, Virginia</t>
  </si>
  <si>
    <t>Pulaski, Virginia</t>
  </si>
  <si>
    <t>Rappahannock</t>
  </si>
  <si>
    <t>Rappahannock, Virginia</t>
  </si>
  <si>
    <t>Richmond, Virginia</t>
  </si>
  <si>
    <t>Roanoke</t>
  </si>
  <si>
    <t>Roanoke, Virginia</t>
  </si>
  <si>
    <t>Rockbridge</t>
  </si>
  <si>
    <t>Rockbridge, Virginia</t>
  </si>
  <si>
    <t>Rockingham, Virginia</t>
  </si>
  <si>
    <t>Russell, Virginia</t>
  </si>
  <si>
    <t>Scott, Virginia</t>
  </si>
  <si>
    <t>Shenandoah</t>
  </si>
  <si>
    <t>Shenandoah, Virginia</t>
  </si>
  <si>
    <t>Smyth</t>
  </si>
  <si>
    <t>Smyth, Virginia</t>
  </si>
  <si>
    <t>Southampton</t>
  </si>
  <si>
    <t>Southampton, Virginia</t>
  </si>
  <si>
    <t>Spotsylvania</t>
  </si>
  <si>
    <t>Spotsylvania, Virginia</t>
  </si>
  <si>
    <t>Stafford, Virginia</t>
  </si>
  <si>
    <t>Surry, Virginia</t>
  </si>
  <si>
    <t>Sussex, Virginia</t>
  </si>
  <si>
    <t>Tazewell, Virginia</t>
  </si>
  <si>
    <t>Warren, Virginia</t>
  </si>
  <si>
    <t>Washington, Virginia</t>
  </si>
  <si>
    <t>Westmoreland, Virginia</t>
  </si>
  <si>
    <t>Wise, Virginia</t>
  </si>
  <si>
    <t>Wythe</t>
  </si>
  <si>
    <t>Wythe, Virginia</t>
  </si>
  <si>
    <t>York, Virginia</t>
  </si>
  <si>
    <t>Alexandria City</t>
  </si>
  <si>
    <t>Alexandria City, Virginia</t>
  </si>
  <si>
    <t>Bristol City</t>
  </si>
  <si>
    <t>Bristol City, Virginia</t>
  </si>
  <si>
    <t>Buena Vista City</t>
  </si>
  <si>
    <t>Buena Vista City, Virginia</t>
  </si>
  <si>
    <t>Charlottesville City</t>
  </si>
  <si>
    <t>Charlottesville City, Virginia</t>
  </si>
  <si>
    <t>Chesapeake City</t>
  </si>
  <si>
    <t>Chesapeake City, Virginia</t>
  </si>
  <si>
    <t>Colonial Heights City</t>
  </si>
  <si>
    <t>Colonial Heights City, Virginia</t>
  </si>
  <si>
    <t>Covington City</t>
  </si>
  <si>
    <t>Covington City, Virginia</t>
  </si>
  <si>
    <t>Danville City</t>
  </si>
  <si>
    <t>Danville City, Virginia</t>
  </si>
  <si>
    <t>Emporia City</t>
  </si>
  <si>
    <t>Emporia City, Virginia</t>
  </si>
  <si>
    <t>Fairfax City</t>
  </si>
  <si>
    <t>Fairfax City, Virginia</t>
  </si>
  <si>
    <t>Falls Church City</t>
  </si>
  <si>
    <t>Falls Church City, Virginia</t>
  </si>
  <si>
    <t>Franklin City</t>
  </si>
  <si>
    <t>Franklin City, Virginia</t>
  </si>
  <si>
    <t>Fredericksburg City</t>
  </si>
  <si>
    <t>Fredericksburg City, Virginia</t>
  </si>
  <si>
    <t>Galax City</t>
  </si>
  <si>
    <t>Galax City, Virginia</t>
  </si>
  <si>
    <t>Hampton City</t>
  </si>
  <si>
    <t>Hampton City, Virginia</t>
  </si>
  <si>
    <t>Harrisonburg City</t>
  </si>
  <si>
    <t>Harrisonburg City, Virginia</t>
  </si>
  <si>
    <t>Hopewell City</t>
  </si>
  <si>
    <t>Hopewell City, Virginia</t>
  </si>
  <si>
    <t>Lexington City</t>
  </si>
  <si>
    <t>Lexington City, Virginia</t>
  </si>
  <si>
    <t>Lynchburg City</t>
  </si>
  <si>
    <t>Lynchburg City, Virginia</t>
  </si>
  <si>
    <t>Manassas City</t>
  </si>
  <si>
    <t>Manassas City, Virginia</t>
  </si>
  <si>
    <t>Manassas Park City</t>
  </si>
  <si>
    <t>Manassas Park City, Virginia</t>
  </si>
  <si>
    <t>Martinsville City</t>
  </si>
  <si>
    <t>Martinsville City, Virginia</t>
  </si>
  <si>
    <t>Newport News City</t>
  </si>
  <si>
    <t>Newport News City, Virginia</t>
  </si>
  <si>
    <t>Norfolk City</t>
  </si>
  <si>
    <t>Norfolk City, Virginia</t>
  </si>
  <si>
    <t>Norton City</t>
  </si>
  <si>
    <t>Norton City, Virginia</t>
  </si>
  <si>
    <t>Petersburg City</t>
  </si>
  <si>
    <t>Petersburg City, Virginia</t>
  </si>
  <si>
    <t>Poquoson City</t>
  </si>
  <si>
    <t>Poquoson City, Virginia</t>
  </si>
  <si>
    <t>Portsmouth City</t>
  </si>
  <si>
    <t>Portsmouth City, Virginia</t>
  </si>
  <si>
    <t>Radford City</t>
  </si>
  <si>
    <t>Radford City, Virginia</t>
  </si>
  <si>
    <t>Richmond City</t>
  </si>
  <si>
    <t>Richmond City, Virginia</t>
  </si>
  <si>
    <t>Roanoke City</t>
  </si>
  <si>
    <t>Roanoke City, Virginia</t>
  </si>
  <si>
    <t>Salem City</t>
  </si>
  <si>
    <t>Salem City, Virginia</t>
  </si>
  <si>
    <t>Staunton City</t>
  </si>
  <si>
    <t>Staunton City, Virginia</t>
  </si>
  <si>
    <t>Suffolk City</t>
  </si>
  <si>
    <t>Suffolk City, Virginia</t>
  </si>
  <si>
    <t>Virginia Beach City</t>
  </si>
  <si>
    <t>Virginia Beach City, Virginia</t>
  </si>
  <si>
    <t>Waynesboro City</t>
  </si>
  <si>
    <t>Waynesboro City, Virginia</t>
  </si>
  <si>
    <t>Williamsburg City</t>
  </si>
  <si>
    <t>Williamsburg City, Virginia</t>
  </si>
  <si>
    <t>Winchester City</t>
  </si>
  <si>
    <t>Winchester City, Virginia</t>
  </si>
  <si>
    <t>Adams, Washington</t>
  </si>
  <si>
    <t>Asotin</t>
  </si>
  <si>
    <t>Asotin, Washington</t>
  </si>
  <si>
    <t>Benton, Washington</t>
  </si>
  <si>
    <t>Chelan</t>
  </si>
  <si>
    <t>Chelan, Washington</t>
  </si>
  <si>
    <t>Clallam</t>
  </si>
  <si>
    <t>Clallam, Washington</t>
  </si>
  <si>
    <t>Clark, Washington</t>
  </si>
  <si>
    <t>Columbia, Washington</t>
  </si>
  <si>
    <t>Cowlitz</t>
  </si>
  <si>
    <t>Cowlitz, Washington</t>
  </si>
  <si>
    <t>Douglas, Washington</t>
  </si>
  <si>
    <t>Ferry</t>
  </si>
  <si>
    <t>Ferry, Washington</t>
  </si>
  <si>
    <t>Franklin, Washington</t>
  </si>
  <si>
    <t>Garfield, Washington</t>
  </si>
  <si>
    <t>Grant, Washington</t>
  </si>
  <si>
    <t>Grays Harbor</t>
  </si>
  <si>
    <t>Grays Harbor, Washington</t>
  </si>
  <si>
    <t>Island</t>
  </si>
  <si>
    <t>Island, Washington</t>
  </si>
  <si>
    <t>Jefferson, Washington</t>
  </si>
  <si>
    <t>King, Washington</t>
  </si>
  <si>
    <t>Kitsap</t>
  </si>
  <si>
    <t>Kitsap, Washington</t>
  </si>
  <si>
    <t>Kittitas</t>
  </si>
  <si>
    <t>Kittitas, Washington</t>
  </si>
  <si>
    <t>Klickitat</t>
  </si>
  <si>
    <t>Klickitat, Washington</t>
  </si>
  <si>
    <t>Lewis, Washington</t>
  </si>
  <si>
    <t>Lincoln, Washington</t>
  </si>
  <si>
    <t>Mason, Washington</t>
  </si>
  <si>
    <t>Okanogan</t>
  </si>
  <si>
    <t>Okanogan, Washington</t>
  </si>
  <si>
    <t>Pacific</t>
  </si>
  <si>
    <t>Pacific, Washington</t>
  </si>
  <si>
    <t>Pend Oreille</t>
  </si>
  <si>
    <t>Pend Oreille, Washington</t>
  </si>
  <si>
    <t>Pierce, Washington</t>
  </si>
  <si>
    <t>San Juan, Washington</t>
  </si>
  <si>
    <t>Skagit</t>
  </si>
  <si>
    <t>Skagit, Washington</t>
  </si>
  <si>
    <t>Skamania</t>
  </si>
  <si>
    <t>Skamania, Washington</t>
  </si>
  <si>
    <t>Snohomish</t>
  </si>
  <si>
    <t>Snohomish, Washington</t>
  </si>
  <si>
    <t>Spokane</t>
  </si>
  <si>
    <t>Spokane, Washington</t>
  </si>
  <si>
    <t>Stevens, Washington</t>
  </si>
  <si>
    <t>Thurston, Washington</t>
  </si>
  <si>
    <t>Wahkiakum</t>
  </si>
  <si>
    <t>Wahkiakum, Washington</t>
  </si>
  <si>
    <t>Walla Walla</t>
  </si>
  <si>
    <t>Walla Walla, Washington</t>
  </si>
  <si>
    <t>Whatcom</t>
  </si>
  <si>
    <t>Whatcom, Washington</t>
  </si>
  <si>
    <t>Whitman</t>
  </si>
  <si>
    <t>Whitman, Washington</t>
  </si>
  <si>
    <t>Yakima</t>
  </si>
  <si>
    <t>Yakima, Washington</t>
  </si>
  <si>
    <t>West Virginia</t>
  </si>
  <si>
    <t>Barbour, West Virginia</t>
  </si>
  <si>
    <t>Berkeley, West Virginia</t>
  </si>
  <si>
    <t>Boone, West Virginia</t>
  </si>
  <si>
    <t>Braxton</t>
  </si>
  <si>
    <t>Braxton, West Virginia</t>
  </si>
  <si>
    <t>Brooke</t>
  </si>
  <si>
    <t>Brooke, West Virginia</t>
  </si>
  <si>
    <t>Cabell</t>
  </si>
  <si>
    <t>Cabell, West Virginia</t>
  </si>
  <si>
    <t>Calhoun, West Virginia</t>
  </si>
  <si>
    <t>Clay, West Virginia</t>
  </si>
  <si>
    <t>Doddridge</t>
  </si>
  <si>
    <t>Doddridge, West Virginia</t>
  </si>
  <si>
    <t>Fayette, West Virginia</t>
  </si>
  <si>
    <t>Gilmer, West Virginia</t>
  </si>
  <si>
    <t>Grant, West Virginia</t>
  </si>
  <si>
    <t>Greenbrier</t>
  </si>
  <si>
    <t>Greenbrier, West Virginia</t>
  </si>
  <si>
    <t>Hampshire, West Virginia</t>
  </si>
  <si>
    <t>Hancock, West Virginia</t>
  </si>
  <si>
    <t>Hardy</t>
  </si>
  <si>
    <t>Hardy, West Virginia</t>
  </si>
  <si>
    <t>Harrison, West Virginia</t>
  </si>
  <si>
    <t>Jackson, West Virginia</t>
  </si>
  <si>
    <t>Jefferson, West Virginia</t>
  </si>
  <si>
    <t>Kanawha</t>
  </si>
  <si>
    <t>Kanawha, West Virginia</t>
  </si>
  <si>
    <t>Lewis, West Virginia</t>
  </si>
  <si>
    <t>Lincoln, West Virginia</t>
  </si>
  <si>
    <t>Logan, West Virginia</t>
  </si>
  <si>
    <t>McDowell, West Virginia</t>
  </si>
  <si>
    <t>Marion, West Virginia</t>
  </si>
  <si>
    <t>Marshall, West Virginia</t>
  </si>
  <si>
    <t>Mason, West Virginia</t>
  </si>
  <si>
    <t>Mercer, West Virginia</t>
  </si>
  <si>
    <t>Mineral, West Virginia</t>
  </si>
  <si>
    <t>Mingo</t>
  </si>
  <si>
    <t>Mingo, West Virginia</t>
  </si>
  <si>
    <t>Monongalia</t>
  </si>
  <si>
    <t>Monongalia, West Virginia</t>
  </si>
  <si>
    <t>Monroe, West Virginia</t>
  </si>
  <si>
    <t>Morgan, West Virginia</t>
  </si>
  <si>
    <t>Nicholas, West Virginia</t>
  </si>
  <si>
    <t>Ohio, West Virginia</t>
  </si>
  <si>
    <t>Pendleton, West Virginia</t>
  </si>
  <si>
    <t>Pleasants</t>
  </si>
  <si>
    <t>Pleasants, West Virginia</t>
  </si>
  <si>
    <t>Pocahontas, West Virginia</t>
  </si>
  <si>
    <t>Preston</t>
  </si>
  <si>
    <t>Preston, West Virginia</t>
  </si>
  <si>
    <t>Putnam, West Virginia</t>
  </si>
  <si>
    <t>Raleigh</t>
  </si>
  <si>
    <t>Raleigh, West Virginia</t>
  </si>
  <si>
    <t>Randolph, West Virginia</t>
  </si>
  <si>
    <t>Ritchie</t>
  </si>
  <si>
    <t>Ritchie, West Virginia</t>
  </si>
  <si>
    <t>Roane, West Virginia</t>
  </si>
  <si>
    <t>Summers</t>
  </si>
  <si>
    <t>Summers, West Virginia</t>
  </si>
  <si>
    <t>Taylor, West Virginia</t>
  </si>
  <si>
    <t>Tucker</t>
  </si>
  <si>
    <t>Tucker, West Virginia</t>
  </si>
  <si>
    <t>Tyler, West Virginia</t>
  </si>
  <si>
    <t>Upshur, West Virginia</t>
  </si>
  <si>
    <t>Wayne, West Virginia</t>
  </si>
  <si>
    <t>Webster, West Virginia</t>
  </si>
  <si>
    <t>Wetzel</t>
  </si>
  <si>
    <t>Wetzel, West Virginia</t>
  </si>
  <si>
    <t>Wirt</t>
  </si>
  <si>
    <t>Wirt, West Virginia</t>
  </si>
  <si>
    <t>Wood, West Virginia</t>
  </si>
  <si>
    <t>Wyoming, West Virginia</t>
  </si>
  <si>
    <t>Wisconsin</t>
  </si>
  <si>
    <t>Adams, Wisconsin</t>
  </si>
  <si>
    <t>Ashland, Wisconsin</t>
  </si>
  <si>
    <t>Barron</t>
  </si>
  <si>
    <t>Barron, Wisconsin</t>
  </si>
  <si>
    <t>Bayfield</t>
  </si>
  <si>
    <t>Bayfield, Wisconsin</t>
  </si>
  <si>
    <t>Brown, Wisconsin</t>
  </si>
  <si>
    <t>Buffalo, Wisconsin</t>
  </si>
  <si>
    <t>Burnett</t>
  </si>
  <si>
    <t>Burnett, Wisconsin</t>
  </si>
  <si>
    <t>Calumet</t>
  </si>
  <si>
    <t>Calumet, Wisconsin</t>
  </si>
  <si>
    <t>Chippewa, Wisconsin</t>
  </si>
  <si>
    <t>Clark, Wisconsin</t>
  </si>
  <si>
    <t>Columbia, Wisconsin</t>
  </si>
  <si>
    <t>Crawford, Wisconsin</t>
  </si>
  <si>
    <t>Dane</t>
  </si>
  <si>
    <t>Dane, Wisconsin</t>
  </si>
  <si>
    <t>Dodge, Wisconsin</t>
  </si>
  <si>
    <t>Door</t>
  </si>
  <si>
    <t>Door, Wisconsin</t>
  </si>
  <si>
    <t>Douglas, Wisconsin</t>
  </si>
  <si>
    <t>Dunn, Wisconsin</t>
  </si>
  <si>
    <t>Eau Claire</t>
  </si>
  <si>
    <t>Eau Claire, Wisconsin</t>
  </si>
  <si>
    <t>Florence, Wisconsin</t>
  </si>
  <si>
    <t>Fond Du Lac</t>
  </si>
  <si>
    <t>Fond Du Lac, Wisconsin</t>
  </si>
  <si>
    <t>Forest, Wisconsin</t>
  </si>
  <si>
    <t>Grant, Wisconsin</t>
  </si>
  <si>
    <t>Green, Wisconsin</t>
  </si>
  <si>
    <t>Green Lake</t>
  </si>
  <si>
    <t>Green Lake, Wisconsin</t>
  </si>
  <si>
    <t>Iowa, Wisconsin</t>
  </si>
  <si>
    <t>Iron, Wisconsin</t>
  </si>
  <si>
    <t>Jackson, Wisconsin</t>
  </si>
  <si>
    <t>Jefferson, Wisconsin</t>
  </si>
  <si>
    <t>Juneau, Wisconsin</t>
  </si>
  <si>
    <t>Kenosha</t>
  </si>
  <si>
    <t>Kenosha, Wisconsin</t>
  </si>
  <si>
    <t>Kewaunee</t>
  </si>
  <si>
    <t>Kewaunee, Wisconsin</t>
  </si>
  <si>
    <t>La Crosse</t>
  </si>
  <si>
    <t>La Crosse, Wisconsin</t>
  </si>
  <si>
    <t>Lafayette, Wisconsin</t>
  </si>
  <si>
    <t>Langlade</t>
  </si>
  <si>
    <t>Langlade, Wisconsin</t>
  </si>
  <si>
    <t>Lincoln, Wisconsin</t>
  </si>
  <si>
    <t>Manitowoc</t>
  </si>
  <si>
    <t>Manitowoc, Wisconsin</t>
  </si>
  <si>
    <t>Marathon</t>
  </si>
  <si>
    <t>Marathon, Wisconsin</t>
  </si>
  <si>
    <t>Marinette</t>
  </si>
  <si>
    <t>Marinette, Wisconsin</t>
  </si>
  <si>
    <t>Marquette, Wisconsin</t>
  </si>
  <si>
    <t>Menominee, Wisconsin</t>
  </si>
  <si>
    <t>Milwaukee</t>
  </si>
  <si>
    <t>Milwaukee, Wisconsin</t>
  </si>
  <si>
    <t>Monroe, Wisconsin</t>
  </si>
  <si>
    <t>Oconto</t>
  </si>
  <si>
    <t>Oconto, Wisconsin</t>
  </si>
  <si>
    <t>Oneida, Wisconsin</t>
  </si>
  <si>
    <t>Outagamie</t>
  </si>
  <si>
    <t>Outagamie, Wisconsin</t>
  </si>
  <si>
    <t>Ozaukee</t>
  </si>
  <si>
    <t>Ozaukee, Wisconsin</t>
  </si>
  <si>
    <t>Pepin</t>
  </si>
  <si>
    <t>Pepin, Wisconsin</t>
  </si>
  <si>
    <t>Pierce, Wisconsin</t>
  </si>
  <si>
    <t>Polk, Wisconsin</t>
  </si>
  <si>
    <t>Portage, Wisconsin</t>
  </si>
  <si>
    <t>Price</t>
  </si>
  <si>
    <t>Price, Wisconsin</t>
  </si>
  <si>
    <t>Racine</t>
  </si>
  <si>
    <t>Racine, Wisconsin</t>
  </si>
  <si>
    <t>Richland, Wisconsin</t>
  </si>
  <si>
    <t>Rock, Wisconsin</t>
  </si>
  <si>
    <t>Rusk, Wisconsin</t>
  </si>
  <si>
    <t>St. Croix</t>
  </si>
  <si>
    <t>St. Croix, Wisconsin</t>
  </si>
  <si>
    <t>Sauk</t>
  </si>
  <si>
    <t>Sauk, Wisconsin</t>
  </si>
  <si>
    <t>Sawyer</t>
  </si>
  <si>
    <t>Sawyer, Wisconsin</t>
  </si>
  <si>
    <t>Shawano</t>
  </si>
  <si>
    <t>Shawano, Wisconsin</t>
  </si>
  <si>
    <t>Sheboygan</t>
  </si>
  <si>
    <t>Sheboygan, Wisconsin</t>
  </si>
  <si>
    <t>Taylor, Wisconsin</t>
  </si>
  <si>
    <t>Trempealeau</t>
  </si>
  <si>
    <t>Trempealeau, Wisconsin</t>
  </si>
  <si>
    <t>Vernon, Wisconsin</t>
  </si>
  <si>
    <t>Vilas</t>
  </si>
  <si>
    <t>Vilas, Wisconsin</t>
  </si>
  <si>
    <t>Walworth, Wisconsin</t>
  </si>
  <si>
    <t>Washburn</t>
  </si>
  <si>
    <t>Washburn, Wisconsin</t>
  </si>
  <si>
    <t>Washington, Wisconsin</t>
  </si>
  <si>
    <t>Waukesha</t>
  </si>
  <si>
    <t>Waukesha, Wisconsin</t>
  </si>
  <si>
    <t>Waupaca</t>
  </si>
  <si>
    <t>Waupaca, Wisconsin</t>
  </si>
  <si>
    <t>Waushara</t>
  </si>
  <si>
    <t>Waushara, Wisconsin</t>
  </si>
  <si>
    <t>Winnebago, Wisconsin</t>
  </si>
  <si>
    <t>Wood, Wisconsin</t>
  </si>
  <si>
    <t>Albany, Wyoming</t>
  </si>
  <si>
    <t>Big Horn, Wyoming</t>
  </si>
  <si>
    <t>Campbell, Wyoming</t>
  </si>
  <si>
    <t>Carbon, Wyoming</t>
  </si>
  <si>
    <t>Converse</t>
  </si>
  <si>
    <t>Converse, Wyoming</t>
  </si>
  <si>
    <t>Crook, Wyoming</t>
  </si>
  <si>
    <t>Fremont, Wyoming</t>
  </si>
  <si>
    <t>Goshen</t>
  </si>
  <si>
    <t>Goshen, Wyoming</t>
  </si>
  <si>
    <t>Hot Springs</t>
  </si>
  <si>
    <t>Hot Springs, Wyoming</t>
  </si>
  <si>
    <t>Johnson, Wyoming</t>
  </si>
  <si>
    <t>Laramie</t>
  </si>
  <si>
    <t>Laramie, Wyoming</t>
  </si>
  <si>
    <t>Lincoln, Wyoming</t>
  </si>
  <si>
    <t>Natrona</t>
  </si>
  <si>
    <t>Natrona, Wyoming</t>
  </si>
  <si>
    <t>Niobrara</t>
  </si>
  <si>
    <t>Niobrara, Wyoming</t>
  </si>
  <si>
    <t>Park, Wyoming</t>
  </si>
  <si>
    <t>Platte, Wyoming</t>
  </si>
  <si>
    <t>Sheridan, Wyoming</t>
  </si>
  <si>
    <t>Sublette</t>
  </si>
  <si>
    <t>Sublette, Wyoming</t>
  </si>
  <si>
    <t>Sweetwater</t>
  </si>
  <si>
    <t>Sweetwater, Wyoming</t>
  </si>
  <si>
    <t>Teton, Wyoming</t>
  </si>
  <si>
    <t>Uinta</t>
  </si>
  <si>
    <t>Uinta, Wyoming</t>
  </si>
  <si>
    <t>Washakie</t>
  </si>
  <si>
    <t>Washakie, Wyoming</t>
  </si>
  <si>
    <t>Weston</t>
  </si>
  <si>
    <t>Weston, Wyoming</t>
  </si>
  <si>
    <t>Puerto Rico</t>
  </si>
  <si>
    <t>Puerto Rico all counties</t>
  </si>
  <si>
    <t>Puerto Rico all counties, Puerto Rico</t>
  </si>
  <si>
    <t>US Territories (excluding Puerto Rico)</t>
  </si>
  <si>
    <t>US Territories (excluding Puerto Rico), US Territories (excluding Puerto Rico)</t>
  </si>
  <si>
    <t>Other Foreign Countries</t>
  </si>
  <si>
    <t>Other Foreign Countries, Other Foreign Countries</t>
  </si>
  <si>
    <t>Unknown</t>
  </si>
  <si>
    <t>Unknown, Unknown</t>
  </si>
  <si>
    <t>Row Labels</t>
  </si>
  <si>
    <t>Grand Total</t>
  </si>
  <si>
    <t>Sum of Total: Disability Compensation Recipients</t>
  </si>
  <si>
    <t>Real County?</t>
  </si>
  <si>
    <t>TRUE</t>
  </si>
  <si>
    <t>0% to 20%</t>
  </si>
  <si>
    <t>30% to 40%</t>
  </si>
  <si>
    <t>50% to 60%</t>
  </si>
  <si>
    <t>70% to 90%</t>
  </si>
  <si>
    <t>% of Total</t>
  </si>
  <si>
    <t>SUM</t>
  </si>
  <si>
    <t>SCD RANGE</t>
  </si>
  <si>
    <t>Total Recipients Nationwide</t>
  </si>
  <si>
    <t>Top State</t>
  </si>
  <si>
    <t>% Rated 70% or Higher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</si>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</sst>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8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42" applyFont="1"/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18" fillId="0" borderId="0" xfId="42" applyFont="1" applyAlignment="1">
      <alignment horizontal="center" vertical="center"/>
    </xf>
    <xf numFmtId="0" fontId="19" fillId="33" borderId="0" xfId="0" applyFont="1" applyFill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156082"/>
      <color rgb="FF1F66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[fy2025_disability_analysis_by_county_raw.xlsx]Sheet1!PivotTable1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VA Disability Compensation Recipients by State (FY2025) — Top 15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5"/>
                <c:pt idx="0">
                  <c:v>Texas</c:v>
                </c:pt>
                <c:pt idx="1">
                  <c:v>Florida</c:v>
                </c:pt>
                <c:pt idx="2">
                  <c:v>California</c:v>
                </c:pt>
                <c:pt idx="3">
                  <c:v>North Carolina</c:v>
                </c:pt>
                <c:pt idx="4">
                  <c:v>Virginia</c:v>
                </c:pt>
                <c:pt idx="5">
                  <c:v>Georgia</c:v>
                </c:pt>
                <c:pt idx="6">
                  <c:v>Ohio</c:v>
                </c:pt>
                <c:pt idx="7">
                  <c:v>Washington</c:v>
                </c:pt>
                <c:pt idx="8">
                  <c:v>Pennsylvania</c:v>
                </c:pt>
                <c:pt idx="9">
                  <c:v>Tennessee</c:v>
                </c:pt>
                <c:pt idx="10">
                  <c:v>Arizona</c:v>
                </c:pt>
                <c:pt idx="11">
                  <c:v>South Carolina</c:v>
                </c:pt>
                <c:pt idx="12">
                  <c:v>New York</c:v>
                </c:pt>
                <c:pt idx="13">
                  <c:v>Michigan</c:v>
                </c:pt>
                <c:pt idx="14">
                  <c:v>Alabama</c:v>
                </c:pt>
              </c:strCache>
            </c:strRef>
          </c:cat>
          <c:val>
            <c:numRef>
              <c:f>Sheet1!$B$4:$B$19</c:f>
              <c:numCache>
                <c:formatCode>General</c:formatCode>
                <c:ptCount val="15"/>
                <c:pt idx="0">
                  <c:v>682628</c:v>
                </c:pt>
                <c:pt idx="1">
                  <c:v>538014</c:v>
                </c:pt>
                <c:pt idx="2">
                  <c:v>502173</c:v>
                </c:pt>
                <c:pt idx="3">
                  <c:v>286763</c:v>
                </c:pt>
                <c:pt idx="4">
                  <c:v>275063</c:v>
                </c:pt>
                <c:pt idx="5">
                  <c:v>273766</c:v>
                </c:pt>
                <c:pt idx="6">
                  <c:v>191332</c:v>
                </c:pt>
                <c:pt idx="7">
                  <c:v>173242</c:v>
                </c:pt>
                <c:pt idx="8">
                  <c:v>171698</c:v>
                </c:pt>
                <c:pt idx="9">
                  <c:v>168911</c:v>
                </c:pt>
                <c:pt idx="10">
                  <c:v>159063</c:v>
                </c:pt>
                <c:pt idx="11">
                  <c:v>155553</c:v>
                </c:pt>
                <c:pt idx="12">
                  <c:v>155261</c:v>
                </c:pt>
                <c:pt idx="13">
                  <c:v>142220</c:v>
                </c:pt>
                <c:pt idx="14">
                  <c:v>141973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C-4DBD-9791-3E937E2A0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9659311"/>
        <c:axId val="1720661391"/>
      </c:barChart>
      <c:catAx>
        <c:axId val="17196593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61391"/>
        <c:crosses val="autoZero"/>
        <c:auto val="1"/>
        <c:lblAlgn val="ctr"/>
        <c:lblOffset val="100"/>
        <c:noMultiLvlLbl val="0"/>
      </c:catAx>
      <c:valAx>
        <c:axId val="17206613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65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[fy2025_disability_analysis_by_county_raw.xlsx]Sheet1!PivotTable2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15 Counties by VA Disability Compensation Recipients (FY2025)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Sheet1!$A$23:$A$38</c:f>
              <c:strCache>
                <c:ptCount val="15"/>
                <c:pt idx="0">
                  <c:v>San Diego, California</c:v>
                </c:pt>
                <c:pt idx="1">
                  <c:v>Bexar, Texas</c:v>
                </c:pt>
                <c:pt idx="2">
                  <c:v>Maricopa, Arizona</c:v>
                </c:pt>
                <c:pt idx="3">
                  <c:v>Los Angeles, California</c:v>
                </c:pt>
                <c:pt idx="4">
                  <c:v>Harris, Texas</c:v>
                </c:pt>
                <c:pt idx="5">
                  <c:v>Clark, Nevada</c:v>
                </c:pt>
                <c:pt idx="6">
                  <c:v>El Paso, Colorado</c:v>
                </c:pt>
                <c:pt idx="7">
                  <c:v>Riverside, California</c:v>
                </c:pt>
                <c:pt idx="8">
                  <c:v>Tarrant, Texas</c:v>
                </c:pt>
                <c:pt idx="9">
                  <c:v>Hillsborough, Florida</c:v>
                </c:pt>
                <c:pt idx="10">
                  <c:v>Bell, Texas</c:v>
                </c:pt>
                <c:pt idx="11">
                  <c:v>Duval, Florida</c:v>
                </c:pt>
                <c:pt idx="12">
                  <c:v>Pierce, Washington</c:v>
                </c:pt>
                <c:pt idx="13">
                  <c:v>Cook, Illinois</c:v>
                </c:pt>
                <c:pt idx="14">
                  <c:v>San Bernardino, California</c:v>
                </c:pt>
              </c:strCache>
            </c:strRef>
          </c:cat>
          <c:val>
            <c:numRef>
              <c:f>Sheet1!$B$23:$B$38</c:f>
              <c:numCache>
                <c:formatCode>General</c:formatCode>
                <c:ptCount val="15"/>
                <c:pt idx="0">
                  <c:v>98159</c:v>
                </c:pt>
                <c:pt idx="1">
                  <c:v>95255</c:v>
                </c:pt>
                <c:pt idx="2">
                  <c:v>78855</c:v>
                </c:pt>
                <c:pt idx="3">
                  <c:v>73230</c:v>
                </c:pt>
                <c:pt idx="4">
                  <c:v>61160</c:v>
                </c:pt>
                <c:pt idx="5">
                  <c:v>58508</c:v>
                </c:pt>
                <c:pt idx="6">
                  <c:v>52489</c:v>
                </c:pt>
                <c:pt idx="7">
                  <c:v>50395</c:v>
                </c:pt>
                <c:pt idx="8">
                  <c:v>42439</c:v>
                </c:pt>
                <c:pt idx="9">
                  <c:v>42212</c:v>
                </c:pt>
                <c:pt idx="10">
                  <c:v>39929</c:v>
                </c:pt>
                <c:pt idx="11">
                  <c:v>37487</c:v>
                </c:pt>
                <c:pt idx="12">
                  <c:v>35747</c:v>
                </c:pt>
                <c:pt idx="13">
                  <c:v>32786</c:v>
                </c:pt>
                <c:pt idx="14">
                  <c:v>32294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6-45E3-BDC6-987B0A3A6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7351664"/>
        <c:axId val="1546181616"/>
      </c:barChart>
      <c:catAx>
        <c:axId val="15473516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81616"/>
        <c:crosses val="autoZero"/>
        <c:auto val="1"/>
        <c:lblAlgn val="ctr"/>
        <c:lblOffset val="100"/>
        <c:noMultiLvlLbl val="0"/>
      </c:catAx>
      <c:valAx>
        <c:axId val="15461816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35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[fy2025_disability_analysis_by_county_raw.xlsx]Sheet1!PivotTable1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VA Disability Compensation Recipients by State (FY2025) — Top 15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5"/>
                <c:pt idx="0">
                  <c:v>Texas</c:v>
                </c:pt>
                <c:pt idx="1">
                  <c:v>Florida</c:v>
                </c:pt>
                <c:pt idx="2">
                  <c:v>California</c:v>
                </c:pt>
                <c:pt idx="3">
                  <c:v>North Carolina</c:v>
                </c:pt>
                <c:pt idx="4">
                  <c:v>Virginia</c:v>
                </c:pt>
                <c:pt idx="5">
                  <c:v>Georgia</c:v>
                </c:pt>
                <c:pt idx="6">
                  <c:v>Ohio</c:v>
                </c:pt>
                <c:pt idx="7">
                  <c:v>Washington</c:v>
                </c:pt>
                <c:pt idx="8">
                  <c:v>Pennsylvania</c:v>
                </c:pt>
                <c:pt idx="9">
                  <c:v>Tennessee</c:v>
                </c:pt>
                <c:pt idx="10">
                  <c:v>Arizona</c:v>
                </c:pt>
                <c:pt idx="11">
                  <c:v>South Carolina</c:v>
                </c:pt>
                <c:pt idx="12">
                  <c:v>New York</c:v>
                </c:pt>
                <c:pt idx="13">
                  <c:v>Michigan</c:v>
                </c:pt>
                <c:pt idx="14">
                  <c:v>Alabama</c:v>
                </c:pt>
              </c:strCache>
            </c:strRef>
          </c:cat>
          <c:val>
            <c:numRef>
              <c:f>Sheet1!$B$4:$B$19</c:f>
              <c:numCache>
                <c:formatCode>General</c:formatCode>
                <c:ptCount val="15"/>
                <c:pt idx="0">
                  <c:v>682628</c:v>
                </c:pt>
                <c:pt idx="1">
                  <c:v>538014</c:v>
                </c:pt>
                <c:pt idx="2">
                  <c:v>502173</c:v>
                </c:pt>
                <c:pt idx="3">
                  <c:v>286763</c:v>
                </c:pt>
                <c:pt idx="4">
                  <c:v>275063</c:v>
                </c:pt>
                <c:pt idx="5">
                  <c:v>273766</c:v>
                </c:pt>
                <c:pt idx="6">
                  <c:v>191332</c:v>
                </c:pt>
                <c:pt idx="7">
                  <c:v>173242</c:v>
                </c:pt>
                <c:pt idx="8">
                  <c:v>171698</c:v>
                </c:pt>
                <c:pt idx="9">
                  <c:v>168911</c:v>
                </c:pt>
                <c:pt idx="10">
                  <c:v>159063</c:v>
                </c:pt>
                <c:pt idx="11">
                  <c:v>155553</c:v>
                </c:pt>
                <c:pt idx="12">
                  <c:v>155261</c:v>
                </c:pt>
                <c:pt idx="13">
                  <c:v>142220</c:v>
                </c:pt>
                <c:pt idx="14">
                  <c:v>141973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E-46E4-A666-51CFC774B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9659311"/>
        <c:axId val="1720661391"/>
      </c:barChart>
      <c:catAx>
        <c:axId val="17196593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61391"/>
        <c:crosses val="autoZero"/>
        <c:auto val="1"/>
        <c:lblAlgn val="ctr"/>
        <c:lblOffset val="100"/>
        <c:noMultiLvlLbl val="0"/>
      </c:catAx>
      <c:valAx>
        <c:axId val="17206613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65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[fy2025_disability_analysis_by_county_raw.xlsx]Sheet1!PivotTable2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15 Counties by VA Disability Compensation Recipients (FY2025)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Sheet1!$A$23:$A$38</c:f>
              <c:strCache>
                <c:ptCount val="15"/>
                <c:pt idx="0">
                  <c:v>San Diego, California</c:v>
                </c:pt>
                <c:pt idx="1">
                  <c:v>Bexar, Texas</c:v>
                </c:pt>
                <c:pt idx="2">
                  <c:v>Maricopa, Arizona</c:v>
                </c:pt>
                <c:pt idx="3">
                  <c:v>Los Angeles, California</c:v>
                </c:pt>
                <c:pt idx="4">
                  <c:v>Harris, Texas</c:v>
                </c:pt>
                <c:pt idx="5">
                  <c:v>Clark, Nevada</c:v>
                </c:pt>
                <c:pt idx="6">
                  <c:v>El Paso, Colorado</c:v>
                </c:pt>
                <c:pt idx="7">
                  <c:v>Riverside, California</c:v>
                </c:pt>
                <c:pt idx="8">
                  <c:v>Tarrant, Texas</c:v>
                </c:pt>
                <c:pt idx="9">
                  <c:v>Hillsborough, Florida</c:v>
                </c:pt>
                <c:pt idx="10">
                  <c:v>Bell, Texas</c:v>
                </c:pt>
                <c:pt idx="11">
                  <c:v>Duval, Florida</c:v>
                </c:pt>
                <c:pt idx="12">
                  <c:v>Pierce, Washington</c:v>
                </c:pt>
                <c:pt idx="13">
                  <c:v>Cook, Illinois</c:v>
                </c:pt>
                <c:pt idx="14">
                  <c:v>San Bernardino, California</c:v>
                </c:pt>
              </c:strCache>
            </c:strRef>
          </c:cat>
          <c:val>
            <c:numRef>
              <c:f>Sheet1!$B$23:$B$38</c:f>
              <c:numCache>
                <c:formatCode>General</c:formatCode>
                <c:ptCount val="15"/>
                <c:pt idx="0">
                  <c:v>98159</c:v>
                </c:pt>
                <c:pt idx="1">
                  <c:v>95255</c:v>
                </c:pt>
                <c:pt idx="2">
                  <c:v>78855</c:v>
                </c:pt>
                <c:pt idx="3">
                  <c:v>73230</c:v>
                </c:pt>
                <c:pt idx="4">
                  <c:v>61160</c:v>
                </c:pt>
                <c:pt idx="5">
                  <c:v>58508</c:v>
                </c:pt>
                <c:pt idx="6">
                  <c:v>52489</c:v>
                </c:pt>
                <c:pt idx="7">
                  <c:v>50395</c:v>
                </c:pt>
                <c:pt idx="8">
                  <c:v>42439</c:v>
                </c:pt>
                <c:pt idx="9">
                  <c:v>42212</c:v>
                </c:pt>
                <c:pt idx="10">
                  <c:v>39929</c:v>
                </c:pt>
                <c:pt idx="11">
                  <c:v>37487</c:v>
                </c:pt>
                <c:pt idx="12">
                  <c:v>35747</c:v>
                </c:pt>
                <c:pt idx="13">
                  <c:v>32786</c:v>
                </c:pt>
                <c:pt idx="14">
                  <c:v>32294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A-40FD-8850-438952E56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7351664"/>
        <c:axId val="1546181616"/>
      </c:barChart>
      <c:catAx>
        <c:axId val="15473516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81616"/>
        <c:crosses val="autoZero"/>
        <c:auto val="1"/>
        <c:lblAlgn val="ctr"/>
        <c:lblOffset val="100"/>
        <c:noMultiLvlLbl val="0"/>
      </c:catAx>
      <c:valAx>
        <c:axId val="15461816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35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Severity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%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5"/>
                <c:pt idx="0">
                  <c:v>0% to 20%</c:v>
                </c:pt>
                <c:pt idx="1">
                  <c:v>30% to 40%</c:v>
                </c:pt>
                <c:pt idx="2">
                  <c:v>50% to 60%</c:v>
                </c:pt>
                <c:pt idx="3">
                  <c:v>70% to 90%</c:v>
                </c:pt>
                <c:pt idx="4">
                  <c:v>100%</c:v>
                </c:pt>
              </c:strCache>
            </c:strRef>
          </c:cat>
          <c:val>
            <c:numRef>
              <c:f>Sheet2!$C$2:$C$6</c:f>
              <c:numCache>
                <c:formatCode>0%</c:formatCode>
                <c:ptCount val="5"/>
                <c:pt idx="0">
                  <c:v>0.19259238414197652</c:v>
                </c:pt>
                <c:pt idx="1">
                  <c:v>0.10495613824294961</c:v>
                </c:pt>
                <c:pt idx="2">
                  <c:v>0.11523623755163369</c:v>
                </c:pt>
                <c:pt idx="3">
                  <c:v>0.29539559055277448</c:v>
                </c:pt>
                <c:pt idx="4">
                  <c:v>0.29181964951066569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4-4631-8093-88D657CA7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220591"/>
        <c:axId val="17105660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Sheet2!$A$1</c15:sqref>
                        </c15:formulaRef>
                      </c:ext>
                    </c:extLst>
                    <c:strCache>
                      <c:ptCount val="1"/>
                      <c:pt idx="0">
                        <c:v>SCD RANGE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Sheet2!$A$2:$A$6</c15:sqref>
                        </c15:formulaRef>
                      </c:ext>
                    </c:extLst>
                    <c:strCache>
                      <c:ptCount val="5"/>
                      <c:pt idx="0">
                        <c:v>0% to 20%</c:v>
                      </c:pt>
                      <c:pt idx="1">
                        <c:v>30% to 40%</c:v>
                      </c:pt>
                      <c:pt idx="2">
                        <c:v>50% to 60%</c:v>
                      </c:pt>
                      <c:pt idx="3">
                        <c:v>70% to 90%</c:v>
                      </c:pt>
                      <c:pt idx="4">
                        <c:v>100%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%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4C4-4631-8093-88D657CA7129}"/>
                  </c:ext>
                </c:extLst>
              </c15:ser>
            </c15:filteredBarSeries>
          </c:ext>
        </c:extLst>
      </c:barChart>
      <c:catAx>
        <c:axId val="208422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SCD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66095"/>
        <c:crosses val="autoZero"/>
        <c:auto val="1"/>
        <c:lblAlgn val="ctr"/>
        <c:lblOffset val="100"/>
        <c:noMultiLvlLbl val="0"/>
      </c:catAx>
      <c:valAx>
        <c:axId val="17105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% of Recipients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2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%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5"/>
                <c:pt idx="0">
                  <c:v>0% to 20%</c:v>
                </c:pt>
                <c:pt idx="1">
                  <c:v>30% to 40%</c:v>
                </c:pt>
                <c:pt idx="2">
                  <c:v>50% to 60%</c:v>
                </c:pt>
                <c:pt idx="3">
                  <c:v>70% to 90%</c:v>
                </c:pt>
                <c:pt idx="4">
                  <c:v>100%</c:v>
                </c:pt>
              </c:strCache>
            </c:strRef>
          </c:cat>
          <c:val>
            <c:numRef>
              <c:f>Sheet2!$C$2:$C$6</c:f>
              <c:numCache>
                <c:formatCode>0%</c:formatCode>
                <c:ptCount val="5"/>
                <c:pt idx="0">
                  <c:v>0.19259238414197652</c:v>
                </c:pt>
                <c:pt idx="1">
                  <c:v>0.10495613824294961</c:v>
                </c:pt>
                <c:pt idx="2">
                  <c:v>0.11523623755163369</c:v>
                </c:pt>
                <c:pt idx="3">
                  <c:v>0.29539559055277448</c:v>
                </c:pt>
                <c:pt idx="4">
                  <c:v>0.29181964951066569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8-4156-8CD6-14A212DF6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220591"/>
        <c:axId val="17105660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Sheet2!$A$1</c15:sqref>
                        </c15:formulaRef>
                      </c:ext>
                    </c:extLst>
                    <c:strCache>
                      <c:ptCount val="1"/>
                      <c:pt idx="0">
                        <c:v>SCD RANGE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Sheet2!$A$2:$A$6</c15:sqref>
                        </c15:formulaRef>
                      </c:ext>
                    </c:extLst>
                    <c:strCache>
                      <c:ptCount val="5"/>
                      <c:pt idx="0">
                        <c:v>0% to 20%</c:v>
                      </c:pt>
                      <c:pt idx="1">
                        <c:v>30% to 40%</c:v>
                      </c:pt>
                      <c:pt idx="2">
                        <c:v>50% to 60%</c:v>
                      </c:pt>
                      <c:pt idx="3">
                        <c:v>70% to 90%</c:v>
                      </c:pt>
                      <c:pt idx="4">
                        <c:v>100%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%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5E8-4156-8CD6-14A212DF6BF6}"/>
                  </c:ext>
                </c:extLst>
              </c15:ser>
            </c15:filteredBarSeries>
          </c:ext>
        </c:extLst>
      </c:barChart>
      <c:catAx>
        <c:axId val="208422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SCD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66095"/>
        <c:crosses val="autoZero"/>
        <c:auto val="1"/>
        <c:lblAlgn val="ctr"/>
        <c:lblOffset val="100"/>
        <c:noMultiLvlLbl val="0"/>
      </c:catAx>
      <c:valAx>
        <c:axId val="17105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% of Recipients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2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A482D-E069-E5C4-6758-1E8E74FB3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</xdr:colOff>
      <xdr:row>21</xdr:row>
      <xdr:rowOff>0</xdr:rowOff>
    </xdr:from>
    <xdr:to>
      <xdr:col>11</xdr:col>
      <xdr:colOff>1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CBF628-DB41-BFAD-66DB-5C7BBCFBC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17318</xdr:rowOff>
    </xdr:from>
    <xdr:to>
      <xdr:col>2</xdr:col>
      <xdr:colOff>1489365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E5908-904A-49CC-9A6D-424F32351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</xdr:colOff>
      <xdr:row>10</xdr:row>
      <xdr:rowOff>0</xdr:rowOff>
    </xdr:from>
    <xdr:to>
      <xdr:col>11</xdr:col>
      <xdr:colOff>1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4F248A-C672-4105-A043-FEAD4AFB8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</xdr:colOff>
      <xdr:row>10</xdr:row>
      <xdr:rowOff>17318</xdr:rowOff>
    </xdr:from>
    <xdr:to>
      <xdr:col>20</xdr:col>
      <xdr:colOff>1</xdr:colOff>
      <xdr:row>29</xdr:row>
      <xdr:rowOff>17318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462F85-03AE-4093-9CF3-3752D5610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606135</xdr:colOff>
      <xdr:row>3</xdr:row>
      <xdr:rowOff>0</xdr:rowOff>
    </xdr:from>
    <xdr:to>
      <xdr:col>20</xdr:col>
      <xdr:colOff>0</xdr:colOff>
      <xdr:row>9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A4A3AE-8F36-8063-5077-2E411B35BDFC}"/>
            </a:ext>
          </a:extLst>
        </xdr:cNvPr>
        <xdr:cNvSpPr txBox="1"/>
      </xdr:nvSpPr>
      <xdr:spPr>
        <a:xfrm>
          <a:off x="5930610" y="571500"/>
          <a:ext cx="9757065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Texas, Florida, and California lead in total recipients — reflects population size and military presence, not necessarily higher disability rates (no population data available to calculate rates)."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59% of recipients hold a 70% or higher disability rating nationally.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13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ounties have suppressed/missing data due to very small population size.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8B916C-F840-1F9F-979D-F4BCF4E3E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lla Zahin Hossain" refreshedDate="46275.880798148151" createdVersion="8" refreshedVersion="8" minRefreshableVersion="3" recordCount="3148" xr:uid="{4B60F5C5-2045-4B33-825C-3829891E8E6D}">
  <cacheSource type="worksheet">
    <worksheetSource name="Table1"/>
  </cacheSource>
  <cacheFields count="16">
    <cacheField name="FIPS code" numFmtId="0">
      <sharedItems containsMixedTypes="1" containsNumber="1" containsInteger="1" minValue="0" maxValue="88888"/>
    </cacheField>
    <cacheField name="State" numFmtId="0">
      <sharedItems count="55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  <s v="Puerto Rico"/>
        <s v="US Territories (excluding Puerto Rico)"/>
        <s v="Other Foreign Countries"/>
        <s v="Unknown"/>
      </sharedItems>
    </cacheField>
    <cacheField name="County Name" numFmtId="0">
      <sharedItems/>
    </cacheField>
    <cacheField name="Total: Disability Compensation Recipients" numFmtId="0">
      <sharedItems containsString="0" containsBlank="1" containsNumber="1" containsInteger="1" minValue="10" maxValue="98159"/>
    </cacheField>
    <cacheField name="SCD rating: 0% to 20%" numFmtId="0">
      <sharedItems containsString="0" containsBlank="1" containsNumber="1" containsInteger="1" minValue="10" maxValue="15874"/>
    </cacheField>
    <cacheField name="SCD rating: 30% to 40%" numFmtId="0">
      <sharedItems containsString="0" containsBlank="1" containsNumber="1" containsInteger="1" minValue="10" maxValue="9364"/>
    </cacheField>
    <cacheField name="SCD rating: 50% to 60%" numFmtId="0">
      <sharedItems containsString="0" containsBlank="1" containsNumber="1" containsInteger="1" minValue="10" maxValue="10303"/>
    </cacheField>
    <cacheField name="SCD rating: 70% to 90%" numFmtId="0">
      <sharedItems containsString="0" containsBlank="1" containsNumber="1" containsInteger="1" minValue="10" maxValue="28075"/>
    </cacheField>
    <cacheField name="SCD rating: 100%" numFmtId="0">
      <sharedItems containsString="0" containsBlank="1" containsNumber="1" containsInteger="1" minValue="10" maxValue="38153"/>
    </cacheField>
    <cacheField name="Age: 17-44" numFmtId="0">
      <sharedItems containsString="0" containsBlank="1" containsNumber="1" containsInteger="1" minValue="10" maxValue="37669"/>
    </cacheField>
    <cacheField name="Age: 45-64" numFmtId="0">
      <sharedItems containsString="0" containsBlank="1" containsNumber="1" containsInteger="1" minValue="10" maxValue="37519"/>
    </cacheField>
    <cacheField name="Age: 65 or older" numFmtId="0">
      <sharedItems containsString="0" containsBlank="1" containsNumber="1" containsInteger="1" minValue="10" maxValue="27556"/>
    </cacheField>
    <cacheField name="Male" numFmtId="0">
      <sharedItems containsString="0" containsBlank="1" containsNumber="1" containsInteger="1" minValue="48" maxValue="84275"/>
    </cacheField>
    <cacheField name="Female" numFmtId="0">
      <sharedItems containsString="0" containsBlank="1" containsNumber="1" containsInteger="1" minValue="10" maxValue="18341"/>
    </cacheField>
    <cacheField name="State,County" numFmtId="0">
      <sharedItems count="3148">
        <s v="Autauga, Alabama"/>
        <s v="Baldwin, Alabama"/>
        <s v="Barbour, Alabama"/>
        <s v="Bibb, Alabama"/>
        <s v="Blount, Alabama"/>
        <s v="Bullock, Alabama"/>
        <s v="Butler, Alabama"/>
        <s v="Calhoun, Alabama"/>
        <s v="Chambers, Alabama"/>
        <s v="Cherokee, Alabama"/>
        <s v="Chilton, Alabama"/>
        <s v="Choctaw, Alabama"/>
        <s v="Clarke, Alabama"/>
        <s v="Clay, Alabama"/>
        <s v="Cleburne, Alabama"/>
        <s v="Coffee, Alabama"/>
        <s v="Colbert, Alabama"/>
        <s v="Conecuh, Alabama"/>
        <s v="Coosa, Alabama"/>
        <s v="Covington, Alabama"/>
        <s v="Crenshaw, Alabama"/>
        <s v="Cullman, Alabama"/>
        <s v="Dale, Alabama"/>
        <s v="Dallas, Alabama"/>
        <s v="DeKalb, Alabama"/>
        <s v="Elmore, Alabama"/>
        <s v="Escambia, Alabama"/>
        <s v="Etowah, Alabama"/>
        <s v="Fayette, Alabama"/>
        <s v="Franklin, Alabama"/>
        <s v="Geneva, Alabama"/>
        <s v="Greene, Alabama"/>
        <s v="Hale, Alabama"/>
        <s v="Henry, Alabama"/>
        <s v="Houston, Alabama"/>
        <s v="Jackson, Alabama"/>
        <s v="Jefferson, Alabama"/>
        <s v="Lamar, Alabama"/>
        <s v="Lauderdale, Alabama"/>
        <s v="Lawrence, Alabama"/>
        <s v="Lee, Alabama"/>
        <s v="Limestone, Alabama"/>
        <s v="Lowndes, Alabama"/>
        <s v="Macon, Alabama"/>
        <s v="Madison, Alabama"/>
        <s v="Marengo, Alabama"/>
        <s v="Marion, Alabama"/>
        <s v="Marshall, Alabama"/>
        <s v="Mobile, Alabama"/>
        <s v="Monroe, Alabama"/>
        <s v="Montgomery, Alabama"/>
        <s v="Morgan, Alabama"/>
        <s v="Perry, Alabama"/>
        <s v="Pickens, Alabama"/>
        <s v="Pike, Alabama"/>
        <s v="Randolph, Alabama"/>
        <s v="Russell, Alabama"/>
        <s v="St. Clair, Alabama"/>
        <s v="Shelby, Alabama"/>
        <s v="Sumter, Alabama"/>
        <s v="Talladega, Alabama"/>
        <s v="Tallapoosa, Alabama"/>
        <s v="Tuscaloosa, Alabama"/>
        <s v="Walker, Alabama"/>
        <s v="Washington, Alabama"/>
        <s v="Wilcox, Alabama"/>
        <s v="Winston, Alabama"/>
        <s v="Aleutians East, Alaska"/>
        <s v="Aleutians West, Alaska"/>
        <s v="Anchorage, Alaska"/>
        <s v="Bethel, Alaska"/>
        <s v="Bristol Bay, Alaska"/>
        <s v="Chugach, Alaska"/>
        <s v="Copper River, Alaska"/>
        <s v="Denali, Alaska"/>
        <s v="Dillingham, Alaska"/>
        <s v="Fairbanks North Star, Alaska"/>
        <s v="Haines, Alaska"/>
        <s v="Hoonah-Angoon, Alaska"/>
        <s v="Juneau, Alaska"/>
        <s v="Kenai Peninsula, Alaska"/>
        <s v="Ketchikan Gateway, Alaska"/>
        <s v="Kodiak Island, Alaska"/>
        <s v="Kusilvak, Alaska"/>
        <s v="Lake and Peninsula, Alaska"/>
        <s v="Matanuska-Susitna, Alaska"/>
        <s v="Nome, Alaska"/>
        <s v="North Slope, Alaska"/>
        <s v="Northwest Arctic, Alaska"/>
        <s v="Petersburg, Alaska"/>
        <s v="Prince of Wales-Hyder, Alaska"/>
        <s v="Sitka, Alaska"/>
        <s v="Skagway, Alaska"/>
        <s v="Southeast Fairbanks, Alaska"/>
        <s v="Wrangell, Alaska"/>
        <s v="Yakutat, Alaska"/>
        <s v="Yukon-Koyukuk, Alaska"/>
        <s v="Apache, Arizona"/>
        <s v="Cochise, Arizona"/>
        <s v="Coconino, Arizona"/>
        <s v="Gila, Arizona"/>
        <s v="Graham, Arizona"/>
        <s v="Greenlee, Arizona"/>
        <s v="La Paz, Arizona"/>
        <s v="Maricopa, Arizona"/>
        <s v="Mohave, Arizona"/>
        <s v="Navajo, Arizona"/>
        <s v="Pima, Arizona"/>
        <s v="Pinal, Arizona"/>
        <s v="Santa Cruz, Arizona"/>
        <s v="Yavapai, Arizona"/>
        <s v="Yuma, Arizona"/>
        <s v="Arkansas, Arkansas"/>
        <s v="Ashley, Arkansas"/>
        <s v="Baxter, Arkansas"/>
        <s v="Benton, Arkansas"/>
        <s v="Boone, Arkansas"/>
        <s v="Bradley, Arkansas"/>
        <s v="Calhoun, Arkansas"/>
        <s v="Carroll, Arkansas"/>
        <s v="Chicot, Arkansas"/>
        <s v="Clark, Arkansas"/>
        <s v="Clay, Arkansas"/>
        <s v="Cleburne, Arkansas"/>
        <s v="Cleveland, Arkansas"/>
        <s v="Columbia, Arkansas"/>
        <s v="Conway, Arkansas"/>
        <s v="Craighead, Arkansas"/>
        <s v="Crawford, Arkansas"/>
        <s v="Crittenden, Arkansas"/>
        <s v="Cross, Arkansas"/>
        <s v="Dallas, Arkansas"/>
        <s v="Desha, Arkansas"/>
        <s v="Drew, Arkansas"/>
        <s v="Faulkner, Arkansas"/>
        <s v="Franklin, Arkansas"/>
        <s v="Fulton, Arkansas"/>
        <s v="Garland, Arkansas"/>
        <s v="Grant, Arkansas"/>
        <s v="Greene, Arkansas"/>
        <s v="Hempstead, Arkansas"/>
        <s v="Hot Spring, Arkansas"/>
        <s v="Howard, Arkansas"/>
        <s v="Independence, Arkansas"/>
        <s v="Izard, Arkansas"/>
        <s v="Jackson, Arkansas"/>
        <s v="Jefferson, Arkansas"/>
        <s v="Johnson, Arkansas"/>
        <s v="Lafayette, Arkansas"/>
        <s v="Lawrence, Arkansas"/>
        <s v="Lee, Arkansas"/>
        <s v="Lincoln, Arkansas"/>
        <s v="Little River, Arkansas"/>
        <s v="Logan, Arkansas"/>
        <s v="Lonoke, Arkansas"/>
        <s v="Madison, Arkansas"/>
        <s v="Marion, Arkansas"/>
        <s v="Miller, Arkansas"/>
        <s v="Mississippi, Arkansas"/>
        <s v="Monroe, Arkansas"/>
        <s v="Montgomery, Arkansas"/>
        <s v="Nevada, Arkansas"/>
        <s v="Newton, Arkansas"/>
        <s v="Ouachita, Arkansas"/>
        <s v="Perry, Arkansas"/>
        <s v="Phillips, Arkansas"/>
        <s v="Pike, Arkansas"/>
        <s v="Poinsett, Arkansas"/>
        <s v="Polk, Arkansas"/>
        <s v="Pope, Arkansas"/>
        <s v="Prairie, Arkansas"/>
        <s v="Pulaski, Arkansas"/>
        <s v="Randolph, Arkansas"/>
        <s v="St. Francis, Arkansas"/>
        <s v="Saline, Arkansas"/>
        <s v="Scott, Arkansas"/>
        <s v="Searcy, Arkansas"/>
        <s v="Sebastian, Arkansas"/>
        <s v="Sevier, Arkansas"/>
        <s v="Sharp, Arkansas"/>
        <s v="Stone, Arkansas"/>
        <s v="Union, Arkansas"/>
        <s v="Van Buren, Arkansas"/>
        <s v="Washington, Arkansas"/>
        <s v="White, Arkansas"/>
        <s v="Woodruff, Arkansas"/>
        <s v="Yell, Arkansas"/>
        <s v="Alameda, California"/>
        <s v="Alpine, California"/>
        <s v="Amador, California"/>
        <s v="Butte, California"/>
        <s v="Calaveras, California"/>
        <s v="Colusa, California"/>
        <s v="Contra Costa, California"/>
        <s v="Del Norte, California"/>
        <s v="El Dorado, California"/>
        <s v="Fresno, California"/>
        <s v="Glenn, California"/>
        <s v="Humboldt, California"/>
        <s v="Imperial, California"/>
        <s v="Inyo, California"/>
        <s v="Kern, California"/>
        <s v="Kings, California"/>
        <s v="Lake, California"/>
        <s v="Lassen, California"/>
        <s v="Los Angeles, California"/>
        <s v="Madera, California"/>
        <s v="Marin, California"/>
        <s v="Mariposa, California"/>
        <s v="Mendocino, California"/>
        <s v="Merced, California"/>
        <s v="Modoc, California"/>
        <s v="Mono, California"/>
        <s v="Monterey, California"/>
        <s v="Napa, California"/>
        <s v="Nevada, California"/>
        <s v="Orange, California"/>
        <s v="Placer, California"/>
        <s v="Plumas, California"/>
        <s v="Riverside, California"/>
        <s v="Sacramento, California"/>
        <s v="San Benito, California"/>
        <s v="San Bernardino, California"/>
        <s v="San Diego, California"/>
        <s v="San Francisco, California"/>
        <s v="San Joaquin, California"/>
        <s v="San Luis Obispo, California"/>
        <s v="San Mateo, California"/>
        <s v="Santa Barbara, California"/>
        <s v="Santa Clara, California"/>
        <s v="Santa Cruz, California"/>
        <s v="Shasta, California"/>
        <s v="Sierra, California"/>
        <s v="Siskiyou, California"/>
        <s v="Solano, California"/>
        <s v="Sonoma, California"/>
        <s v="Stanislaus, California"/>
        <s v="Sutter, California"/>
        <s v="Tehama, California"/>
        <s v="Trinity, California"/>
        <s v="Tulare, California"/>
        <s v="Tuolumne, California"/>
        <s v="Ventura, California"/>
        <s v="Yolo, California"/>
        <s v="Yuba, California"/>
        <s v="Adams, Colorado"/>
        <s v="Alamosa, Colorado"/>
        <s v="Arapahoe, Colorado"/>
        <s v="Archuleta, Colorado"/>
        <s v="Baca, Colorado"/>
        <s v="Bent, Colorado"/>
        <s v="Boulder, Colorado"/>
        <s v="Broomfield, Colorado"/>
        <s v="Chaffee, Colorado"/>
        <s v="Cheyenne, Colorado"/>
        <s v="Clear Creek, Colorado"/>
        <s v="Conejos, Colorado"/>
        <s v="Costilla, Colorado"/>
        <s v="Crowley, Colorado"/>
        <s v="Custer, Colorado"/>
        <s v="Delta, Colorado"/>
        <s v="Denver, Colorado"/>
        <s v="Dolores, Colorado"/>
        <s v="Douglas, Colorado"/>
        <s v="Eagle, Colorado"/>
        <s v="Elbert, Colorado"/>
        <s v="El Paso, Colorado"/>
        <s v="Fremont, Colorado"/>
        <s v="Garfield, Colorado"/>
        <s v="Gilpin, Colorado"/>
        <s v="Grand, Colorado"/>
        <s v="Gunnison, Colorado"/>
        <s v="Hinsdale, Colorado"/>
        <s v="Huerfano, Colorado"/>
        <s v="Jackson, Colorado"/>
        <s v="Jefferson, Colorado"/>
        <s v="Kiowa, Colorado"/>
        <s v="Kit Carson, Colorado"/>
        <s v="Lake, Colorado"/>
        <s v="La Plata, Colorado"/>
        <s v="Larimer, Colorado"/>
        <s v="Las Animas, Colorado"/>
        <s v="Lincoln, Colorado"/>
        <s v="Logan, Colorado"/>
        <s v="Mesa, Colorado"/>
        <s v="Mineral, Colorado"/>
        <s v="Moffat, Colorado"/>
        <s v="Montezuma, Colorado"/>
        <s v="Montrose, Colorado"/>
        <s v="Morgan, Colorado"/>
        <s v="Otero, Colorado"/>
        <s v="Ouray, Colorado"/>
        <s v="Park, Colorado"/>
        <s v="Phillips, Colorado"/>
        <s v="Pitkin, Colorado"/>
        <s v="Prowers, Colorado"/>
        <s v="Pueblo, Colorado"/>
        <s v="Rio Blanco, Colorado"/>
        <s v="Rio Grande, Colorado"/>
        <s v="Routt, Colorado"/>
        <s v="Saguache, Colorado"/>
        <s v="San Juan, Colorado"/>
        <s v="San Miguel, Colorado"/>
        <s v="Sedgwick, Colorado"/>
        <s v="Summit, Colorado"/>
        <s v="Teller, Colorado"/>
        <s v="Washington, Colorado"/>
        <s v="Weld, Colorado"/>
        <s v="Yuma, Colorado"/>
        <s v="Capitol, Connecticut"/>
        <s v="Greater Bridgeport, Connecticut"/>
        <s v="Lower Connecticut River Valley, Connecticut"/>
        <s v="Naugatuck Valley, Connecticut"/>
        <s v="Northeastern Connecticut, Connecticut"/>
        <s v="Northwest Hills, Connecticut"/>
        <s v="South Central Connecticut, Connecticut"/>
        <s v="Southeastern Connecticut, Connecticut"/>
        <s v="Western Connecticut, Connecticut"/>
        <s v="Kent, Delaware"/>
        <s v="New Castle, Delaware"/>
        <s v="Sussex, Delaware"/>
        <s v="District Of Columbia, District Of Columbia"/>
        <s v="Alachua, Florida"/>
        <s v="Baker, Florida"/>
        <s v="Bay, Florida"/>
        <s v="Bradford, Florida"/>
        <s v="Brevard, Florida"/>
        <s v="Broward, Florida"/>
        <s v="Calhoun, Florida"/>
        <s v="Charlotte, Florida"/>
        <s v="Citrus, Florida"/>
        <s v="Clay, Florida"/>
        <s v="Collier, Florida"/>
        <s v="Columbia, Florida"/>
        <s v="DeSoto, Florida"/>
        <s v="Dixie, Florida"/>
        <s v="Duval, Florida"/>
        <s v="Escambia, Florida"/>
        <s v="Flagler, Florida"/>
        <s v="Franklin, Florida"/>
        <s v="Gadsden, Florida"/>
        <s v="Gilchrist, Florida"/>
        <s v="Glades, Florida"/>
        <s v="Gulf, Florida"/>
        <s v="Hamilton, Florida"/>
        <s v="Hardee, Florida"/>
        <s v="Hendry, Florida"/>
        <s v="Hernando, Florida"/>
        <s v="Highlands, Florida"/>
        <s v="Hillsborough, Florida"/>
        <s v="Holmes, Florida"/>
        <s v="Indian River, Florida"/>
        <s v="Jackson, Florida"/>
        <s v="Jefferson, Florida"/>
        <s v="Lafayette, Florida"/>
        <s v="Lake, Florida"/>
        <s v="Lee, Florida"/>
        <s v="Leon, Florida"/>
        <s v="Levy, Florida"/>
        <s v="Liberty, Florida"/>
        <s v="Madison, Florida"/>
        <s v="Manatee, Florida"/>
        <s v="Marion, Florida"/>
        <s v="Martin, Florida"/>
        <s v="Miami-Dade, Florida"/>
        <s v="Monroe, Florida"/>
        <s v="Nassau, Florida"/>
        <s v="Okaloosa, Florida"/>
        <s v="Okeechobee, Florida"/>
        <s v="Orange, Florida"/>
        <s v="Osceola, Florida"/>
        <s v="Palm Beach, Florida"/>
        <s v="Pasco, Florida"/>
        <s v="Pinellas, Florida"/>
        <s v="Polk, Florida"/>
        <s v="Putnam, Florida"/>
        <s v="St. Johns, Florida"/>
        <s v="St. Lucie, Florida"/>
        <s v="Santa Rosa, Florida"/>
        <s v="Sarasota, Florida"/>
        <s v="Seminole, Florida"/>
        <s v="Sumter, Florida"/>
        <s v="Suwannee, Florida"/>
        <s v="Taylor, Florida"/>
        <s v="Union, Florida"/>
        <s v="Volusia, Florida"/>
        <s v="Wakulla, Florida"/>
        <s v="Walton, Florida"/>
        <s v="Washington, Florida"/>
        <s v="Appling, Georgia"/>
        <s v="Atkinson, Georgia"/>
        <s v="Bacon, Georgia"/>
        <s v="Baker, Georgia"/>
        <s v="Baldwin, Georgia"/>
        <s v="Banks, Georgia"/>
        <s v="Barrow, Georgia"/>
        <s v="Bartow, Georgia"/>
        <s v="Ben Hill, Georgia"/>
        <s v="Berrien, Georgia"/>
        <s v="Bibb, Georgia"/>
        <s v="Bleckley, Georgia"/>
        <s v="Brantley, Georgia"/>
        <s v="Brooks, Georgia"/>
        <s v="Bryan, Georgia"/>
        <s v="Bulloch, Georgia"/>
        <s v="Burke, Georgia"/>
        <s v="Butts, Georgia"/>
        <s v="Calhoun, Georgia"/>
        <s v="Camden, Georgia"/>
        <s v="Candler, Georgia"/>
        <s v="Carroll, Georgia"/>
        <s v="Catoosa, Georgia"/>
        <s v="Charlton, Georgia"/>
        <s v="Chatham, Georgia"/>
        <s v="Chattahoochee, Georgia"/>
        <s v="Chattooga, Georgia"/>
        <s v="Cherokee, Georgia"/>
        <s v="Clarke, Georgia"/>
        <s v="Clay, Georgia"/>
        <s v="Clayton, Georgia"/>
        <s v="Clinch, Georgia"/>
        <s v="Cobb, Georgia"/>
        <s v="Coffee, Georgia"/>
        <s v="Colquitt, Georgia"/>
        <s v="Columbia, Georgia"/>
        <s v="Cook, Georgia"/>
        <s v="Coweta, Georgia"/>
        <s v="Crawford, Georgia"/>
        <s v="Crisp, Georgia"/>
        <s v="Dade, Georgia"/>
        <s v="Dawson, Georgia"/>
        <s v="Decatur, Georgia"/>
        <s v="DeKalb, Georgia"/>
        <s v="Dodge, Georgia"/>
        <s v="Dooly, Georgia"/>
        <s v="Dougherty, Georgia"/>
        <s v="Douglas, Georgia"/>
        <s v="Early, Georgia"/>
        <s v="Echols, Georgia"/>
        <s v="Effingham, Georgia"/>
        <s v="Elbert, Georgia"/>
        <s v="Emanuel, Georgia"/>
        <s v="Evans, Georgia"/>
        <s v="Fannin, Georgia"/>
        <s v="Fayette, Georgia"/>
        <s v="Floyd, Georgia"/>
        <s v="Forsyth, Georgia"/>
        <s v="Franklin, Georgia"/>
        <s v="Fulton, Georgia"/>
        <s v="Gilmer, Georgia"/>
        <s v="Glascock, Georgia"/>
        <s v="Glynn, Georgia"/>
        <s v="Gordon, Georgia"/>
        <s v="Grady, Georgia"/>
        <s v="Greene, Georgia"/>
        <s v="Gwinnett, Georgia"/>
        <s v="Habersham, Georgia"/>
        <s v="Hall, Georgia"/>
        <s v="Hancock, Georgia"/>
        <s v="Haralson, Georgia"/>
        <s v="Harris, Georgia"/>
        <s v="Hart, Georgia"/>
        <s v="Heard, Georgia"/>
        <s v="Henry, Georgia"/>
        <s v="Houston, Georgia"/>
        <s v="Irwin, Georgia"/>
        <s v="Jackson, Georgia"/>
        <s v="Jasper, Georgia"/>
        <s v="Jeff Davis, Georgia"/>
        <s v="Jefferson, Georgia"/>
        <s v="Jenkins, Georgia"/>
        <s v="Johnson, Georgia"/>
        <s v="Jones, Georgia"/>
        <s v="Lamar, Georgia"/>
        <s v="Lanier, Georgia"/>
        <s v="Laurens, Georgia"/>
        <s v="Lee, Georgia"/>
        <s v="Liberty, Georgia"/>
        <s v="Lincoln, Georgia"/>
        <s v="Long, Georgia"/>
        <s v="Lowndes, Georgia"/>
        <s v="Lumpkin, Georgia"/>
        <s v="McDuffie, Georgia"/>
        <s v="McIntosh, Georgia"/>
        <s v="Macon, Georgia"/>
        <s v="Madison, Georgia"/>
        <s v="Marion, Georgia"/>
        <s v="Meriwether, Georgia"/>
        <s v="Miller, Georgia"/>
        <s v="Mitchell, Georgia"/>
        <s v="Monroe, Georgia"/>
        <s v="Montgomery, Georgia"/>
        <s v="Morgan, Georgia"/>
        <s v="Murray, Georgia"/>
        <s v="Muscogee, Georgia"/>
        <s v="Newton, Georgia"/>
        <s v="Oconee, Georgia"/>
        <s v="Oglethorpe, Georgia"/>
        <s v="Paulding, Georgia"/>
        <s v="Peach, Georgia"/>
        <s v="Pickens, Georgia"/>
        <s v="Pierce, Georgia"/>
        <s v="Pike, Georgia"/>
        <s v="Polk, Georgia"/>
        <s v="Pulaski, Georgia"/>
        <s v="Putnam, Georgia"/>
        <s v="Quitman, Georgia"/>
        <s v="Rabun, Georgia"/>
        <s v="Randolph, Georgia"/>
        <s v="Richmond, Georgia"/>
        <s v="Rockdale, Georgia"/>
        <s v="Schley, Georgia"/>
        <s v="Screven, Georgia"/>
        <s v="Seminole, Georgia"/>
        <s v="Spalding, Georgia"/>
        <s v="Stephens, Georgia"/>
        <s v="Stewart, Georgia"/>
        <s v="Sumter, Georgia"/>
        <s v="Talbot, Georgia"/>
        <s v="Taliaferro, Georgia"/>
        <s v="Tattnall, Georgia"/>
        <s v="Taylor, Georgia"/>
        <s v="Telfair, Georgia"/>
        <s v="Terrell, Georgia"/>
        <s v="Thomas, Georgia"/>
        <s v="Tift, Georgia"/>
        <s v="Toombs, Georgia"/>
        <s v="Towns, Georgia"/>
        <s v="Treutlen, Georgia"/>
        <s v="Troup, Georgia"/>
        <s v="Turner, Georgia"/>
        <s v="Twiggs, Georgia"/>
        <s v="Union, Georgia"/>
        <s v="Upson, Georgia"/>
        <s v="Walker, Georgia"/>
        <s v="Walton, Georgia"/>
        <s v="Ware, Georgia"/>
        <s v="Warren, Georgia"/>
        <s v="Washington, Georgia"/>
        <s v="Wayne, Georgia"/>
        <s v="Webster, Georgia"/>
        <s v="Wheeler, Georgia"/>
        <s v="White, Georgia"/>
        <s v="Whitfield, Georgia"/>
        <s v="Wilcox, Georgia"/>
        <s v="Wilkes, Georgia"/>
        <s v="Wilkinson, Georgia"/>
        <s v="Worth, Georgia"/>
        <s v="Hawaii, Hawaii"/>
        <s v="Honolulu, Hawaii"/>
        <s v="Kalawao, Hawaii"/>
        <s v="Kauai, Hawaii"/>
        <s v="Maui, Hawaii"/>
        <s v="Ada, Idaho"/>
        <s v="Adams, Idaho"/>
        <s v="Bannock, Idaho"/>
        <s v="Bear Lake, Idaho"/>
        <s v="Benewah, Idaho"/>
        <s v="Bingham, Idaho"/>
        <s v="Blaine, Idaho"/>
        <s v="Boise, Idaho"/>
        <s v="Bonner, Idaho"/>
        <s v="Bonneville, Idaho"/>
        <s v="Boundary, Idaho"/>
        <s v="Butte, Idaho"/>
        <s v="Camas, Idaho"/>
        <s v="Canyon, Idaho"/>
        <s v="Caribou, Idaho"/>
        <s v="Cassia, Idaho"/>
        <s v="Clark, Idaho"/>
        <s v="Clearwater, Idaho"/>
        <s v="Custer, Idaho"/>
        <s v="Elmore, Idaho"/>
        <s v="Franklin, Idaho"/>
        <s v="Fremont, Idaho"/>
        <s v="Gem, Idaho"/>
        <s v="Gooding, Idaho"/>
        <s v="Idaho, Idaho"/>
        <s v="Jefferson, Idaho"/>
        <s v="Jerome, Idaho"/>
        <s v="Kootenai, Idaho"/>
        <s v="Latah, Idaho"/>
        <s v="Lemhi, Idaho"/>
        <s v="Lewis, Idaho"/>
        <s v="Lincoln, Idaho"/>
        <s v="Madison, Idaho"/>
        <s v="Minidoka, Idaho"/>
        <s v="Nez Perce, Idaho"/>
        <s v="Oneida, Idaho"/>
        <s v="Owyhee, Idaho"/>
        <s v="Payette, Idaho"/>
        <s v="Power, Idaho"/>
        <s v="Shoshone, Idaho"/>
        <s v="Teton, Idaho"/>
        <s v="Twin Falls, Idaho"/>
        <s v="Valley, Idaho"/>
        <s v="Washington, Idaho"/>
        <s v="Adams, Illinois"/>
        <s v="Alexander, Illinois"/>
        <s v="Bond, Illinois"/>
        <s v="Boone, Illinois"/>
        <s v="Brown, Illinois"/>
        <s v="Bureau, Illinois"/>
        <s v="Calhoun, Illinois"/>
        <s v="Carroll, Illinois"/>
        <s v="Cass, Illinois"/>
        <s v="Champaign, Illinois"/>
        <s v="Christian, Illinois"/>
        <s v="Clark, Illinois"/>
        <s v="Clay, Illinois"/>
        <s v="Clinton, Illinois"/>
        <s v="Coles, Illinois"/>
        <s v="Cook, Illinois"/>
        <s v="Crawford, Illinois"/>
        <s v="Cumberland, Illinois"/>
        <s v="DeKalb, Illinois"/>
        <s v="De Witt, Illinois"/>
        <s v="Douglas, Illinois"/>
        <s v="DuPage, Illinois"/>
        <s v="Edgar, Illinois"/>
        <s v="Edwards, Illinois"/>
        <s v="Effingham, Illinois"/>
        <s v="Fayette, Illinois"/>
        <s v="Ford, Illinois"/>
        <s v="Franklin, Illinois"/>
        <s v="Fulton, Illinois"/>
        <s v="Gallatin, Illinois"/>
        <s v="Greene, Illinois"/>
        <s v="Grundy, Illinois"/>
        <s v="Hamilton, Illinois"/>
        <s v="Hancock, Illinois"/>
        <s v="Hardin, Illinois"/>
        <s v="Henderson, Illinois"/>
        <s v="Henry, Illinois"/>
        <s v="Iroquois, Illinois"/>
        <s v="Jackson, Illinois"/>
        <s v="Jasper, Illinois"/>
        <s v="Jefferson, Illinois"/>
        <s v="Jersey, Illinois"/>
        <s v="Jo Daviess, Illinois"/>
        <s v="Johnson, Illinois"/>
        <s v="Kane, Illinois"/>
        <s v="Kankakee, Illinois"/>
        <s v="Kendall, Illinois"/>
        <s v="Knox, Illinois"/>
        <s v="Lake, Illinois"/>
        <s v="LaSalle, Illinois"/>
        <s v="Lawrence, Illinois"/>
        <s v="Lee, Illinois"/>
        <s v="Livingston, Illinois"/>
        <s v="Logan, Illinois"/>
        <s v="McDonough, Illinois"/>
        <s v="McHenry, Illinois"/>
        <s v="McLean, Illinois"/>
        <s v="Macon, Illinois"/>
        <s v="Macoupin, Illinois"/>
        <s v="Madison, Illinois"/>
        <s v="Marion, Illinois"/>
        <s v="Marshall, Illinois"/>
        <s v="Mason, Illinois"/>
        <s v="Massac, Illinois"/>
        <s v="Menard, Illinois"/>
        <s v="Mercer, Illinois"/>
        <s v="Monroe, Illinois"/>
        <s v="Montgomery, Illinois"/>
        <s v="Morgan, Illinois"/>
        <s v="Moultrie, Illinois"/>
        <s v="Ogle, Illinois"/>
        <s v="Peoria, Illinois"/>
        <s v="Perry, Illinois"/>
        <s v="Piatt, Illinois"/>
        <s v="Pike, Illinois"/>
        <s v="Pope, Illinois"/>
        <s v="Pulaski, Illinois"/>
        <s v="Putnam, Illinois"/>
        <s v="Randolph, Illinois"/>
        <s v="Richland, Illinois"/>
        <s v="Rock Island, Illinois"/>
        <s v="St. Clair, Illinois"/>
        <s v="Saline, Illinois"/>
        <s v="Sangamon, Illinois"/>
        <s v="Schuyler, Illinois"/>
        <s v="Scott, Illinois"/>
        <s v="Shelby, Illinois"/>
        <s v="Stark, Illinois"/>
        <s v="Stephenson, Illinois"/>
        <s v="Tazewell, Illinois"/>
        <s v="Union, Illinois"/>
        <s v="Vermilion, Illinois"/>
        <s v="Wabash, Illinois"/>
        <s v="Warren, Illinois"/>
        <s v="Washington, Illinois"/>
        <s v="Wayne, Illinois"/>
        <s v="White, Illinois"/>
        <s v="Whiteside, Illinois"/>
        <s v="Will, Illinois"/>
        <s v="Williamson, Illinois"/>
        <s v="Winnebago, Illinois"/>
        <s v="Woodford, Illinois"/>
        <s v="Adams, Indiana"/>
        <s v="Allen, Indiana"/>
        <s v="Bartholomew, Indiana"/>
        <s v="Benton, Indiana"/>
        <s v="Blackford, Indiana"/>
        <s v="Boone, Indiana"/>
        <s v="Brown, Indiana"/>
        <s v="Carroll, Indiana"/>
        <s v="Cass, Indiana"/>
        <s v="Clark, Indiana"/>
        <s v="Clay, Indiana"/>
        <s v="Clinton, Indiana"/>
        <s v="Crawford, Indiana"/>
        <s v="Daviess, Indiana"/>
        <s v="Dearborn, Indiana"/>
        <s v="Decatur, Indiana"/>
        <s v="DeKalb, Indiana"/>
        <s v="Delaware, Indiana"/>
        <s v="Dubois, Indiana"/>
        <s v="Elkhart, Indiana"/>
        <s v="Fayette, Indiana"/>
        <s v="Floyd, Indiana"/>
        <s v="Fountain, Indiana"/>
        <s v="Franklin, Indiana"/>
        <s v="Fulton, Indiana"/>
        <s v="Gibson, Indiana"/>
        <s v="Grant, Indiana"/>
        <s v="Greene, Indiana"/>
        <s v="Hamilton, Indiana"/>
        <s v="Hancock, Indiana"/>
        <s v="Harrison, Indiana"/>
        <s v="Hendricks, Indiana"/>
        <s v="Henry, Indiana"/>
        <s v="Howard, Indiana"/>
        <s v="Huntington, Indiana"/>
        <s v="Jackson, Indiana"/>
        <s v="Jasper, Indiana"/>
        <s v="Jay, Indiana"/>
        <s v="Jefferson, Indiana"/>
        <s v="Jennings, Indiana"/>
        <s v="Johnson, Indiana"/>
        <s v="Knox, Indiana"/>
        <s v="Kosciusko, Indiana"/>
        <s v="Lagrange, Indiana"/>
        <s v="Lake, Indiana"/>
        <s v="LaPorte, Indiana"/>
        <s v="Lawrence, Indiana"/>
        <s v="Madison, Indiana"/>
        <s v="Marion, Indiana"/>
        <s v="Marshall, Indiana"/>
        <s v="Martin, Indiana"/>
        <s v="Miami, Indiana"/>
        <s v="Monroe, Indiana"/>
        <s v="Montgomery, Indiana"/>
        <s v="Morgan, Indiana"/>
        <s v="Newton, Indiana"/>
        <s v="Noble, Indiana"/>
        <s v="Ohio, Indiana"/>
        <s v="Orange, Indiana"/>
        <s v="Owen, Indiana"/>
        <s v="Parke, Indiana"/>
        <s v="Perry, Indiana"/>
        <s v="Pike, Indiana"/>
        <s v="Porter, Indiana"/>
        <s v="Posey, Indiana"/>
        <s v="Pulaski, Indiana"/>
        <s v="Putnam, Indiana"/>
        <s v="Randolph, Indiana"/>
        <s v="Ripley, Indiana"/>
        <s v="Rush, Indiana"/>
        <s v="St. Joseph, Indiana"/>
        <s v="Scott, Indiana"/>
        <s v="Shelby, Indiana"/>
        <s v="Spencer, Indiana"/>
        <s v="Starke, Indiana"/>
        <s v="Steuben, Indiana"/>
        <s v="Sullivan, Indiana"/>
        <s v="Switzerland, Indiana"/>
        <s v="Tippecanoe, Indiana"/>
        <s v="Tipton, Indiana"/>
        <s v="Union, Indiana"/>
        <s v="Vanderburgh, Indiana"/>
        <s v="Vermillion, Indiana"/>
        <s v="Vigo, Indiana"/>
        <s v="Wabash, Indiana"/>
        <s v="Warren, Indiana"/>
        <s v="Warrick, Indiana"/>
        <s v="Washington, Indiana"/>
        <s v="Wayne, Indiana"/>
        <s v="Wells, Indiana"/>
        <s v="White, Indiana"/>
        <s v="Whitley, Indiana"/>
        <s v="Adair, Iowa"/>
        <s v="Adams, Iowa"/>
        <s v="Allamakee, Iowa"/>
        <s v="Appanoose, Iowa"/>
        <s v="Audubon, Iowa"/>
        <s v="Benton, Iowa"/>
        <s v="Black Hawk, Iowa"/>
        <s v="Boone, Iowa"/>
        <s v="Bremer, Iowa"/>
        <s v="Buchanan, Iowa"/>
        <s v="Buena Vista, Iowa"/>
        <s v="Butler, Iowa"/>
        <s v="Calhoun, Iowa"/>
        <s v="Carroll, Iowa"/>
        <s v="Cass, Iowa"/>
        <s v="Cedar, Iowa"/>
        <s v="Cerro Gordo, Iowa"/>
        <s v="Cherokee, Iowa"/>
        <s v="Chickasaw, Iowa"/>
        <s v="Clarke, Iowa"/>
        <s v="Clay, Iowa"/>
        <s v="Clayton, Iowa"/>
        <s v="Clinton, Iowa"/>
        <s v="Crawford, Iowa"/>
        <s v="Dallas, Iowa"/>
        <s v="Davis, Iowa"/>
        <s v="Decatur, Iowa"/>
        <s v="Delaware, Iowa"/>
        <s v="Des Moines, Iowa"/>
        <s v="Dickinson, Iowa"/>
        <s v="Dubuque, Iowa"/>
        <s v="Emmet, Iowa"/>
        <s v="Fayette, Iowa"/>
        <s v="Floyd, Iowa"/>
        <s v="Franklin, Iowa"/>
        <s v="Fremont, Iowa"/>
        <s v="Greene, Iowa"/>
        <s v="Grundy, Iowa"/>
        <s v="Guthrie, Iowa"/>
        <s v="Hamilton, Iowa"/>
        <s v="Hancock, Iowa"/>
        <s v="Hardin, Iowa"/>
        <s v="Harrison, Iowa"/>
        <s v="Henry, Iowa"/>
        <s v="Howard, Iowa"/>
        <s v="Humboldt, Iowa"/>
        <s v="Ida, Iowa"/>
        <s v="Iowa, Iowa"/>
        <s v="Jackson, Iowa"/>
        <s v="Jasper, Iowa"/>
        <s v="Jefferson, Iowa"/>
        <s v="Johnson, Iowa"/>
        <s v="Jones, Iowa"/>
        <s v="Keokuk, Iowa"/>
        <s v="Kossuth, Iowa"/>
        <s v="Lee, Iowa"/>
        <s v="Linn, Iowa"/>
        <s v="Louisa, Iowa"/>
        <s v="Lucas, Iowa"/>
        <s v="Lyon, Iowa"/>
        <s v="Madison, Iowa"/>
        <s v="Mahaska, Iowa"/>
        <s v="Marion, Iowa"/>
        <s v="Marshall, Iowa"/>
        <s v="Mills, Iowa"/>
        <s v="Mitchell, Iowa"/>
        <s v="Monona, Iowa"/>
        <s v="Monroe, Iowa"/>
        <s v="Montgomery, Iowa"/>
        <s v="Muscatine, Iowa"/>
        <s v="O'Brien, Iowa"/>
        <s v="Osceola, Iowa"/>
        <s v="Page, Iowa"/>
        <s v="Palo Alto, Iowa"/>
        <s v="Plymouth, Iowa"/>
        <s v="Pocahontas, Iowa"/>
        <s v="Polk, Iowa"/>
        <s v="Pottawattamie, Iowa"/>
        <s v="Poweshiek, Iowa"/>
        <s v="Ringgold, Iowa"/>
        <s v="Sac, Iowa"/>
        <s v="Scott, Iowa"/>
        <s v="Shelby, Iowa"/>
        <s v="Sioux, Iowa"/>
        <s v="Story, Iowa"/>
        <s v="Tama, Iowa"/>
        <s v="Taylor, Iowa"/>
        <s v="Union, Iowa"/>
        <s v="Van Buren, Iowa"/>
        <s v="Wapello, Iowa"/>
        <s v="Warren, Iowa"/>
        <s v="Washington, Iowa"/>
        <s v="Wayne, Iowa"/>
        <s v="Webster, Iowa"/>
        <s v="Winnebago, Iowa"/>
        <s v="Winneshiek, Iowa"/>
        <s v="Woodbury, Iowa"/>
        <s v="Worth, Iowa"/>
        <s v="Wright, Iowa"/>
        <s v="Allen, Kansas"/>
        <s v="Anderson, Kansas"/>
        <s v="Atchison, Kansas"/>
        <s v="Barber, Kansas"/>
        <s v="Barton, Kansas"/>
        <s v="Bourbon, Kansas"/>
        <s v="Brown, Kansas"/>
        <s v="Butler, Kansas"/>
        <s v="Chase, Kansas"/>
        <s v="Chautauqua, Kansas"/>
        <s v="Cherokee, Kansas"/>
        <s v="Cheyenne, Kansas"/>
        <s v="Clark, Kansas"/>
        <s v="Clay, Kansas"/>
        <s v="Cloud, Kansas"/>
        <s v="Coffey, Kansas"/>
        <s v="Comanche, Kansas"/>
        <s v="Cowley, Kansas"/>
        <s v="Crawford, Kansas"/>
        <s v="Decatur, Kansas"/>
        <s v="Dickinson, Kansas"/>
        <s v="Doniphan, Kansas"/>
        <s v="Douglas, Kansas"/>
        <s v="Edwards, Kansas"/>
        <s v="Elk, Kansas"/>
        <s v="Ellis, Kansas"/>
        <s v="Ellsworth, Kansas"/>
        <s v="Finney, Kansas"/>
        <s v="Ford, Kansas"/>
        <s v="Franklin, Kansas"/>
        <s v="Geary, Kansas"/>
        <s v="Gove, Kansas"/>
        <s v="Graham, Kansas"/>
        <s v="Grant, Kansas"/>
        <s v="Gray, Kansas"/>
        <s v="Greeley, Kansas"/>
        <s v="Greenwood, Kansas"/>
        <s v="Hamilton, Kansas"/>
        <s v="Harper, Kansas"/>
        <s v="Harvey, Kansas"/>
        <s v="Haskell, Kansas"/>
        <s v="Hodgeman, Kansas"/>
        <s v="Jackson, Kansas"/>
        <s v="Jefferson, Kansas"/>
        <s v="Jewell, Kansas"/>
        <s v="Johnson, Kansas"/>
        <s v="Kearny, Kansas"/>
        <s v="Kingman, Kansas"/>
        <s v="Kiowa, Kansas"/>
        <s v="Labette, Kansas"/>
        <s v="Lane, Kansas"/>
        <s v="Leavenworth, Kansas"/>
        <s v="Lincoln, Kansas"/>
        <s v="Linn, Kansas"/>
        <s v="Logan, Kansas"/>
        <s v="Lyon, Kansas"/>
        <s v="McPherson, Kansas"/>
        <s v="Marion, Kansas"/>
        <s v="Marshall, Kansas"/>
        <s v="Meade, Kansas"/>
        <s v="Miami, Kansas"/>
        <s v="Mitchell, Kansas"/>
        <s v="Montgomery, Kansas"/>
        <s v="Morris, Kansas"/>
        <s v="Morton, Kansas"/>
        <s v="Nemaha, Kansas"/>
        <s v="Neosho, Kansas"/>
        <s v="Ness, Kansas"/>
        <s v="Norton, Kansas"/>
        <s v="Osage, Kansas"/>
        <s v="Osborne, Kansas"/>
        <s v="Ottawa, Kansas"/>
        <s v="Pawnee, Kansas"/>
        <s v="Phillips, Kansas"/>
        <s v="Pottawatomie, Kansas"/>
        <s v="Pratt, Kansas"/>
        <s v="Rawlins, Kansas"/>
        <s v="Reno, Kansas"/>
        <s v="Republic, Kansas"/>
        <s v="Rice, Kansas"/>
        <s v="Riley, Kansas"/>
        <s v="Rooks, Kansas"/>
        <s v="Rush, Kansas"/>
        <s v="Russell, Kansas"/>
        <s v="Saline, Kansas"/>
        <s v="Scott, Kansas"/>
        <s v="Sedgwick, Kansas"/>
        <s v="Seward, Kansas"/>
        <s v="Shawnee, Kansas"/>
        <s v="Sheridan, Kansas"/>
        <s v="Sherman, Kansas"/>
        <s v="Smith, Kansas"/>
        <s v="Stafford, Kansas"/>
        <s v="Stanton, Kansas"/>
        <s v="Stevens, Kansas"/>
        <s v="Sumner, Kansas"/>
        <s v="Thomas, Kansas"/>
        <s v="Trego, Kansas"/>
        <s v="Wabaunsee, Kansas"/>
        <s v="Wallace, Kansas"/>
        <s v="Washington, Kansas"/>
        <s v="Wichita, Kansas"/>
        <s v="Wilson, Kansas"/>
        <s v="Woodson, Kansas"/>
        <s v="Wyandotte, Kansas"/>
        <s v="Adair, Kentucky"/>
        <s v="Allen, Kentucky"/>
        <s v="Anderson, Kentucky"/>
        <s v="Ballard, Kentucky"/>
        <s v="Barren, Kentucky"/>
        <s v="Bath, Kentucky"/>
        <s v="Bell, Kentucky"/>
        <s v="Boone, Kentucky"/>
        <s v="Bourbon, Kentucky"/>
        <s v="Boyd, Kentucky"/>
        <s v="Boyle, Kentucky"/>
        <s v="Bracken, Kentucky"/>
        <s v="Breathitt, Kentucky"/>
        <s v="Breckinridge, Kentucky"/>
        <s v="Bullitt, Kentucky"/>
        <s v="Butler, Kentucky"/>
        <s v="Caldwell, Kentucky"/>
        <s v="Calloway, Kentucky"/>
        <s v="Campbell, Kentucky"/>
        <s v="Carlisle, Kentucky"/>
        <s v="Carroll, Kentucky"/>
        <s v="Carter, Kentucky"/>
        <s v="Casey, Kentucky"/>
        <s v="Christian, Kentucky"/>
        <s v="Clark, Kentucky"/>
        <s v="Clay, Kentucky"/>
        <s v="Clinton, Kentucky"/>
        <s v="Crittenden, Kentucky"/>
        <s v="Cumberland, Kentucky"/>
        <s v="Daviess, Kentucky"/>
        <s v="Edmonson, Kentucky"/>
        <s v="Elliott, Kentucky"/>
        <s v="Estill, Kentucky"/>
        <s v="Fayette, Kentucky"/>
        <s v="Fleming, Kentucky"/>
        <s v="Floyd, Kentucky"/>
        <s v="Franklin, Kentucky"/>
        <s v="Fulton, Kentucky"/>
        <s v="Gallatin, Kentucky"/>
        <s v="Garrard, Kentucky"/>
        <s v="Grant, Kentucky"/>
        <s v="Graves, Kentucky"/>
        <s v="Grayson, Kentucky"/>
        <s v="Green, Kentucky"/>
        <s v="Greenup, Kentucky"/>
        <s v="Hancock, Kentucky"/>
        <s v="Hardin, Kentucky"/>
        <s v="Harlan, Kentucky"/>
        <s v="Harrison, Kentucky"/>
        <s v="Hart, Kentucky"/>
        <s v="Henderson, Kentucky"/>
        <s v="Henry, Kentucky"/>
        <s v="Hickman, Kentucky"/>
        <s v="Hopkins, Kentucky"/>
        <s v="Jackson, Kentucky"/>
        <s v="Jefferson, Kentucky"/>
        <s v="Jessamine, Kentucky"/>
        <s v="Johnson, Kentucky"/>
        <s v="Kenton, Kentucky"/>
        <s v="Knott, Kentucky"/>
        <s v="Knox, Kentucky"/>
        <s v="Larue, Kentucky"/>
        <s v="Laurel, Kentucky"/>
        <s v="Lawrence, Kentucky"/>
        <s v="Lee, Kentucky"/>
        <s v="Leslie, Kentucky"/>
        <s v="Letcher, Kentucky"/>
        <s v="Lewis, Kentucky"/>
        <s v="Lincoln, Kentucky"/>
        <s v="Livingston, Kentucky"/>
        <s v="Logan, Kentucky"/>
        <s v="Lyon, Kentucky"/>
        <s v="McCracken, Kentucky"/>
        <s v="McCreary, Kentucky"/>
        <s v="McLean, Kentucky"/>
        <s v="Madison, Kentucky"/>
        <s v="Magoffin, Kentucky"/>
        <s v="Marion, Kentucky"/>
        <s v="Marshall, Kentucky"/>
        <s v="Martin, Kentucky"/>
        <s v="Mason, Kentucky"/>
        <s v="Meade, Kentucky"/>
        <s v="Menifee, Kentucky"/>
        <s v="Mercer, Kentucky"/>
        <s v="Metcalfe, Kentucky"/>
        <s v="Monroe, Kentucky"/>
        <s v="Montgomery, Kentucky"/>
        <s v="Morgan, Kentucky"/>
        <s v="Muhlenberg, Kentucky"/>
        <s v="Nelson, Kentucky"/>
        <s v="Nicholas, Kentucky"/>
        <s v="Ohio, Kentucky"/>
        <s v="Oldham, Kentucky"/>
        <s v="Owen, Kentucky"/>
        <s v="Owsley, Kentucky"/>
        <s v="Pendleton, Kentucky"/>
        <s v="Perry, Kentucky"/>
        <s v="Pike, Kentucky"/>
        <s v="Powell, Kentucky"/>
        <s v="Pulaski, Kentucky"/>
        <s v="Robertson, Kentucky"/>
        <s v="Rockcastle, Kentucky"/>
        <s v="Rowan, Kentucky"/>
        <s v="Russell, Kentucky"/>
        <s v="Scott, Kentucky"/>
        <s v="Shelby, Kentucky"/>
        <s v="Simpson, Kentucky"/>
        <s v="Spencer, Kentucky"/>
        <s v="Taylor, Kentucky"/>
        <s v="Todd, Kentucky"/>
        <s v="Trigg, Kentucky"/>
        <s v="Trimble, Kentucky"/>
        <s v="Union, Kentucky"/>
        <s v="Warren, Kentucky"/>
        <s v="Washington, Kentucky"/>
        <s v="Wayne, Kentucky"/>
        <s v="Webster, Kentucky"/>
        <s v="Whitley, Kentucky"/>
        <s v="Wolfe, Kentucky"/>
        <s v="Woodford, Kentucky"/>
        <s v="Acadia, Louisiana"/>
        <s v="Allen, Louisiana"/>
        <s v="Ascension, Louisiana"/>
        <s v="Assumption, Louisiana"/>
        <s v="Avoyelles, Louisiana"/>
        <s v="Beauregard, Louisiana"/>
        <s v="Bienville, Louisiana"/>
        <s v="Bossier, Louisiana"/>
        <s v="Caddo, Louisiana"/>
        <s v="Calcasieu, Louisiana"/>
        <s v="Caldwell, Louisiana"/>
        <s v="Cameron, Louisiana"/>
        <s v="Catahoula, Louisiana"/>
        <s v="Claiborne, Louisiana"/>
        <s v="Concordia, Louisiana"/>
        <s v="De Soto, Louisiana"/>
        <s v="East Baton Rouge, Louisiana"/>
        <s v="East Carroll, Louisiana"/>
        <s v="East Feliciana, Louisiana"/>
        <s v="Evangeline, Louisiana"/>
        <s v="Franklin, Louisiana"/>
        <s v="Grant, Louisiana"/>
        <s v="Iberia, Louisiana"/>
        <s v="Iberville, Louisiana"/>
        <s v="Jackson, Louisiana"/>
        <s v="Jefferson, Louisiana"/>
        <s v="Jefferson Davis, Louisiana"/>
        <s v="Lafayette, Louisiana"/>
        <s v="Lafourche, Louisiana"/>
        <s v="LaSalle, Louisiana"/>
        <s v="Lincoln, Louisiana"/>
        <s v="Livingston, Louisiana"/>
        <s v="Madison, Louisiana"/>
        <s v="Morehouse, Louisiana"/>
        <s v="Natchitoches, Louisiana"/>
        <s v="Orleans, Louisiana"/>
        <s v="Ouachita, Louisiana"/>
        <s v="Plaquemines, Louisiana"/>
        <s v="Pointe Coupee, Louisiana"/>
        <s v="Rapides, Louisiana"/>
        <s v="Red River, Louisiana"/>
        <s v="Richland, Louisiana"/>
        <s v="Sabine, Louisiana"/>
        <s v="St. Bernard, Louisiana"/>
        <s v="St. Charles, Louisiana"/>
        <s v="St. Helena, Louisiana"/>
        <s v="St. James, Louisiana"/>
        <s v="St. John the Baptist, Louisiana"/>
        <s v="St. Landry, Louisiana"/>
        <s v="St. Martin, Louisiana"/>
        <s v="St. Mary, Louisiana"/>
        <s v="St. Tammany, Louisiana"/>
        <s v="Tangipahoa, Louisiana"/>
        <s v="Tensas, Louisiana"/>
        <s v="Terrebonne, Louisiana"/>
        <s v="Union, Louisiana"/>
        <s v="Vermilion, Louisiana"/>
        <s v="Vernon, Louisiana"/>
        <s v="Washington, Louisiana"/>
        <s v="Webster, Louisiana"/>
        <s v="West Baton Rouge, Louisiana"/>
        <s v="West Carroll, Louisiana"/>
        <s v="West Feliciana, Louisiana"/>
        <s v="Winn, Louisiana"/>
        <s v="Androscoggin, Maine"/>
        <s v="Aroostook, Maine"/>
        <s v="Cumberland, Maine"/>
        <s v="Franklin, Maine"/>
        <s v="Hancock, Maine"/>
        <s v="Kennebec, Maine"/>
        <s v="Knox, Maine"/>
        <s v="Lincoln, Maine"/>
        <s v="Oxford, Maine"/>
        <s v="Penobscot, Maine"/>
        <s v="Piscataquis, Maine"/>
        <s v="Sagadahoc, Maine"/>
        <s v="Somerset, Maine"/>
        <s v="Waldo, Maine"/>
        <s v="Washington, Maine"/>
        <s v="York, Maine"/>
        <s v="Allegany, Maryland"/>
        <s v="Anne Arundel, Maryland"/>
        <s v="Baltimore, Maryland"/>
        <s v="Calvert, Maryland"/>
        <s v="Caroline, Maryland"/>
        <s v="Carroll, Maryland"/>
        <s v="Cecil, Maryland"/>
        <s v="Charles, Maryland"/>
        <s v="Dorchester, Maryland"/>
        <s v="Frederick, Maryland"/>
        <s v="Garrett, Maryland"/>
        <s v="Harford, Maryland"/>
        <s v="Howard, Maryland"/>
        <s v="Kent, Maryland"/>
        <s v="Montgomery, Maryland"/>
        <s v="Prince George's, Maryland"/>
        <s v="Queen Anne's, Maryland"/>
        <s v="St. Mary's, Maryland"/>
        <s v="Somerset, Maryland"/>
        <s v="Talbot, Maryland"/>
        <s v="Washington, Maryland"/>
        <s v="Wicomico, Maryland"/>
        <s v="Worcester, Maryland"/>
        <s v="Baltimore City, Maryland"/>
        <s v="Barnstable, Massachusetts"/>
        <s v="Berkshire, Massachusetts"/>
        <s v="Bristol, Massachusetts"/>
        <s v="Dukes, Massachusetts"/>
        <s v="Essex, Massachusetts"/>
        <s v="Franklin, Massachusetts"/>
        <s v="Hampden, Massachusetts"/>
        <s v="Hampshire, Massachusetts"/>
        <s v="Middlesex, Massachusetts"/>
        <s v="Nantucket, Massachusetts"/>
        <s v="Norfolk, Massachusetts"/>
        <s v="Plymouth, Massachusetts"/>
        <s v="Suffolk, Massachusetts"/>
        <s v="Worcester, Massachusetts"/>
        <s v="Alcona, Michigan"/>
        <s v="Alger, Michigan"/>
        <s v="Allegan, Michigan"/>
        <s v="Alpena, Michigan"/>
        <s v="Antrim, Michigan"/>
        <s v="Arenac, Michigan"/>
        <s v="Baraga, Michigan"/>
        <s v="Barry, Michigan"/>
        <s v="Bay, Michigan"/>
        <s v="Benzie, Michigan"/>
        <s v="Berrien, Michigan"/>
        <s v="Branch, Michigan"/>
        <s v="Calhoun, Michigan"/>
        <s v="Cass, Michigan"/>
        <s v="Charlevoix, Michigan"/>
        <s v="Cheboygan, Michigan"/>
        <s v="Chippewa, Michigan"/>
        <s v="Clare, Michigan"/>
        <s v="Clinton, Michigan"/>
        <s v="Crawford, Michigan"/>
        <s v="Delta, Michigan"/>
        <s v="Dickinson, Michigan"/>
        <s v="Eaton, Michigan"/>
        <s v="Emmet, Michigan"/>
        <s v="Genesee, Michigan"/>
        <s v="Gladwin, Michigan"/>
        <s v="Gogebic, Michigan"/>
        <s v="Grand Traverse, Michigan"/>
        <s v="Gratiot, Michigan"/>
        <s v="Hillsdale, Michigan"/>
        <s v="Houghton, Michigan"/>
        <s v="Huron, Michigan"/>
        <s v="Ingham, Michigan"/>
        <s v="Ionia, Michigan"/>
        <s v="Iosco, Michigan"/>
        <s v="Iron, Michigan"/>
        <s v="Isabella, Michigan"/>
        <s v="Jackson, Michigan"/>
        <s v="Kalamazoo, Michigan"/>
        <s v="Kalkaska, Michigan"/>
        <s v="Kent, Michigan"/>
        <s v="Keweenaw, Michigan"/>
        <s v="Lake, Michigan"/>
        <s v="Lapeer, Michigan"/>
        <s v="Leelanau, Michigan"/>
        <s v="Lenawee, Michigan"/>
        <s v="Livingston, Michigan"/>
        <s v="Luce, Michigan"/>
        <s v="Mackinac, Michigan"/>
        <s v="Macomb, Michigan"/>
        <s v="Manistee, Michigan"/>
        <s v="Marquette, Michigan"/>
        <s v="Mason, Michigan"/>
        <s v="Mecosta, Michigan"/>
        <s v="Menominee, Michigan"/>
        <s v="Midland, Michigan"/>
        <s v="Missaukee, Michigan"/>
        <s v="Monroe, Michigan"/>
        <s v="Montcalm, Michigan"/>
        <s v="Montmorency, Michigan"/>
        <s v="Muskegon, Michigan"/>
        <s v="Newaygo, Michigan"/>
        <s v="Oakland, Michigan"/>
        <s v="Oceana, Michigan"/>
        <s v="Ogemaw, Michigan"/>
        <s v="Ontonagon, Michigan"/>
        <s v="Osceola, Michigan"/>
        <s v="Oscoda, Michigan"/>
        <s v="Otsego, Michigan"/>
        <s v="Ottawa, Michigan"/>
        <s v="Presque Isle, Michigan"/>
        <s v="Roscommon, Michigan"/>
        <s v="Saginaw, Michigan"/>
        <s v="St. Clair, Michigan"/>
        <s v="St. Joseph, Michigan"/>
        <s v="Sanilac, Michigan"/>
        <s v="Schoolcraft, Michigan"/>
        <s v="Shiawassee, Michigan"/>
        <s v="Tuscola, Michigan"/>
        <s v="Van Buren, Michigan"/>
        <s v="Washtenaw, Michigan"/>
        <s v="Wayne, Michigan"/>
        <s v="Wexford, Michigan"/>
        <s v="Aitkin, Minnesota"/>
        <s v="Anoka, Minnesota"/>
        <s v="Becker, Minnesota"/>
        <s v="Beltrami, Minnesota"/>
        <s v="Benton, Minnesota"/>
        <s v="Big Stone, Minnesota"/>
        <s v="Blue Earth, Minnesota"/>
        <s v="Brown, Minnesota"/>
        <s v="Carlton, Minnesota"/>
        <s v="Carver, Minnesota"/>
        <s v="Cass, Minnesota"/>
        <s v="Chippewa, Minnesota"/>
        <s v="Chisago, Minnesota"/>
        <s v="Clay, Minnesota"/>
        <s v="Clearwater, Minnesota"/>
        <s v="Cook, Minnesota"/>
        <s v="Cottonwood, Minnesota"/>
        <s v="Crow Wing, Minnesota"/>
        <s v="Dakota, Minnesota"/>
        <s v="Dodge, Minnesota"/>
        <s v="Douglas, Minnesota"/>
        <s v="Faribault, Minnesota"/>
        <s v="Fillmore, Minnesota"/>
        <s v="Freeborn, Minnesota"/>
        <s v="Goodhue, Minnesota"/>
        <s v="Grant, Minnesota"/>
        <s v="Hennepin, Minnesota"/>
        <s v="Houston, Minnesota"/>
        <s v="Hubbard, Minnesota"/>
        <s v="Isanti, Minnesota"/>
        <s v="Itasca, Minnesota"/>
        <s v="Jackson, Minnesota"/>
        <s v="Kanabec, Minnesota"/>
        <s v="Kandiyohi, Minnesota"/>
        <s v="Kittson, Minnesota"/>
        <s v="Koochiching, Minnesota"/>
        <s v="Lac Qui Parle, Minnesota"/>
        <s v="Lake, Minnesota"/>
        <s v="Lake of the Woods, Minnesota"/>
        <s v="Le Sueur, Minnesota"/>
        <s v="Lincoln, Minnesota"/>
        <s v="Lyon, Minnesota"/>
        <s v="McLeod, Minnesota"/>
        <s v="Mahnomen, Minnesota"/>
        <s v="Marshall, Minnesota"/>
        <s v="Martin, Minnesota"/>
        <s v="Meeker, Minnesota"/>
        <s v="Mille Lacs, Minnesota"/>
        <s v="Morrison, Minnesota"/>
        <s v="Mower, Minnesota"/>
        <s v="Murray, Minnesota"/>
        <s v="Nicollet, Minnesota"/>
        <s v="Nobles, Minnesota"/>
        <s v="Norman, Minnesota"/>
        <s v="Olmsted, Minnesota"/>
        <s v="Otter Tail, Minnesota"/>
        <s v="Pennington, Minnesota"/>
        <s v="Pine, Minnesota"/>
        <s v="Pipestone, Minnesota"/>
        <s v="Polk, Minnesota"/>
        <s v="Pope, Minnesota"/>
        <s v="Ramsey, Minnesota"/>
        <s v="Red Lake, Minnesota"/>
        <s v="Redwood, Minnesota"/>
        <s v="Renville, Minnesota"/>
        <s v="Rice, Minnesota"/>
        <s v="Rock, Minnesota"/>
        <s v="Roseau, Minnesota"/>
        <s v="St. Louis, Minnesota"/>
        <s v="Scott, Minnesota"/>
        <s v="Sherburne, Minnesota"/>
        <s v="Sibley, Minnesota"/>
        <s v="Stearns, Minnesota"/>
        <s v="Steele, Minnesota"/>
        <s v="Stevens, Minnesota"/>
        <s v="Swift, Minnesota"/>
        <s v="Todd, Minnesota"/>
        <s v="Traverse, Minnesota"/>
        <s v="Wabasha, Minnesota"/>
        <s v="Wadena, Minnesota"/>
        <s v="Waseca, Minnesota"/>
        <s v="Washington, Minnesota"/>
        <s v="Watonwan, Minnesota"/>
        <s v="Wilkin, Minnesota"/>
        <s v="Winona, Minnesota"/>
        <s v="Wright, Minnesota"/>
        <s v="Yellow Medicine, Minnesota"/>
        <s v="Adams, Mississippi"/>
        <s v="Alcorn, Mississippi"/>
        <s v="Amite, Mississippi"/>
        <s v="Attala, Mississippi"/>
        <s v="Benton, Mississippi"/>
        <s v="Bolivar, Mississippi"/>
        <s v="Calhoun, Mississippi"/>
        <s v="Carroll, Mississippi"/>
        <s v="Chickasaw, Mississippi"/>
        <s v="Choctaw, Mississippi"/>
        <s v="Claiborne, Mississippi"/>
        <s v="Clarke, Mississippi"/>
        <s v="Clay, Mississippi"/>
        <s v="Coahoma, Mississippi"/>
        <s v="Copiah, Mississippi"/>
        <s v="Covington, Mississippi"/>
        <s v="DeSoto, Mississippi"/>
        <s v="Forrest, Mississippi"/>
        <s v="Franklin, Mississippi"/>
        <s v="George, Mississippi"/>
        <s v="Greene, Mississippi"/>
        <s v="Grenada, Mississippi"/>
        <s v="Hancock, Mississippi"/>
        <s v="Harrison, Mississippi"/>
        <s v="Hinds, Mississippi"/>
        <s v="Holmes, Mississippi"/>
        <s v="Humphreys, Mississippi"/>
        <s v="Issaquena, Mississippi"/>
        <s v="Itawamba, Mississippi"/>
        <s v="Jackson, Mississippi"/>
        <s v="Jasper, Mississippi"/>
        <s v="Jefferson, Mississippi"/>
        <s v="Jefferson Davis, Mississippi"/>
        <s v="Jones, Mississippi"/>
        <s v="Kemper, Mississippi"/>
        <s v="Lafayette, Mississippi"/>
        <s v="Lamar, Mississippi"/>
        <s v="Lauderdale, Mississippi"/>
        <s v="Lawrence, Mississippi"/>
        <s v="Leake, Mississippi"/>
        <s v="Lee, Mississippi"/>
        <s v="Leflore, Mississippi"/>
        <s v="Lincoln, Mississippi"/>
        <s v="Lowndes, Mississippi"/>
        <s v="Madison, Mississippi"/>
        <s v="Marion, Mississippi"/>
        <s v="Marshall, Mississippi"/>
        <s v="Monroe, Mississippi"/>
        <s v="Montgomery, Mississippi"/>
        <s v="Neshoba, Mississippi"/>
        <s v="Newton, Mississippi"/>
        <s v="Noxubee, Mississippi"/>
        <s v="Oktibbeha, Mississippi"/>
        <s v="Panola, Mississippi"/>
        <s v="Pearl River, Mississippi"/>
        <s v="Perry, Mississippi"/>
        <s v="Pike, Mississippi"/>
        <s v="Pontotoc, Mississippi"/>
        <s v="Prentiss, Mississippi"/>
        <s v="Quitman, Mississippi"/>
        <s v="Rankin, Mississippi"/>
        <s v="Scott, Mississippi"/>
        <s v="Sharkey, Mississippi"/>
        <s v="Simpson, Mississippi"/>
        <s v="Smith, Mississippi"/>
        <s v="Stone, Mississippi"/>
        <s v="Sunflower, Mississippi"/>
        <s v="Tallahatchie, Mississippi"/>
        <s v="Tate, Mississippi"/>
        <s v="Tippah, Mississippi"/>
        <s v="Tishomingo, Mississippi"/>
        <s v="Tunica, Mississippi"/>
        <s v="Union, Mississippi"/>
        <s v="Walthall, Mississippi"/>
        <s v="Warren, Mississippi"/>
        <s v="Washington, Mississippi"/>
        <s v="Wayne, Mississippi"/>
        <s v="Webster, Mississippi"/>
        <s v="Wilkinson, Mississippi"/>
        <s v="Winston, Mississippi"/>
        <s v="Yalobusha, Mississippi"/>
        <s v="Yazoo, Mississippi"/>
        <s v="Adair, Missouri"/>
        <s v="Andrew, Missouri"/>
        <s v="Atchison, Missouri"/>
        <s v="Audrain, Missouri"/>
        <s v="Barry, Missouri"/>
        <s v="Barton, Missouri"/>
        <s v="Bates, Missouri"/>
        <s v="Benton, Missouri"/>
        <s v="Bollinger, Missouri"/>
        <s v="Boone, Missouri"/>
        <s v="Buchanan, Missouri"/>
        <s v="Butler, Missouri"/>
        <s v="Caldwell, Missouri"/>
        <s v="Callaway, Missouri"/>
        <s v="Camden, Missouri"/>
        <s v="Cape Girardeau, Missouri"/>
        <s v="Carroll, Missouri"/>
        <s v="Carter, Missouri"/>
        <s v="Cass, Missouri"/>
        <s v="Cedar, Missouri"/>
        <s v="Chariton, Missouri"/>
        <s v="Christian, Missouri"/>
        <s v="Clark, Missouri"/>
        <s v="Clay, Missouri"/>
        <s v="Clinton, Missouri"/>
        <s v="Cole, Missouri"/>
        <s v="Cooper, Missouri"/>
        <s v="Crawford, Missouri"/>
        <s v="Dade, Missouri"/>
        <s v="Dallas, Missouri"/>
        <s v="Daviess, Missouri"/>
        <s v="DeKalb, Missouri"/>
        <s v="Dent, Missouri"/>
        <s v="Douglas, Missouri"/>
        <s v="Dunklin, Missouri"/>
        <s v="Franklin, Missouri"/>
        <s v="Gasconade, Missouri"/>
        <s v="Gentry, Missouri"/>
        <s v="Greene, Missouri"/>
        <s v="Grundy, Missouri"/>
        <s v="Harrison, Missouri"/>
        <s v="Henry, Missouri"/>
        <s v="Hickory, Missouri"/>
        <s v="Holt, Missouri"/>
        <s v="Howard, Missouri"/>
        <s v="Howell, Missouri"/>
        <s v="Iron, Missouri"/>
        <s v="Jackson, Missouri"/>
        <s v="Jasper, Missouri"/>
        <s v="Jefferson, Missouri"/>
        <s v="Johnson, Missouri"/>
        <s v="Knox, Missouri"/>
        <s v="Laclede, Missouri"/>
        <s v="Lafayette, Missouri"/>
        <s v="Lawrence, Missouri"/>
        <s v="Lewis, Missouri"/>
        <s v="Lincoln, Missouri"/>
        <s v="Linn, Missouri"/>
        <s v="Livingston, Missouri"/>
        <s v="McDonald, Missouri"/>
        <s v="Macon, Missouri"/>
        <s v="Madison, Missouri"/>
        <s v="Maries, Missouri"/>
        <s v="Marion, Missouri"/>
        <s v="Mercer, Missouri"/>
        <s v="Miller, Missouri"/>
        <s v="Mississippi, Missouri"/>
        <s v="Moniteau, Missouri"/>
        <s v="Monroe, Missouri"/>
        <s v="Montgomery, Missouri"/>
        <s v="Morgan, Missouri"/>
        <s v="New Madrid, Missouri"/>
        <s v="Newton, Missouri"/>
        <s v="Nodaway, Missouri"/>
        <s v="Oregon, Missouri"/>
        <s v="Osage, Missouri"/>
        <s v="Ozark, Missouri"/>
        <s v="Pemiscot, Missouri"/>
        <s v="Perry, Missouri"/>
        <s v="Pettis, Missouri"/>
        <s v="Phelps, Missouri"/>
        <s v="Pike, Missouri"/>
        <s v="Platte, Missouri"/>
        <s v="Polk, Missouri"/>
        <s v="Pulaski, Missouri"/>
        <s v="Putnam, Missouri"/>
        <s v="Ralls, Missouri"/>
        <s v="Randolph, Missouri"/>
        <s v="Ray, Missouri"/>
        <s v="Reynolds, Missouri"/>
        <s v="Ripley, Missouri"/>
        <s v="St. Charles, Missouri"/>
        <s v="St. Clair, Missouri"/>
        <s v="Ste. Genevieve, Missouri"/>
        <s v="St. Francois, Missouri"/>
        <s v="St. Louis, Missouri"/>
        <s v="Saline, Missouri"/>
        <s v="Schuyler, Missouri"/>
        <s v="Scotland, Missouri"/>
        <s v="Scott, Missouri"/>
        <s v="Shannon, Missouri"/>
        <s v="Shelby, Missouri"/>
        <s v="Stoddard, Missouri"/>
        <s v="Stone, Missouri"/>
        <s v="Sullivan, Missouri"/>
        <s v="Taney, Missouri"/>
        <s v="Texas, Missouri"/>
        <s v="Vernon, Missouri"/>
        <s v="Warren, Missouri"/>
        <s v="Washington, Missouri"/>
        <s v="Wayne, Missouri"/>
        <s v="Webster, Missouri"/>
        <s v="Worth, Missouri"/>
        <s v="Wright, Missouri"/>
        <s v="St. Louis City, Missouri"/>
        <s v="Beaverhead, Montana"/>
        <s v="Big Horn, Montana"/>
        <s v="Blaine, Montana"/>
        <s v="Broadwater, Montana"/>
        <s v="Carbon, Montana"/>
        <s v="Carter, Montana"/>
        <s v="Cascade, Montana"/>
        <s v="Chouteau, Montana"/>
        <s v="Custer, Montana"/>
        <s v="Daniels, Montana"/>
        <s v="Dawson, Montana"/>
        <s v="Deer Lodge, Montana"/>
        <s v="Fallon, Montana"/>
        <s v="Fergus, Montana"/>
        <s v="Flathead, Montana"/>
        <s v="Gallatin, Montana"/>
        <s v="Garfield, Montana"/>
        <s v="Glacier, Montana"/>
        <s v="Golden Valley, Montana"/>
        <s v="Granite, Montana"/>
        <s v="Hill, Montana"/>
        <s v="Jefferson, Montana"/>
        <s v="Judith Basin, Montana"/>
        <s v="Lake, Montana"/>
        <s v="Lewis and Clark, Montana"/>
        <s v="Liberty, Montana"/>
        <s v="Lincoln, Montana"/>
        <s v="McCone, Montana"/>
        <s v="Madison, Montana"/>
        <s v="Meagher, Montana"/>
        <s v="Mineral, Montana"/>
        <s v="Missoula, Montana"/>
        <s v="Musselshell, Montana"/>
        <s v="Park, Montana"/>
        <s v="Petroleum, Montana"/>
        <s v="Phillips, Montana"/>
        <s v="Pondera, Montana"/>
        <s v="Powder River, Montana"/>
        <s v="Powell, Montana"/>
        <s v="Prairie, Montana"/>
        <s v="Ravalli, Montana"/>
        <s v="Richland, Montana"/>
        <s v="Roosevelt, Montana"/>
        <s v="Rosebud, Montana"/>
        <s v="Sanders, Montana"/>
        <s v="Sheridan, Montana"/>
        <s v="Silver Bow, Montana"/>
        <s v="Stillwater, Montana"/>
        <s v="Sweet Grass, Montana"/>
        <s v="Teton, Montana"/>
        <s v="Toole, Montana"/>
        <s v="Treasure, Montana"/>
        <s v="Valley, Montana"/>
        <s v="Wheatland, Montana"/>
        <s v="Wibaux, Montana"/>
        <s v="Yellowstone, Montana"/>
        <s v="Adams, Nebraska"/>
        <s v="Antelope, Nebraska"/>
        <s v="Arthur, Nebraska"/>
        <s v="Banner, Nebraska"/>
        <s v="Blaine, Nebraska"/>
        <s v="Boone, Nebraska"/>
        <s v="Box Butte, Nebraska"/>
        <s v="Boyd, Nebraska"/>
        <s v="Brown, Nebraska"/>
        <s v="Buffalo, Nebraska"/>
        <s v="Burt, Nebraska"/>
        <s v="Butler, Nebraska"/>
        <s v="Cass, Nebraska"/>
        <s v="Cedar, Nebraska"/>
        <s v="Chase, Nebraska"/>
        <s v="Cherry, Nebraska"/>
        <s v="Cheyenne, Nebraska"/>
        <s v="Clay, Nebraska"/>
        <s v="Colfax, Nebraska"/>
        <s v="Cuming, Nebraska"/>
        <s v="Custer, Nebraska"/>
        <s v="Dakota, Nebraska"/>
        <s v="Dawes, Nebraska"/>
        <s v="Dawson, Nebraska"/>
        <s v="Deuel, Nebraska"/>
        <s v="Dixon, Nebraska"/>
        <s v="Dodge, Nebraska"/>
        <s v="Douglas, Nebraska"/>
        <s v="Dundy, Nebraska"/>
        <s v="Fillmore, Nebraska"/>
        <s v="Franklin, Nebraska"/>
        <s v="Frontier, Nebraska"/>
        <s v="Furnas, Nebraska"/>
        <s v="Gage, Nebraska"/>
        <s v="Garden, Nebraska"/>
        <s v="Garfield, Nebraska"/>
        <s v="Gosper, Nebraska"/>
        <s v="Grant, Nebraska"/>
        <s v="Greeley, Nebraska"/>
        <s v="Hall, Nebraska"/>
        <s v="Hamilton, Nebraska"/>
        <s v="Harlan, Nebraska"/>
        <s v="Hayes, Nebraska"/>
        <s v="Hitchcock, Nebraska"/>
        <s v="Holt, Nebraska"/>
        <s v="Hooker, Nebraska"/>
        <s v="Howard, Nebraska"/>
        <s v="Jefferson, Nebraska"/>
        <s v="Johnson, Nebraska"/>
        <s v="Kearney, Nebraska"/>
        <s v="Keith, Nebraska"/>
        <s v="Keya Paha, Nebraska"/>
        <s v="Kimball, Nebraska"/>
        <s v="Knox, Nebraska"/>
        <s v="Lancaster, Nebraska"/>
        <s v="Lincoln, Nebraska"/>
        <s v="Logan, Nebraska"/>
        <s v="Loup, Nebraska"/>
        <s v="McPherson, Nebraska"/>
        <s v="Madison, Nebraska"/>
        <s v="Merrick, Nebraska"/>
        <s v="Morrill, Nebraska"/>
        <s v="Nance, Nebraska"/>
        <s v="Nemaha, Nebraska"/>
        <s v="Nuckolls, Nebraska"/>
        <s v="Otoe, Nebraska"/>
        <s v="Pawnee, Nebraska"/>
        <s v="Perkins, Nebraska"/>
        <s v="Phelps, Nebraska"/>
        <s v="Pierce, Nebraska"/>
        <s v="Platte, Nebraska"/>
        <s v="Polk, Nebraska"/>
        <s v="Red Willow, Nebraska"/>
        <s v="Richardson, Nebraska"/>
        <s v="Rock, Nebraska"/>
        <s v="Saline, Nebraska"/>
        <s v="Sarpy, Nebraska"/>
        <s v="Saunders, Nebraska"/>
        <s v="Scotts Bluff, Nebraska"/>
        <s v="Seward, Nebraska"/>
        <s v="Sheridan, Nebraska"/>
        <s v="Sherman, Nebraska"/>
        <s v="Sioux, Nebraska"/>
        <s v="Stanton, Nebraska"/>
        <s v="Thayer, Nebraska"/>
        <s v="Thomas, Nebraska"/>
        <s v="Thurston, Nebraska"/>
        <s v="Valley, Nebraska"/>
        <s v="Washington, Nebraska"/>
        <s v="Wayne, Nebraska"/>
        <s v="Webster, Nebraska"/>
        <s v="Wheeler, Nebraska"/>
        <s v="York, Nebraska"/>
        <s v="Churchill, Nevada"/>
        <s v="Clark, Nevada"/>
        <s v="Douglas, Nevada"/>
        <s v="Elko, Nevada"/>
        <s v="Esmeralda, Nevada"/>
        <s v="Eureka, Nevada"/>
        <s v="Humboldt, Nevada"/>
        <s v="Lander, Nevada"/>
        <s v="Lincoln, Nevada"/>
        <s v="Lyon, Nevada"/>
        <s v="Mineral, Nevada"/>
        <s v="Nye, Nevada"/>
        <s v="Pershing, Nevada"/>
        <s v="Storey, Nevada"/>
        <s v="Washoe, Nevada"/>
        <s v="White Pine, Nevada"/>
        <s v="Carson City, Nevada"/>
        <s v="Belknap, New Hampshire"/>
        <s v="Carroll, New Hampshire"/>
        <s v="Cheshire, New Hampshire"/>
        <s v="Coos, New Hampshire"/>
        <s v="Grafton, New Hampshire"/>
        <s v="Hillsborough, New Hampshire"/>
        <s v="Merrimack, New Hampshire"/>
        <s v="Rockingham, New Hampshire"/>
        <s v="Strafford, New Hampshire"/>
        <s v="Sullivan, New Hampshire"/>
        <s v="Atlantic, New Jersey"/>
        <s v="Bergen, New Jersey"/>
        <s v="Burlington, New Jersey"/>
        <s v="Camden, New Jersey"/>
        <s v="Cape May, New Jersey"/>
        <s v="Cumberland, New Jersey"/>
        <s v="Essex, New Jersey"/>
        <s v="Gloucester, New Jersey"/>
        <s v="Hudson, New Jersey"/>
        <s v="Hunterdon, New Jersey"/>
        <s v="Mercer, New Jersey"/>
        <s v="Middlesex, New Jersey"/>
        <s v="Monmouth, New Jersey"/>
        <s v="Morris, New Jersey"/>
        <s v="Ocean, New Jersey"/>
        <s v="Passaic, New Jersey"/>
        <s v="Salem, New Jersey"/>
        <s v="Somerset, New Jersey"/>
        <s v="Sussex, New Jersey"/>
        <s v="Union, New Jersey"/>
        <s v="Warren, New Jersey"/>
        <s v="Bernalillo, New Mexico"/>
        <s v="Catron, New Mexico"/>
        <s v="Chaves, New Mexico"/>
        <s v="Cibola, New Mexico"/>
        <s v="Colfax, New Mexico"/>
        <s v="Curry, New Mexico"/>
        <s v="De Baca, New Mexico"/>
        <s v="Dona Ana, New Mexico"/>
        <s v="Eddy, New Mexico"/>
        <s v="Grant, New Mexico"/>
        <s v="Guadalupe, New Mexico"/>
        <s v="Harding, New Mexico"/>
        <s v="Hidalgo, New Mexico"/>
        <s v="Lea, New Mexico"/>
        <s v="Lincoln, New Mexico"/>
        <s v="Los Alamos, New Mexico"/>
        <s v="Luna, New Mexico"/>
        <s v="McKinley, New Mexico"/>
        <s v="Mora, New Mexico"/>
        <s v="Otero, New Mexico"/>
        <s v="Quay, New Mexico"/>
        <s v="Rio Arriba, New Mexico"/>
        <s v="Roosevelt, New Mexico"/>
        <s v="Sandoval, New Mexico"/>
        <s v="San Juan, New Mexico"/>
        <s v="San Miguel, New Mexico"/>
        <s v="Santa Fe, New Mexico"/>
        <s v="Sierra, New Mexico"/>
        <s v="Socorro, New Mexico"/>
        <s v="Taos, New Mexico"/>
        <s v="Torrance, New Mexico"/>
        <s v="Union, New Mexico"/>
        <s v="Valencia, New Mexico"/>
        <s v="Albany, New York"/>
        <s v="Allegany, New York"/>
        <s v="Bronx, New York"/>
        <s v="Broome, New York"/>
        <s v="Cattaraugus, New York"/>
        <s v="Cayuga, New York"/>
        <s v="Chautauqua, New York"/>
        <s v="Chemung, New York"/>
        <s v="Chenango, New York"/>
        <s v="Clinton, New York"/>
        <s v="Columbia, New York"/>
        <s v="Cortland, New York"/>
        <s v="Delaware, New York"/>
        <s v="Dutchess, New York"/>
        <s v="Erie, New York"/>
        <s v="Essex, New York"/>
        <s v="Franklin, New York"/>
        <s v="Fulton, New York"/>
        <s v="Genesee, New York"/>
        <s v="Greene, New York"/>
        <s v="Hamilton, New York"/>
        <s v="Herkimer, New York"/>
        <s v="Jefferson, New York"/>
        <s v="Kings, New York"/>
        <s v="Lewis, New York"/>
        <s v="Livingston, New York"/>
        <s v="Madison, New York"/>
        <s v="Monroe, New York"/>
        <s v="Montgomery, New York"/>
        <s v="Nassau, New York"/>
        <s v="New York, New York"/>
        <s v="Niagara, New York"/>
        <s v="Oneida, New York"/>
        <s v="Onondaga, New York"/>
        <s v="Ontario, New York"/>
        <s v="Orange, New York"/>
        <s v="Orleans, New York"/>
        <s v="Oswego, New York"/>
        <s v="Otsego, New York"/>
        <s v="Putnam, New York"/>
        <s v="Queens, New York"/>
        <s v="Rensselaer, New York"/>
        <s v="Richmond, New York"/>
        <s v="Rockland, New York"/>
        <s v="St. Lawrence, New York"/>
        <s v="Saratoga, New York"/>
        <s v="Schenectady, New York"/>
        <s v="Schoharie, New York"/>
        <s v="Schuyler, New York"/>
        <s v="Seneca, New York"/>
        <s v="Steuben, New York"/>
        <s v="Suffolk, New York"/>
        <s v="Sullivan, New York"/>
        <s v="Tioga, New York"/>
        <s v="Tompkins, New York"/>
        <s v="Ulster, New York"/>
        <s v="Warren, New York"/>
        <s v="Washington, New York"/>
        <s v="Wayne, New York"/>
        <s v="Westchester, New York"/>
        <s v="Wyoming, New York"/>
        <s v="Yates, New York"/>
        <s v="Alamance, North Carolina"/>
        <s v="Alexander, North Carolina"/>
        <s v="Alleghany, North Carolina"/>
        <s v="Anson, North Carolina"/>
        <s v="Ashe, North Carolina"/>
        <s v="Avery, North Carolina"/>
        <s v="Beaufort, North Carolina"/>
        <s v="Bertie, North Carolina"/>
        <s v="Bladen, North Carolina"/>
        <s v="Brunswick, North Carolina"/>
        <s v="Buncombe, North Carolina"/>
        <s v="Burke, North Carolina"/>
        <s v="Cabarrus, North Carolina"/>
        <s v="Caldwell, North Carolina"/>
        <s v="Camden, North Carolina"/>
        <s v="Carteret, North Carolina"/>
        <s v="Caswell, North Carolina"/>
        <s v="Catawba, North Carolina"/>
        <s v="Chatham, North Carolina"/>
        <s v="Cherokee, North Carolina"/>
        <s v="Chowan, North Carolina"/>
        <s v="Clay, North Carolina"/>
        <s v="Cleveland, North Carolina"/>
        <s v="Columbus, North Carolina"/>
        <s v="Craven, North Carolina"/>
        <s v="Cumberland, North Carolina"/>
        <s v="Currituck, North Carolina"/>
        <s v="Dare, North Carolina"/>
        <s v="Davidson, North Carolina"/>
        <s v="Davie, North Carolina"/>
        <s v="Duplin, North Carolina"/>
        <s v="Durham, North Carolina"/>
        <s v="Edgecombe, North Carolina"/>
        <s v="Forsyth, North Carolina"/>
        <s v="Franklin, North Carolina"/>
        <s v="Gaston, North Carolina"/>
        <s v="Gates, North Carolina"/>
        <s v="Graham, North Carolina"/>
        <s v="Granville, North Carolina"/>
        <s v="Greene, North Carolina"/>
        <s v="Guilford, North Carolina"/>
        <s v="Halifax, North Carolina"/>
        <s v="Harnett, North Carolina"/>
        <s v="Haywood, North Carolina"/>
        <s v="Henderson, North Carolina"/>
        <s v="Hertford, North Carolina"/>
        <s v="Hoke, North Carolina"/>
        <s v="Hyde, North Carolina"/>
        <s v="Iredell, North Carolina"/>
        <s v="Jackson, North Carolina"/>
        <s v="Johnston, North Carolina"/>
        <s v="Jones, North Carolina"/>
        <s v="Lee, North Carolina"/>
        <s v="Lenoir, North Carolina"/>
        <s v="Lincoln, North Carolina"/>
        <s v="McDowell, North Carolina"/>
        <s v="Macon, North Carolina"/>
        <s v="Madison, North Carolina"/>
        <s v="Martin, North Carolina"/>
        <s v="Mecklenburg, North Carolina"/>
        <s v="Mitchell, North Carolina"/>
        <s v="Montgomery, North Carolina"/>
        <s v="Moore, North Carolina"/>
        <s v="Nash, North Carolina"/>
        <s v="New Hanover, North Carolina"/>
        <s v="Northampton, North Carolina"/>
        <s v="Onslow, North Carolina"/>
        <s v="Orange, North Carolina"/>
        <s v="Pamlico, North Carolina"/>
        <s v="Pasquotank, North Carolina"/>
        <s v="Pender, North Carolina"/>
        <s v="Perquimans, North Carolina"/>
        <s v="Person, North Carolina"/>
        <s v="Pitt, North Carolina"/>
        <s v="Polk, North Carolina"/>
        <s v="Randolph, North Carolina"/>
        <s v="Richmond, North Carolina"/>
        <s v="Robeson, North Carolina"/>
        <s v="Rockingham, North Carolina"/>
        <s v="Rowan, North Carolina"/>
        <s v="Rutherford, North Carolina"/>
        <s v="Sampson, North Carolina"/>
        <s v="Scotland, North Carolina"/>
        <s v="Stanly, North Carolina"/>
        <s v="Stokes, North Carolina"/>
        <s v="Surry, North Carolina"/>
        <s v="Swain, North Carolina"/>
        <s v="Transylvania, North Carolina"/>
        <s v="Tyrrell, North Carolina"/>
        <s v="Union, North Carolina"/>
        <s v="Vance, North Carolina"/>
        <s v="Wake, North Carolina"/>
        <s v="Warren, North Carolina"/>
        <s v="Washington, North Carolina"/>
        <s v="Watauga, North Carolina"/>
        <s v="Wayne, North Carolina"/>
        <s v="Wilkes, North Carolina"/>
        <s v="Wilson, North Carolina"/>
        <s v="Yadkin, North Carolina"/>
        <s v="Yancey, North Carolina"/>
        <s v="Adams, North Dakota"/>
        <s v="Barnes, North Dakota"/>
        <s v="Benson, North Dakota"/>
        <s v="Billings, North Dakota"/>
        <s v="Bottineau, North Dakota"/>
        <s v="Bowman, North Dakota"/>
        <s v="Burke, North Dakota"/>
        <s v="Burleigh, North Dakota"/>
        <s v="Cass, North Dakota"/>
        <s v="Cavalier, North Dakota"/>
        <s v="Dickey, North Dakota"/>
        <s v="Divide, North Dakota"/>
        <s v="Dunn, North Dakota"/>
        <s v="Eddy, North Dakota"/>
        <s v="Emmons, North Dakota"/>
        <s v="Foster, North Dakota"/>
        <s v="Golden Valley, North Dakota"/>
        <s v="Grand Forks, North Dakota"/>
        <s v="Grant, North Dakota"/>
        <s v="Griggs, North Dakota"/>
        <s v="Hettinger, North Dakota"/>
        <s v="Kidder, North Dakota"/>
        <s v="LaMoure, North Dakota"/>
        <s v="Logan, North Dakota"/>
        <s v="McHenry, North Dakota"/>
        <s v="McIntosh, North Dakota"/>
        <s v="McKenzie, North Dakota"/>
        <s v="McLean, North Dakota"/>
        <s v="Mercer, North Dakota"/>
        <s v="Morton, North Dakota"/>
        <s v="Mountrail, North Dakota"/>
        <s v="Nelson, North Dakota"/>
        <s v="Oliver, North Dakota"/>
        <s v="Pembina, North Dakota"/>
        <s v="Pierce, North Dakota"/>
        <s v="Ramsey, North Dakota"/>
        <s v="Ransom, North Dakota"/>
        <s v="Renville, North Dakota"/>
        <s v="Richland, North Dakota"/>
        <s v="Rolette, North Dakota"/>
        <s v="Sargent, North Dakota"/>
        <s v="Sheridan, North Dakota"/>
        <s v="Sioux, North Dakota"/>
        <s v="Slope, North Dakota"/>
        <s v="Stark, North Dakota"/>
        <s v="Steele, North Dakota"/>
        <s v="Stutsman, North Dakota"/>
        <s v="Towner, North Dakota"/>
        <s v="Traill, North Dakota"/>
        <s v="Walsh, North Dakota"/>
        <s v="Ward, North Dakota"/>
        <s v="Wells, North Dakota"/>
        <s v="Williams, North Dakota"/>
        <s v="Adams, Ohio"/>
        <s v="Allen, Ohio"/>
        <s v="Ashland, Ohio"/>
        <s v="Ashtabula, Ohio"/>
        <s v="Athens, Ohio"/>
        <s v="Auglaize, Ohio"/>
        <s v="Belmont, Ohio"/>
        <s v="Brown, Ohio"/>
        <s v="Butler, Ohio"/>
        <s v="Carroll, Ohio"/>
        <s v="Champaign, Ohio"/>
        <s v="Clark, Ohio"/>
        <s v="Clermont, Ohio"/>
        <s v="Clinton, Ohio"/>
        <s v="Columbiana, Ohio"/>
        <s v="Coshocton, Ohio"/>
        <s v="Crawford, Ohio"/>
        <s v="Cuyahoga, Ohio"/>
        <s v="Darke, Ohio"/>
        <s v="Defiance, Ohio"/>
        <s v="Delaware, Ohio"/>
        <s v="Erie, Ohio"/>
        <s v="Fairfield, Ohio"/>
        <s v="Fayette, Ohio"/>
        <s v="Franklin, Ohio"/>
        <s v="Fulton, Ohio"/>
        <s v="Gallia, Ohio"/>
        <s v="Geauga, Ohio"/>
        <s v="Greene, Ohio"/>
        <s v="Guernsey, Ohio"/>
        <s v="Hamilton, Ohio"/>
        <s v="Hancock, Ohio"/>
        <s v="Hardin, Ohio"/>
        <s v="Harrison, Ohio"/>
        <s v="Henry, Ohio"/>
        <s v="Highland, Ohio"/>
        <s v="Hocking, Ohio"/>
        <s v="Holmes, Ohio"/>
        <s v="Huron, Ohio"/>
        <s v="Jackson, Ohio"/>
        <s v="Jefferson, Ohio"/>
        <s v="Knox, Ohio"/>
        <s v="Lake, Ohio"/>
        <s v="Lawrence, Ohio"/>
        <s v="Licking, Ohio"/>
        <s v="Logan, Ohio"/>
        <s v="Lorain, Ohio"/>
        <s v="Lucas, Ohio"/>
        <s v="Madison, Ohio"/>
        <s v="Mahoning, Ohio"/>
        <s v="Marion, Ohio"/>
        <s v="Medina, Ohio"/>
        <s v="Meigs, Ohio"/>
        <s v="Mercer, Ohio"/>
        <s v="Miami, Ohio"/>
        <s v="Monroe, Ohio"/>
        <s v="Montgomery, Ohio"/>
        <s v="Morgan, Ohio"/>
        <s v="Morrow, Ohio"/>
        <s v="Muskingum, Ohio"/>
        <s v="Noble, Ohio"/>
        <s v="Ottawa, Ohio"/>
        <s v="Paulding, Ohio"/>
        <s v="Perry, Ohio"/>
        <s v="Pickaway, Ohio"/>
        <s v="Pike, Ohio"/>
        <s v="Portage, Ohio"/>
        <s v="Preble, Ohio"/>
        <s v="Putnam, Ohio"/>
        <s v="Richland, Ohio"/>
        <s v="Ross, Ohio"/>
        <s v="Sandusky, Ohio"/>
        <s v="Scioto, Ohio"/>
        <s v="Seneca, Ohio"/>
        <s v="Shelby, Ohio"/>
        <s v="Stark, Ohio"/>
        <s v="Summit, Ohio"/>
        <s v="Trumbull, Ohio"/>
        <s v="Tuscarawas, Ohio"/>
        <s v="Union, Ohio"/>
        <s v="Van Wert, Ohio"/>
        <s v="Vinton, Ohio"/>
        <s v="Warren, Ohio"/>
        <s v="Washington, Ohio"/>
        <s v="Wayne, Ohio"/>
        <s v="Williams, Ohio"/>
        <s v="Wood, Ohio"/>
        <s v="Wyandot, Ohio"/>
        <s v="Adair, Oklahoma"/>
        <s v="Alfalfa, Oklahoma"/>
        <s v="Atoka, Oklahoma"/>
        <s v="Beaver, Oklahoma"/>
        <s v="Beckham, Oklahoma"/>
        <s v="Blaine, Oklahoma"/>
        <s v="Bryan, Oklahoma"/>
        <s v="Caddo, Oklahoma"/>
        <s v="Canadian, Oklahoma"/>
        <s v="Carter, Oklahoma"/>
        <s v="Cherokee, Oklahoma"/>
        <s v="Choctaw, Oklahoma"/>
        <s v="Cimarron, Oklahoma"/>
        <s v="Cleveland, Oklahoma"/>
        <s v="Coal, Oklahoma"/>
        <s v="Comanche, Oklahoma"/>
        <s v="Cotton, Oklahoma"/>
        <s v="Craig, Oklahoma"/>
        <s v="Creek, Oklahoma"/>
        <s v="Custer, Oklahoma"/>
        <s v="Delaware, Oklahoma"/>
        <s v="Dewey, Oklahoma"/>
        <s v="Ellis, Oklahoma"/>
        <s v="Garfield, Oklahoma"/>
        <s v="Garvin, Oklahoma"/>
        <s v="Grady, Oklahoma"/>
        <s v="Grant, Oklahoma"/>
        <s v="Greer, Oklahoma"/>
        <s v="Harmon, Oklahoma"/>
        <s v="Harper, Oklahoma"/>
        <s v="Haskell, Oklahoma"/>
        <s v="Hughes, Oklahoma"/>
        <s v="Jackson, Oklahoma"/>
        <s v="Jefferson, Oklahoma"/>
        <s v="Johnston, Oklahoma"/>
        <s v="Kay, Oklahoma"/>
        <s v="Kingfisher, Oklahoma"/>
        <s v="Kiowa, Oklahoma"/>
        <s v="Latimer, Oklahoma"/>
        <s v="Le Flore, Oklahoma"/>
        <s v="Lincoln, Oklahoma"/>
        <s v="Logan, Oklahoma"/>
        <s v="Love, Oklahoma"/>
        <s v="McClain, Oklahoma"/>
        <s v="McCurtain, Oklahoma"/>
        <s v="McIntosh, Oklahoma"/>
        <s v="Major, Oklahoma"/>
        <s v="Marshall, Oklahoma"/>
        <s v="Mayes, Oklahoma"/>
        <s v="Murray, Oklahoma"/>
        <s v="Muskogee, Oklahoma"/>
        <s v="Noble, Oklahoma"/>
        <s v="Nowata, Oklahoma"/>
        <s v="Okfuskee, Oklahoma"/>
        <s v="Oklahoma, Oklahoma"/>
        <s v="Okmulgee, Oklahoma"/>
        <s v="Osage, Oklahoma"/>
        <s v="Ottawa, Oklahoma"/>
        <s v="Pawnee, Oklahoma"/>
        <s v="Payne, Oklahoma"/>
        <s v="Pittsburg, Oklahoma"/>
        <s v="Pontotoc, Oklahoma"/>
        <s v="Pottawatomie, Oklahoma"/>
        <s v="Pushmataha, Oklahoma"/>
        <s v="Roger Mills, Oklahoma"/>
        <s v="Rogers, Oklahoma"/>
        <s v="Seminole, Oklahoma"/>
        <s v="Sequoyah, Oklahoma"/>
        <s v="Stephens, Oklahoma"/>
        <s v="Texas, Oklahoma"/>
        <s v="Tillman, Oklahoma"/>
        <s v="Tulsa, Oklahoma"/>
        <s v="Wagoner, Oklahoma"/>
        <s v="Washington, Oklahoma"/>
        <s v="Washita, Oklahoma"/>
        <s v="Woods, Oklahoma"/>
        <s v="Woodward, Oklahoma"/>
        <s v="Baker, Oregon"/>
        <s v="Benton, Oregon"/>
        <s v="Clackamas, Oregon"/>
        <s v="Clatsop, Oregon"/>
        <s v="Columbia, Oregon"/>
        <s v="Coos, Oregon"/>
        <s v="Crook, Oregon"/>
        <s v="Curry, Oregon"/>
        <s v="Deschutes, Oregon"/>
        <s v="Douglas, Oregon"/>
        <s v="Gilliam, Oregon"/>
        <s v="Grant, Oregon"/>
        <s v="Harney, Oregon"/>
        <s v="Hood River, Oregon"/>
        <s v="Jackson, Oregon"/>
        <s v="Jefferson, Oregon"/>
        <s v="Josephine, Oregon"/>
        <s v="Klamath, Oregon"/>
        <s v="Lake, Oregon"/>
        <s v="Lane, Oregon"/>
        <s v="Lincoln, Oregon"/>
        <s v="Linn, Oregon"/>
        <s v="Malheur, Oregon"/>
        <s v="Marion, Oregon"/>
        <s v="Morrow, Oregon"/>
        <s v="Multnomah, Oregon"/>
        <s v="Polk, Oregon"/>
        <s v="Sherman, Oregon"/>
        <s v="Tillamook, Oregon"/>
        <s v="Umatilla, Oregon"/>
        <s v="Union, Oregon"/>
        <s v="Wallowa, Oregon"/>
        <s v="Wasco, Oregon"/>
        <s v="Washington, Oregon"/>
        <s v="Wheeler, Oregon"/>
        <s v="Yamhill, Oregon"/>
        <s v="Adams, Pennsylvania"/>
        <s v="Allegheny, Pennsylvania"/>
        <s v="Armstrong, Pennsylvania"/>
        <s v="Beaver, Pennsylvania"/>
        <s v="Bedford, Pennsylvania"/>
        <s v="Berks, Pennsylvania"/>
        <s v="Blair, Pennsylvania"/>
        <s v="Bradford, Pennsylvania"/>
        <s v="Bucks, Pennsylvania"/>
        <s v="Butler, Pennsylvania"/>
        <s v="Cambria, Pennsylvania"/>
        <s v="Cameron, Pennsylvania"/>
        <s v="Carbon, Pennsylvania"/>
        <s v="Centre, Pennsylvania"/>
        <s v="Chester, Pennsylvania"/>
        <s v="Clarion, Pennsylvania"/>
        <s v="Clearfield, Pennsylvania"/>
        <s v="Clinton, Pennsylvania"/>
        <s v="Columbia, Pennsylvania"/>
        <s v="Crawford, Pennsylvania"/>
        <s v="Cumberland, Pennsylvania"/>
        <s v="Dauphin, Pennsylvania"/>
        <s v="Delaware, Pennsylvania"/>
        <s v="Elk, Pennsylvania"/>
        <s v="Erie, Pennsylvania"/>
        <s v="Fayette, Pennsylvania"/>
        <s v="Forest, Pennsylvania"/>
        <s v="Franklin, Pennsylvania"/>
        <s v="Fulton, Pennsylvania"/>
        <s v="Greene, Pennsylvania"/>
        <s v="Huntingdon, Pennsylvania"/>
        <s v="Indiana, Pennsylvania"/>
        <s v="Jefferson, Pennsylvania"/>
        <s v="Juniata, Pennsylvania"/>
        <s v="Lackawanna, Pennsylvania"/>
        <s v="Lancaster, Pennsylvania"/>
        <s v="Lawrence, Pennsylvania"/>
        <s v="Lebanon, Pennsylvania"/>
        <s v="Lehigh, Pennsylvania"/>
        <s v="Luzerne, Pennsylvania"/>
        <s v="Lycoming, Pennsylvania"/>
        <s v="McKean, Pennsylvania"/>
        <s v="Mercer, Pennsylvania"/>
        <s v="Mifflin, Pennsylvania"/>
        <s v="Monroe, Pennsylvania"/>
        <s v="Montgomery, Pennsylvania"/>
        <s v="Montour, Pennsylvania"/>
        <s v="Northampton, Pennsylvania"/>
        <s v="Northumberland, Pennsylvania"/>
        <s v="Perry, Pennsylvania"/>
        <s v="Philadelphia, Pennsylvania"/>
        <s v="Pike, Pennsylvania"/>
        <s v="Potter, Pennsylvania"/>
        <s v="Schuylkill, Pennsylvania"/>
        <s v="Snyder, Pennsylvania"/>
        <s v="Somerset, Pennsylvania"/>
        <s v="Sullivan, Pennsylvania"/>
        <s v="Susquehanna, Pennsylvania"/>
        <s v="Tioga, Pennsylvania"/>
        <s v="Union, Pennsylvania"/>
        <s v="Venango, Pennsylvania"/>
        <s v="Warren, Pennsylvania"/>
        <s v="Washington, Pennsylvania"/>
        <s v="Wayne, Pennsylvania"/>
        <s v="Westmoreland, Pennsylvania"/>
        <s v="Wyoming, Pennsylvania"/>
        <s v="York, Pennsylvania"/>
        <s v="Bristol, Rhode Island"/>
        <s v="Kent, Rhode Island"/>
        <s v="Newport, Rhode Island"/>
        <s v="Providence, Rhode Island"/>
        <s v="Washington, Rhode Island"/>
        <s v="Abbeville, South Carolina"/>
        <s v="Aiken, South Carolina"/>
        <s v="Allendale, South Carolina"/>
        <s v="Anderson, South Carolina"/>
        <s v="Bamberg, South Carolina"/>
        <s v="Barnwell, South Carolina"/>
        <s v="Beaufort, South Carolina"/>
        <s v="Berkeley, South Carolina"/>
        <s v="Calhoun, South Carolina"/>
        <s v="Charleston, South Carolina"/>
        <s v="Cherokee, South Carolina"/>
        <s v="Chester, South Carolina"/>
        <s v="Chesterfield, South Carolina"/>
        <s v="Clarendon, South Carolina"/>
        <s v="Colleton, South Carolina"/>
        <s v="Darlington, South Carolina"/>
        <s v="Dillon, South Carolina"/>
        <s v="Dorchester, South Carolina"/>
        <s v="Edgefield, South Carolina"/>
        <s v="Fairfield, South Carolina"/>
        <s v="Florence, South Carolina"/>
        <s v="Georgetown, South Carolina"/>
        <s v="Greenville, South Carolina"/>
        <s v="Greenwood, South Carolina"/>
        <s v="Hampton, South Carolina"/>
        <s v="Horry, South Carolina"/>
        <s v="Jasper, South Carolina"/>
        <s v="Kershaw, South Carolina"/>
        <s v="Lancaster, South Carolina"/>
        <s v="Laurens, South Carolina"/>
        <s v="Lee, South Carolina"/>
        <s v="Lexington, South Carolina"/>
        <s v="McCormick, South Carolina"/>
        <s v="Marion, South Carolina"/>
        <s v="Marlboro, South Carolina"/>
        <s v="Newberry, South Carolina"/>
        <s v="Oconee, South Carolina"/>
        <s v="Orangeburg, South Carolina"/>
        <s v="Pickens, South Carolina"/>
        <s v="Richland, South Carolina"/>
        <s v="Saluda, South Carolina"/>
        <s v="Spartanburg, South Carolina"/>
        <s v="Sumter, South Carolina"/>
        <s v="Union, South Carolina"/>
        <s v="Williamsburg, South Carolina"/>
        <s v="York, South Carolina"/>
        <s v="Aurora, South Dakota"/>
        <s v="Beadle, South Dakota"/>
        <s v="Bennett, South Dakota"/>
        <s v="Bon Homme, South Dakota"/>
        <s v="Brookings, South Dakota"/>
        <s v="Brown, South Dakota"/>
        <s v="Brule, South Dakota"/>
        <s v="Buffalo, South Dakota"/>
        <s v="Butte, South Dakota"/>
        <s v="Campbell, South Dakota"/>
        <s v="Charles Mix, South Dakota"/>
        <s v="Clark, South Dakota"/>
        <s v="Clay, South Dakota"/>
        <s v="Codington, South Dakota"/>
        <s v="Corson, South Dakota"/>
        <s v="Custer, South Dakota"/>
        <s v="Davison, South Dakota"/>
        <s v="Day, South Dakota"/>
        <s v="Deuel, South Dakota"/>
        <s v="Dewey, South Dakota"/>
        <s v="Douglas, South Dakota"/>
        <s v="Edmunds, South Dakota"/>
        <s v="Fall River, South Dakota"/>
        <s v="Faulk, South Dakota"/>
        <s v="Grant, South Dakota"/>
        <s v="Gregory, South Dakota"/>
        <s v="Haakon, South Dakota"/>
        <s v="Hamlin, South Dakota"/>
        <s v="Hand, South Dakota"/>
        <s v="Hanson, South Dakota"/>
        <s v="Harding, South Dakota"/>
        <s v="Hughes, South Dakota"/>
        <s v="Hutchinson, South Dakota"/>
        <s v="Hyde, South Dakota"/>
        <s v="Jackson, South Dakota"/>
        <s v="Jerauld, South Dakota"/>
        <s v="Jones, South Dakota"/>
        <s v="Kingsbury, South Dakota"/>
        <s v="Lake, South Dakota"/>
        <s v="Lawrence, South Dakota"/>
        <s v="Lincoln, South Dakota"/>
        <s v="Lyman, South Dakota"/>
        <s v="McCook, South Dakota"/>
        <s v="McPherson, South Dakota"/>
        <s v="Marshall, South Dakota"/>
        <s v="Meade, South Dakota"/>
        <s v="Mellette, South Dakota"/>
        <s v="Miner, South Dakota"/>
        <s v="Minnehaha, South Dakota"/>
        <s v="Moody, South Dakota"/>
        <s v="Oglala Lakota, South Dakota"/>
        <s v="Pennington, South Dakota"/>
        <s v="Perkins, South Dakota"/>
        <s v="Potter, South Dakota"/>
        <s v="Roberts, South Dakota"/>
        <s v="Sanborn, South Dakota"/>
        <s v="Spink, South Dakota"/>
        <s v="Stanley, South Dakota"/>
        <s v="Sully, South Dakota"/>
        <s v="Todd, South Dakota"/>
        <s v="Tripp, South Dakota"/>
        <s v="Turner, South Dakota"/>
        <s v="Union, South Dakota"/>
        <s v="Walworth, South Dakota"/>
        <s v="Yankton, South Dakota"/>
        <s v="Ziebach, South Dakota"/>
        <s v="Anderson, Tennessee"/>
        <s v="Bedford, Tennessee"/>
        <s v="Benton, Tennessee"/>
        <s v="Bledsoe, Tennessee"/>
        <s v="Blount, Tennessee"/>
        <s v="Bradley, Tennessee"/>
        <s v="Campbell, Tennessee"/>
        <s v="Cannon, Tennessee"/>
        <s v="Carroll, Tennessee"/>
        <s v="Carter, Tennessee"/>
        <s v="Cheatham, Tennessee"/>
        <s v="Chester, Tennessee"/>
        <s v="Claiborne, Tennessee"/>
        <s v="Clay, Tennessee"/>
        <s v="Cocke, Tennessee"/>
        <s v="Coffee, Tennessee"/>
        <s v="Crockett, Tennessee"/>
        <s v="Cumberland, Tennessee"/>
        <s v="Davidson, Tennessee"/>
        <s v="Decatur, Tennessee"/>
        <s v="DeKalb, Tennessee"/>
        <s v="Dickson, Tennessee"/>
        <s v="Dyer, Tennessee"/>
        <s v="Fayette, Tennessee"/>
        <s v="Fentress, Tennessee"/>
        <s v="Franklin, Tennessee"/>
        <s v="Gibson, Tennessee"/>
        <s v="Giles, Tennessee"/>
        <s v="Grainger, Tennessee"/>
        <s v="Greene, Tennessee"/>
        <s v="Grundy, Tennessee"/>
        <s v="Hamblen, Tennessee"/>
        <s v="Hamilton, Tennessee"/>
        <s v="Hancock, Tennessee"/>
        <s v="Hardeman, Tennessee"/>
        <s v="Hardin, Tennessee"/>
        <s v="Hawkins, Tennessee"/>
        <s v="Haywood, Tennessee"/>
        <s v="Henderson, Tennessee"/>
        <s v="Henry, Tennessee"/>
        <s v="Hickman, Tennessee"/>
        <s v="Houston, Tennessee"/>
        <s v="Humphreys, Tennessee"/>
        <s v="Jackson, Tennessee"/>
        <s v="Jefferson, Tennessee"/>
        <s v="Johnson, Tennessee"/>
        <s v="Knox, Tennessee"/>
        <s v="Lake, Tennessee"/>
        <s v="Lauderdale, Tennessee"/>
        <s v="Lawrence, Tennessee"/>
        <s v="Lewis, Tennessee"/>
        <s v="Lincoln, Tennessee"/>
        <s v="Loudon, Tennessee"/>
        <s v="McMinn, Tennessee"/>
        <s v="McNairy, Tennessee"/>
        <s v="Macon, Tennessee"/>
        <s v="Madison, Tennessee"/>
        <s v="Marion, Tennessee"/>
        <s v="Marshall, Tennessee"/>
        <s v="Maury, Tennessee"/>
        <s v="Meigs, Tennessee"/>
        <s v="Monroe, Tennessee"/>
        <s v="Montgomery, Tennessee"/>
        <s v="Moore, Tennessee"/>
        <s v="Morgan, Tennessee"/>
        <s v="Obion, Tennessee"/>
        <s v="Overton, Tennessee"/>
        <s v="Perry, Tennessee"/>
        <s v="Pickett, Tennessee"/>
        <s v="Polk, Tennessee"/>
        <s v="Putnam, Tennessee"/>
        <s v="Rhea, Tennessee"/>
        <s v="Roane, Tennessee"/>
        <s v="Robertson, Tennessee"/>
        <s v="Rutherford, Tennessee"/>
        <s v="Scott, Tennessee"/>
        <s v="Sequatchie, Tennessee"/>
        <s v="Sevier, Tennessee"/>
        <s v="Shelby, Tennessee"/>
        <s v="Smith, Tennessee"/>
        <s v="Stewart, Tennessee"/>
        <s v="Sullivan, Tennessee"/>
        <s v="Sumner, Tennessee"/>
        <s v="Tipton, Tennessee"/>
        <s v="Trousdale, Tennessee"/>
        <s v="Unicoi, Tennessee"/>
        <s v="Union, Tennessee"/>
        <s v="Van Buren, Tennessee"/>
        <s v="Warren, Tennessee"/>
        <s v="Washington, Tennessee"/>
        <s v="Wayne, Tennessee"/>
        <s v="Weakley, Tennessee"/>
        <s v="White, Tennessee"/>
        <s v="Williamson, Tennessee"/>
        <s v="Wilson, Tennessee"/>
        <s v="Anderson, Texas"/>
        <s v="Andrews, Texas"/>
        <s v="Angelina, Texas"/>
        <s v="Aransas, Texas"/>
        <s v="Archer, Texas"/>
        <s v="Armstrong, Texas"/>
        <s v="Atascosa, Texas"/>
        <s v="Austin, Texas"/>
        <s v="Bailey, Texas"/>
        <s v="Bandera, Texas"/>
        <s v="Bastrop, Texas"/>
        <s v="Baylor, Texas"/>
        <s v="Bee, Texas"/>
        <s v="Bell, Texas"/>
        <s v="Bexar, Texas"/>
        <s v="Blanco, Texas"/>
        <s v="Borden, Texas"/>
        <s v="Bosque, Texas"/>
        <s v="Bowie, Texas"/>
        <s v="Brazoria, Texas"/>
        <s v="Brazos, Texas"/>
        <s v="Brewster, Texas"/>
        <s v="Briscoe, Texas"/>
        <s v="Brooks, Texas"/>
        <s v="Brown, Texas"/>
        <s v="Burleson, Texas"/>
        <s v="Burnet, Texas"/>
        <s v="Caldwell, Texas"/>
        <s v="Calhoun, Texas"/>
        <s v="Callahan, Texas"/>
        <s v="Cameron, Texas"/>
        <s v="Camp, Texas"/>
        <s v="Carson, Texas"/>
        <s v="Cass, Texas"/>
        <s v="Castro, Texas"/>
        <s v="Chambers, Texas"/>
        <s v="Cherokee, Texas"/>
        <s v="Childress, Texas"/>
        <s v="Clay, Texas"/>
        <s v="Cochran, Texas"/>
        <s v="Coke, Texas"/>
        <s v="Coleman, Texas"/>
        <s v="Collin, Texas"/>
        <s v="Collingsworth, Texas"/>
        <s v="Colorado, Texas"/>
        <s v="Comal, Texas"/>
        <s v="Comanche, Texas"/>
        <s v="Concho, Texas"/>
        <s v="Cooke, Texas"/>
        <s v="Coryell, Texas"/>
        <s v="Cottle, Texas"/>
        <s v="Crane, Texas"/>
        <s v="Crockett, Texas"/>
        <s v="Crosby, Texas"/>
        <s v="Culberson, Texas"/>
        <s v="Dallam, Texas"/>
        <s v="Dallas, Texas"/>
        <s v="Dawson, Texas"/>
        <s v="Deaf Smith, Texas"/>
        <s v="Delta, Texas"/>
        <s v="Denton, Texas"/>
        <s v="DeWitt, Texas"/>
        <s v="Dickens, Texas"/>
        <s v="Dimmit, Texas"/>
        <s v="Donley, Texas"/>
        <s v="Duval, Texas"/>
        <s v="Eastland, Texas"/>
        <s v="Ector, Texas"/>
        <s v="Edwards, Texas"/>
        <s v="Ellis, Texas"/>
        <s v="El Paso, Texas"/>
        <s v="Erath, Texas"/>
        <s v="Falls, Texas"/>
        <s v="Fannin, Texas"/>
        <s v="Fayette, Texas"/>
        <s v="Fisher, Texas"/>
        <s v="Floyd, Texas"/>
        <s v="Foard, Texas"/>
        <s v="Fort Bend, Texas"/>
        <s v="Franklin, Texas"/>
        <s v="Freestone, Texas"/>
        <s v="Frio, Texas"/>
        <s v="Gaines, Texas"/>
        <s v="Galveston, Texas"/>
        <s v="Garza, Texas"/>
        <s v="Gillespie, Texas"/>
        <s v="Glasscock, Texas"/>
        <s v="Goliad, Texas"/>
        <s v="Gonzales, Texas"/>
        <s v="Gray, Texas"/>
        <s v="Grayson, Texas"/>
        <s v="Gregg, Texas"/>
        <s v="Grimes, Texas"/>
        <s v="Guadalupe, Texas"/>
        <s v="Hale, Texas"/>
        <s v="Hall, Texas"/>
        <s v="Hamilton, Texas"/>
        <s v="Hansford, Texas"/>
        <s v="Hardeman, Texas"/>
        <s v="Hardin, Texas"/>
        <s v="Harris, Texas"/>
        <s v="Harrison, Texas"/>
        <s v="Hartley, Texas"/>
        <s v="Haskell, Texas"/>
        <s v="Hays, Texas"/>
        <s v="Hemphill, Texas"/>
        <s v="Henderson, Texas"/>
        <s v="Hidalgo, Texas"/>
        <s v="Hill, Texas"/>
        <s v="Hockley, Texas"/>
        <s v="Hood, Texas"/>
        <s v="Hopkins, Texas"/>
        <s v="Houston, Texas"/>
        <s v="Howard, Texas"/>
        <s v="Hudspeth, Texas"/>
        <s v="Hunt, Texas"/>
        <s v="Hutchinson, Texas"/>
        <s v="Irion, Texas"/>
        <s v="Jack, Texas"/>
        <s v="Jackson, Texas"/>
        <s v="Jasper, Texas"/>
        <s v="Jeff Davis, Texas"/>
        <s v="Jefferson, Texas"/>
        <s v="Jim Hogg, Texas"/>
        <s v="Jim Wells, Texas"/>
        <s v="Johnson, Texas"/>
        <s v="Jones, Texas"/>
        <s v="Karnes, Texas"/>
        <s v="Kaufman, Texas"/>
        <s v="Kendall, Texas"/>
        <s v="Kenedy, Texas"/>
        <s v="Kent, Texas"/>
        <s v="Kerr, Texas"/>
        <s v="Kimble, Texas"/>
        <s v="King, Texas"/>
        <s v="Kinney, Texas"/>
        <s v="Kleberg, Texas"/>
        <s v="Knox, Texas"/>
        <s v="Lamar, Texas"/>
        <s v="Lamb, Texas"/>
        <s v="Lampasas, Texas"/>
        <s v="La Salle, Texas"/>
        <s v="Lavaca, Texas"/>
        <s v="Lee, Texas"/>
        <s v="Leon, Texas"/>
        <s v="Liberty, Texas"/>
        <s v="Limestone, Texas"/>
        <s v="Lipscomb, Texas"/>
        <s v="Live Oak, Texas"/>
        <s v="Llano, Texas"/>
        <s v="Loving, Texas"/>
        <s v="Lubbock, Texas"/>
        <s v="Lynn, Texas"/>
        <s v="McCulloch, Texas"/>
        <s v="McLennan, Texas"/>
        <s v="McMullen, Texas"/>
        <s v="Madison, Texas"/>
        <s v="Marion, Texas"/>
        <s v="Martin, Texas"/>
        <s v="Mason, Texas"/>
        <s v="Matagorda, Texas"/>
        <s v="Maverick, Texas"/>
        <s v="Medina, Texas"/>
        <s v="Menard, Texas"/>
        <s v="Midland, Texas"/>
        <s v="Milam, Texas"/>
        <s v="Mills, Texas"/>
        <s v="Mitchell, Texas"/>
        <s v="Montague, Texas"/>
        <s v="Montgomery, Texas"/>
        <s v="Moore, Texas"/>
        <s v="Morris, Texas"/>
        <s v="Motley, Texas"/>
        <s v="Nacogdoches, Texas"/>
        <s v="Navarro, Texas"/>
        <s v="Newton, Texas"/>
        <s v="Nolan, Texas"/>
        <s v="Nueces, Texas"/>
        <s v="Ochiltree, Texas"/>
        <s v="Oldham, Texas"/>
        <s v="Orange, Texas"/>
        <s v="Palo Pinto, Texas"/>
        <s v="Panola, Texas"/>
        <s v="Parker, Texas"/>
        <s v="Parmer, Texas"/>
        <s v="Pecos, Texas"/>
        <s v="Polk, Texas"/>
        <s v="Potter, Texas"/>
        <s v="Presidio, Texas"/>
        <s v="Rains, Texas"/>
        <s v="Randall, Texas"/>
        <s v="Reagan, Texas"/>
        <s v="Real, Texas"/>
        <s v="Red River, Texas"/>
        <s v="Reeves, Texas"/>
        <s v="Refugio, Texas"/>
        <s v="Roberts, Texas"/>
        <s v="Robertson, Texas"/>
        <s v="Rockwall, Texas"/>
        <s v="Runnels, Texas"/>
        <s v="Rusk, Texas"/>
        <s v="Sabine, Texas"/>
        <s v="San Augustine, Texas"/>
        <s v="San Jacinto, Texas"/>
        <s v="San Patricio, Texas"/>
        <s v="San Saba, Texas"/>
        <s v="Schleicher, Texas"/>
        <s v="Scurry, Texas"/>
        <s v="Shackelford, Texas"/>
        <s v="Shelby, Texas"/>
        <s v="Sherman, Texas"/>
        <s v="Smith, Texas"/>
        <s v="Somervell, Texas"/>
        <s v="Starr, Texas"/>
        <s v="Stephens, Texas"/>
        <s v="Sterling, Texas"/>
        <s v="Stonewall, Texas"/>
        <s v="Sutton, Texas"/>
        <s v="Swisher, Texas"/>
        <s v="Tarrant, Texas"/>
        <s v="Taylor, Texas"/>
        <s v="Terrell, Texas"/>
        <s v="Terry, Texas"/>
        <s v="Throckmorton, Texas"/>
        <s v="Titus, Texas"/>
        <s v="Tom Green, Texas"/>
        <s v="Travis, Texas"/>
        <s v="Trinity, Texas"/>
        <s v="Tyler, Texas"/>
        <s v="Upshur, Texas"/>
        <s v="Upton, Texas"/>
        <s v="Uvalde, Texas"/>
        <s v="Val Verde, Texas"/>
        <s v="Van Zandt, Texas"/>
        <s v="Victoria, Texas"/>
        <s v="Walker, Texas"/>
        <s v="Waller, Texas"/>
        <s v="Ward, Texas"/>
        <s v="Washington, Texas"/>
        <s v="Webb, Texas"/>
        <s v="Wharton, Texas"/>
        <s v="Wheeler, Texas"/>
        <s v="Wichita, Texas"/>
        <s v="Wilbarger, Texas"/>
        <s v="Willacy, Texas"/>
        <s v="Williamson, Texas"/>
        <s v="Wilson, Texas"/>
        <s v="Winkler, Texas"/>
        <s v="Wise, Texas"/>
        <s v="Wood, Texas"/>
        <s v="Yoakum, Texas"/>
        <s v="Young, Texas"/>
        <s v="Zapata, Texas"/>
        <s v="Zavala, Texas"/>
        <s v="Beaver, Utah"/>
        <s v="Box Elder, Utah"/>
        <s v="Cache, Utah"/>
        <s v="Carbon, Utah"/>
        <s v="Daggett, Utah"/>
        <s v="Davis, Utah"/>
        <s v="Duchesne, Utah"/>
        <s v="Emery, Utah"/>
        <s v="Garfield, Utah"/>
        <s v="Grand, Utah"/>
        <s v="Iron, Utah"/>
        <s v="Juab, Utah"/>
        <s v="Kane, Utah"/>
        <s v="Millard, Utah"/>
        <s v="Morgan, Utah"/>
        <s v="Piute, Utah"/>
        <s v="Rich, Utah"/>
        <s v="Salt Lake, Utah"/>
        <s v="San Juan, Utah"/>
        <s v="Sanpete, Utah"/>
        <s v="Sevier, Utah"/>
        <s v="Summit, Utah"/>
        <s v="Tooele, Utah"/>
        <s v="Uintah, Utah"/>
        <s v="Utah, Utah"/>
        <s v="Wasatch, Utah"/>
        <s v="Washington, Utah"/>
        <s v="Wayne, Utah"/>
        <s v="Weber, Utah"/>
        <s v="Addison, Vermont"/>
        <s v="Bennington, Vermont"/>
        <s v="Caledonia, Vermont"/>
        <s v="Chittenden, Vermont"/>
        <s v="Essex, Vermont"/>
        <s v="Franklin, Vermont"/>
        <s v="Grand Isle, Vermont"/>
        <s v="Lamoille, Vermont"/>
        <s v="Orange, Vermont"/>
        <s v="Orleans, Vermont"/>
        <s v="Rutland, Vermont"/>
        <s v="Washington, Vermont"/>
        <s v="Windham, Vermont"/>
        <s v="Windsor, Vermont"/>
        <s v="Accomack, Virginia"/>
        <s v="Albemarle, Virginia"/>
        <s v="Alleghany, Virginia"/>
        <s v="Amelia, Virginia"/>
        <s v="Amherst, Virginia"/>
        <s v="Appomattox, Virginia"/>
        <s v="Arlington, Virginia"/>
        <s v="Augusta, Virginia"/>
        <s v="Bath, Virginia"/>
        <s v="Bedford, Virginia"/>
        <s v="Bland, Virginia"/>
        <s v="Botetourt, Virginia"/>
        <s v="Brunswick, Virginia"/>
        <s v="Buchanan, Virginia"/>
        <s v="Buckingham, Virginia"/>
        <s v="Campbell, Virginia"/>
        <s v="Caroline, Virginia"/>
        <s v="Carroll, Virginia"/>
        <s v="Charles City, Virginia"/>
        <s v="Charlotte, Virginia"/>
        <s v="Chesterfield, Virginia"/>
        <s v="Clarke, Virginia"/>
        <s v="Craig, Virginia"/>
        <s v="Culpeper, Virginia"/>
        <s v="Cumberland, Virginia"/>
        <s v="Dickenson, Virginia"/>
        <s v="Dinwiddie, Virginia"/>
        <s v="Essex, Virginia"/>
        <s v="Fairfax, Virginia"/>
        <s v="Fauquier, Virginia"/>
        <s v="Floyd, Virginia"/>
        <s v="Fluvanna, Virginia"/>
        <s v="Franklin, Virginia"/>
        <s v="Frederick, Virginia"/>
        <s v="Giles, Virginia"/>
        <s v="Gloucester, Virginia"/>
        <s v="Goochland, Virginia"/>
        <s v="Grayson, Virginia"/>
        <s v="Greene, Virginia"/>
        <s v="Greensville, Virginia"/>
        <s v="Halifax, Virginia"/>
        <s v="Hanover, Virginia"/>
        <s v="Henrico, Virginia"/>
        <s v="Henry, Virginia"/>
        <s v="Highland, Virginia"/>
        <s v="Isle Of Wight, Virginia"/>
        <s v="James City, Virginia"/>
        <s v="King And Queen, Virginia"/>
        <s v="King George, Virginia"/>
        <s v="King William, Virginia"/>
        <s v="Lancaster, Virginia"/>
        <s v="Lee, Virginia"/>
        <s v="Loudoun, Virginia"/>
        <s v="Louisa, Virginia"/>
        <s v="Lunenburg, Virginia"/>
        <s v="Madison, Virginia"/>
        <s v="Mathews, Virginia"/>
        <s v="Mecklenburg, Virginia"/>
        <s v="Middlesex, Virginia"/>
        <s v="Montgomery, Virginia"/>
        <s v="Nelson, Virginia"/>
        <s v="New Kent, Virginia"/>
        <s v="Northampton, Virginia"/>
        <s v="Northumberland, Virginia"/>
        <s v="Nottoway, Virginia"/>
        <s v="Orange, Virginia"/>
        <s v="Page, Virginia"/>
        <s v="Patrick, Virginia"/>
        <s v="Pittsylvania, Virginia"/>
        <s v="Powhatan, Virginia"/>
        <s v="Prince Edward, Virginia"/>
        <s v="Prince George, Virginia"/>
        <s v="Prince William, Virginia"/>
        <s v="Pulaski, Virginia"/>
        <s v="Rappahannock, Virginia"/>
        <s v="Richmond, Virginia"/>
        <s v="Roanoke, Virginia"/>
        <s v="Rockbridge, Virginia"/>
        <s v="Rockingham, Virginia"/>
        <s v="Russell, Virginia"/>
        <s v="Scott, Virginia"/>
        <s v="Shenandoah, Virginia"/>
        <s v="Smyth, Virginia"/>
        <s v="Southampton, Virginia"/>
        <s v="Spotsylvania, Virginia"/>
        <s v="Stafford, Virginia"/>
        <s v="Surry, Virginia"/>
        <s v="Sussex, Virginia"/>
        <s v="Tazewell, Virginia"/>
        <s v="Warren, Virginia"/>
        <s v="Washington, Virginia"/>
        <s v="Westmoreland, Virginia"/>
        <s v="Wise, Virginia"/>
        <s v="Wythe, Virginia"/>
        <s v="York, Virginia"/>
        <s v="Alexandria City, Virginia"/>
        <s v="Bristol City, Virginia"/>
        <s v="Buena Vista City, Virginia"/>
        <s v="Charlottesville City, Virginia"/>
        <s v="Chesapeake City, Virginia"/>
        <s v="Colonial Heights City, Virginia"/>
        <s v="Covington City, Virginia"/>
        <s v="Danville City, Virginia"/>
        <s v="Emporia City, Virginia"/>
        <s v="Fairfax City, Virginia"/>
        <s v="Falls Church City, Virginia"/>
        <s v="Franklin City, Virginia"/>
        <s v="Fredericksburg City, Virginia"/>
        <s v="Galax City, Virginia"/>
        <s v="Hampton City, Virginia"/>
        <s v="Harrisonburg City, Virginia"/>
        <s v="Hopewell City, Virginia"/>
        <s v="Lexington City, Virginia"/>
        <s v="Lynchburg City, Virginia"/>
        <s v="Manassas City, Virginia"/>
        <s v="Manassas Park City, Virginia"/>
        <s v="Martinsville City, Virginia"/>
        <s v="Newport News City, Virginia"/>
        <s v="Norfolk City, Virginia"/>
        <s v="Norton City, Virginia"/>
        <s v="Petersburg City, Virginia"/>
        <s v="Poquoson City, Virginia"/>
        <s v="Portsmouth City, Virginia"/>
        <s v="Radford City, Virginia"/>
        <s v="Richmond City, Virginia"/>
        <s v="Roanoke City, Virginia"/>
        <s v="Salem City, Virginia"/>
        <s v="Staunton City, Virginia"/>
        <s v="Suffolk City, Virginia"/>
        <s v="Virginia Beach City, Virginia"/>
        <s v="Waynesboro City, Virginia"/>
        <s v="Williamsburg City, Virginia"/>
        <s v="Winchester City, Virginia"/>
        <s v="Adams, Washington"/>
        <s v="Asotin, Washington"/>
        <s v="Benton, Washington"/>
        <s v="Chelan, Washington"/>
        <s v="Clallam, Washington"/>
        <s v="Clark, Washington"/>
        <s v="Columbia, Washington"/>
        <s v="Cowlitz, Washington"/>
        <s v="Douglas, Washington"/>
        <s v="Ferry, Washington"/>
        <s v="Franklin, Washington"/>
        <s v="Garfield, Washington"/>
        <s v="Grant, Washington"/>
        <s v="Grays Harbor, Washington"/>
        <s v="Island, Washington"/>
        <s v="Jefferson, Washington"/>
        <s v="King, Washington"/>
        <s v="Kitsap, Washington"/>
        <s v="Kittitas, Washington"/>
        <s v="Klickitat, Washington"/>
        <s v="Lewis, Washington"/>
        <s v="Lincoln, Washington"/>
        <s v="Mason, Washington"/>
        <s v="Okanogan, Washington"/>
        <s v="Pacific, Washington"/>
        <s v="Pend Oreille, Washington"/>
        <s v="Pierce, Washington"/>
        <s v="San Juan, Washington"/>
        <s v="Skagit, Washington"/>
        <s v="Skamania, Washington"/>
        <s v="Snohomish, Washington"/>
        <s v="Spokane, Washington"/>
        <s v="Stevens, Washington"/>
        <s v="Thurston, Washington"/>
        <s v="Wahkiakum, Washington"/>
        <s v="Walla Walla, Washington"/>
        <s v="Whatcom, Washington"/>
        <s v="Whitman, Washington"/>
        <s v="Yakima, Washington"/>
        <s v="Barbour, West Virginia"/>
        <s v="Berkeley, West Virginia"/>
        <s v="Boone, West Virginia"/>
        <s v="Braxton, West Virginia"/>
        <s v="Brooke, West Virginia"/>
        <s v="Cabell, West Virginia"/>
        <s v="Calhoun, West Virginia"/>
        <s v="Clay, West Virginia"/>
        <s v="Doddridge, West Virginia"/>
        <s v="Fayette, West Virginia"/>
        <s v="Gilmer, West Virginia"/>
        <s v="Grant, West Virginia"/>
        <s v="Greenbrier, West Virginia"/>
        <s v="Hampshire, West Virginia"/>
        <s v="Hancock, West Virginia"/>
        <s v="Hardy, West Virginia"/>
        <s v="Harrison, West Virginia"/>
        <s v="Jackson, West Virginia"/>
        <s v="Jefferson, West Virginia"/>
        <s v="Kanawha, West Virginia"/>
        <s v="Lewis, West Virginia"/>
        <s v="Lincoln, West Virginia"/>
        <s v="Logan, West Virginia"/>
        <s v="McDowell, West Virginia"/>
        <s v="Marion, West Virginia"/>
        <s v="Marshall, West Virginia"/>
        <s v="Mason, West Virginia"/>
        <s v="Mercer, West Virginia"/>
        <s v="Mineral, West Virginia"/>
        <s v="Mingo, West Virginia"/>
        <s v="Monongalia, West Virginia"/>
        <s v="Monroe, West Virginia"/>
        <s v="Morgan, West Virginia"/>
        <s v="Nicholas, West Virginia"/>
        <s v="Ohio, West Virginia"/>
        <s v="Pendleton, West Virginia"/>
        <s v="Pleasants, West Virginia"/>
        <s v="Pocahontas, West Virginia"/>
        <s v="Preston, West Virginia"/>
        <s v="Putnam, West Virginia"/>
        <s v="Raleigh, West Virginia"/>
        <s v="Randolph, West Virginia"/>
        <s v="Ritchie, West Virginia"/>
        <s v="Roane, West Virginia"/>
        <s v="Summers, West Virginia"/>
        <s v="Taylor, West Virginia"/>
        <s v="Tucker, West Virginia"/>
        <s v="Tyler, West Virginia"/>
        <s v="Upshur, West Virginia"/>
        <s v="Wayne, West Virginia"/>
        <s v="Webster, West Virginia"/>
        <s v="Wetzel, West Virginia"/>
        <s v="Wirt, West Virginia"/>
        <s v="Wood, West Virginia"/>
        <s v="Wyoming, West Virginia"/>
        <s v="Adams, Wisconsin"/>
        <s v="Ashland, Wisconsin"/>
        <s v="Barron, Wisconsin"/>
        <s v="Bayfield, Wisconsin"/>
        <s v="Brown, Wisconsin"/>
        <s v="Buffalo, Wisconsin"/>
        <s v="Burnett, Wisconsin"/>
        <s v="Calumet, Wisconsin"/>
        <s v="Chippewa, Wisconsin"/>
        <s v="Clark, Wisconsin"/>
        <s v="Columbia, Wisconsin"/>
        <s v="Crawford, Wisconsin"/>
        <s v="Dane, Wisconsin"/>
        <s v="Dodge, Wisconsin"/>
        <s v="Door, Wisconsin"/>
        <s v="Douglas, Wisconsin"/>
        <s v="Dunn, Wisconsin"/>
        <s v="Eau Claire, Wisconsin"/>
        <s v="Florence, Wisconsin"/>
        <s v="Fond Du Lac, Wisconsin"/>
        <s v="Forest, Wisconsin"/>
        <s v="Grant, Wisconsin"/>
        <s v="Green, Wisconsin"/>
        <s v="Green Lake, Wisconsin"/>
        <s v="Iowa, Wisconsin"/>
        <s v="Iron, Wisconsin"/>
        <s v="Jackson, Wisconsin"/>
        <s v="Jefferson, Wisconsin"/>
        <s v="Juneau, Wisconsin"/>
        <s v="Kenosha, Wisconsin"/>
        <s v="Kewaunee, Wisconsin"/>
        <s v="La Crosse, Wisconsin"/>
        <s v="Lafayette, Wisconsin"/>
        <s v="Langlade, Wisconsin"/>
        <s v="Lincoln, Wisconsin"/>
        <s v="Manitowoc, Wisconsin"/>
        <s v="Marathon, Wisconsin"/>
        <s v="Marinette, Wisconsin"/>
        <s v="Marquette, Wisconsin"/>
        <s v="Menominee, Wisconsin"/>
        <s v="Milwaukee, Wisconsin"/>
        <s v="Monroe, Wisconsin"/>
        <s v="Oconto, Wisconsin"/>
        <s v="Oneida, Wisconsin"/>
        <s v="Outagamie, Wisconsin"/>
        <s v="Ozaukee, Wisconsin"/>
        <s v="Pepin, Wisconsin"/>
        <s v="Pierce, Wisconsin"/>
        <s v="Polk, Wisconsin"/>
        <s v="Portage, Wisconsin"/>
        <s v="Price, Wisconsin"/>
        <s v="Racine, Wisconsin"/>
        <s v="Richland, Wisconsin"/>
        <s v="Rock, Wisconsin"/>
        <s v="Rusk, Wisconsin"/>
        <s v="St. Croix, Wisconsin"/>
        <s v="Sauk, Wisconsin"/>
        <s v="Sawyer, Wisconsin"/>
        <s v="Shawano, Wisconsin"/>
        <s v="Sheboygan, Wisconsin"/>
        <s v="Taylor, Wisconsin"/>
        <s v="Trempealeau, Wisconsin"/>
        <s v="Vernon, Wisconsin"/>
        <s v="Vilas, Wisconsin"/>
        <s v="Walworth, Wisconsin"/>
        <s v="Washburn, Wisconsin"/>
        <s v="Washington, Wisconsin"/>
        <s v="Waukesha, Wisconsin"/>
        <s v="Waupaca, Wisconsin"/>
        <s v="Waushara, Wisconsin"/>
        <s v="Winnebago, Wisconsin"/>
        <s v="Wood, Wisconsin"/>
        <s v="Albany, Wyoming"/>
        <s v="Big Horn, Wyoming"/>
        <s v="Campbell, Wyoming"/>
        <s v="Carbon, Wyoming"/>
        <s v="Converse, Wyoming"/>
        <s v="Crook, Wyoming"/>
        <s v="Fremont, Wyoming"/>
        <s v="Goshen, Wyoming"/>
        <s v="Hot Springs, Wyoming"/>
        <s v="Johnson, Wyoming"/>
        <s v="Laramie, Wyoming"/>
        <s v="Lincoln, Wyoming"/>
        <s v="Natrona, Wyoming"/>
        <s v="Niobrara, Wyoming"/>
        <s v="Park, Wyoming"/>
        <s v="Platte, Wyoming"/>
        <s v="Sheridan, Wyoming"/>
        <s v="Sublette, Wyoming"/>
        <s v="Sweetwater, Wyoming"/>
        <s v="Teton, Wyoming"/>
        <s v="Uinta, Wyoming"/>
        <s v="Washakie, Wyoming"/>
        <s v="Weston, Wyoming"/>
        <s v="Puerto Rico all counties, Puerto Rico"/>
        <s v="US Territories (excluding Puerto Rico), US Territories (excluding Puerto Rico)"/>
        <s v="Other Foreign Countries, Other Foreign Countries"/>
        <s v="Unknown, Unknown"/>
      </sharedItems>
    </cacheField>
    <cacheField name="Real County?" numFmtId="3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8">
  <r>
    <n v="1001"/>
    <x v="0"/>
    <s v="Autauga"/>
    <n v="2949"/>
    <n v="420"/>
    <n v="250"/>
    <n v="346"/>
    <n v="924"/>
    <n v="1009"/>
    <n v="763"/>
    <n v="1278"/>
    <n v="908"/>
    <n v="2382"/>
    <n v="567"/>
    <x v="0"/>
    <x v="0"/>
  </r>
  <r>
    <n v="1003"/>
    <x v="0"/>
    <s v="Baldwin"/>
    <n v="7650"/>
    <n v="1590"/>
    <n v="780"/>
    <n v="909"/>
    <n v="2249"/>
    <n v="2122"/>
    <n v="1698"/>
    <n v="2591"/>
    <n v="3360"/>
    <n v="6905"/>
    <n v="745"/>
    <x v="1"/>
    <x v="0"/>
  </r>
  <r>
    <n v="1005"/>
    <x v="0"/>
    <s v="Barbour"/>
    <n v="646"/>
    <n v="102"/>
    <n v="48"/>
    <n v="75"/>
    <n v="207"/>
    <n v="214"/>
    <n v="108"/>
    <n v="240"/>
    <n v="298"/>
    <n v="564"/>
    <n v="82"/>
    <x v="2"/>
    <x v="0"/>
  </r>
  <r>
    <n v="1007"/>
    <x v="0"/>
    <s v="Bibb"/>
    <n v="324"/>
    <n v="52"/>
    <n v="37"/>
    <n v="37"/>
    <n v="115"/>
    <n v="83"/>
    <n v="70"/>
    <n v="118"/>
    <n v="136"/>
    <n v="298"/>
    <n v="26"/>
    <x v="3"/>
    <x v="0"/>
  </r>
  <r>
    <n v="1009"/>
    <x v="0"/>
    <s v="Blount"/>
    <n v="1088"/>
    <n v="182"/>
    <n v="132"/>
    <n v="146"/>
    <n v="342"/>
    <n v="286"/>
    <n v="288"/>
    <n v="326"/>
    <n v="474"/>
    <n v="1011"/>
    <n v="77"/>
    <x v="4"/>
    <x v="0"/>
  </r>
  <r>
    <n v="1011"/>
    <x v="0"/>
    <s v="Bullock"/>
    <n v="223"/>
    <n v="36"/>
    <n v="21"/>
    <n v="32"/>
    <n v="58"/>
    <n v="76"/>
    <n v="51"/>
    <n v="73"/>
    <n v="99"/>
    <n v="190"/>
    <n v="33"/>
    <x v="5"/>
    <x v="0"/>
  </r>
  <r>
    <n v="1013"/>
    <x v="0"/>
    <s v="Butler"/>
    <n v="501"/>
    <n v="89"/>
    <n v="45"/>
    <n v="52"/>
    <n v="141"/>
    <n v="174"/>
    <n v="86"/>
    <n v="193"/>
    <n v="222"/>
    <n v="440"/>
    <n v="61"/>
    <x v="6"/>
    <x v="0"/>
  </r>
  <r>
    <n v="1015"/>
    <x v="0"/>
    <s v="Calhoun"/>
    <n v="3669"/>
    <n v="604"/>
    <n v="361"/>
    <n v="400"/>
    <n v="1174"/>
    <n v="1130"/>
    <n v="660"/>
    <n v="1221"/>
    <n v="1788"/>
    <n v="3211"/>
    <n v="457"/>
    <x v="7"/>
    <x v="0"/>
  </r>
  <r>
    <n v="1017"/>
    <x v="0"/>
    <s v="Chambers"/>
    <n v="811"/>
    <n v="149"/>
    <n v="71"/>
    <n v="78"/>
    <n v="271"/>
    <n v="242"/>
    <n v="162"/>
    <n v="267"/>
    <n v="382"/>
    <n v="742"/>
    <n v="69"/>
    <x v="8"/>
    <x v="0"/>
  </r>
  <r>
    <n v="1019"/>
    <x v="0"/>
    <s v="Cherokee"/>
    <n v="576"/>
    <n v="119"/>
    <n v="61"/>
    <n v="66"/>
    <n v="174"/>
    <n v="156"/>
    <n v="98"/>
    <n v="171"/>
    <n v="307"/>
    <n v="524"/>
    <n v="52"/>
    <x v="9"/>
    <x v="0"/>
  </r>
  <r>
    <n v="1021"/>
    <x v="0"/>
    <s v="Chilton"/>
    <n v="925"/>
    <n v="162"/>
    <n v="76"/>
    <n v="104"/>
    <n v="285"/>
    <n v="298"/>
    <n v="234"/>
    <n v="310"/>
    <n v="381"/>
    <n v="826"/>
    <n v="99"/>
    <x v="10"/>
    <x v="0"/>
  </r>
  <r>
    <n v="1023"/>
    <x v="0"/>
    <s v="Choctaw"/>
    <n v="284"/>
    <n v="48"/>
    <n v="31"/>
    <n v="32"/>
    <n v="87"/>
    <n v="86"/>
    <n v="47"/>
    <n v="110"/>
    <n v="127"/>
    <n v="240"/>
    <n v="44"/>
    <x v="11"/>
    <x v="0"/>
  </r>
  <r>
    <n v="1025"/>
    <x v="0"/>
    <s v="Clarke"/>
    <n v="557"/>
    <n v="116"/>
    <n v="55"/>
    <n v="53"/>
    <n v="180"/>
    <n v="153"/>
    <n v="80"/>
    <n v="228"/>
    <n v="249"/>
    <n v="489"/>
    <n v="68"/>
    <x v="12"/>
    <x v="0"/>
  </r>
  <r>
    <n v="1027"/>
    <x v="0"/>
    <s v="Clay"/>
    <n v="303"/>
    <n v="48"/>
    <n v="27"/>
    <n v="40"/>
    <n v="105"/>
    <n v="83"/>
    <n v="61"/>
    <n v="103"/>
    <n v="139"/>
    <n v="287"/>
    <n v="16"/>
    <x v="13"/>
    <x v="0"/>
  </r>
  <r>
    <n v="1029"/>
    <x v="0"/>
    <s v="Cleburne"/>
    <n v="246"/>
    <n v="44"/>
    <n v="19"/>
    <n v="35"/>
    <n v="74"/>
    <n v="74"/>
    <n v="44"/>
    <n v="74"/>
    <n v="128"/>
    <n v="228"/>
    <n v="18"/>
    <x v="14"/>
    <x v="0"/>
  </r>
  <r>
    <n v="1031"/>
    <x v="0"/>
    <s v="Coffee"/>
    <n v="4257"/>
    <n v="495"/>
    <n v="344"/>
    <n v="415"/>
    <n v="1221"/>
    <n v="1782"/>
    <n v="1052"/>
    <n v="1930"/>
    <n v="1275"/>
    <n v="3623"/>
    <n v="634"/>
    <x v="15"/>
    <x v="0"/>
  </r>
  <r>
    <n v="1033"/>
    <x v="0"/>
    <s v="Colbert"/>
    <n v="1357"/>
    <n v="241"/>
    <n v="139"/>
    <n v="152"/>
    <n v="436"/>
    <n v="389"/>
    <n v="269"/>
    <n v="438"/>
    <n v="650"/>
    <n v="1244"/>
    <n v="112"/>
    <x v="16"/>
    <x v="0"/>
  </r>
  <r>
    <n v="1035"/>
    <x v="0"/>
    <s v="Conecuh"/>
    <n v="376"/>
    <n v="65"/>
    <n v="24"/>
    <n v="38"/>
    <n v="134"/>
    <n v="115"/>
    <n v="68"/>
    <n v="139"/>
    <n v="169"/>
    <n v="330"/>
    <n v="46"/>
    <x v="17"/>
    <x v="0"/>
  </r>
  <r>
    <n v="1037"/>
    <x v="0"/>
    <s v="Coosa"/>
    <n v="332"/>
    <n v="54"/>
    <n v="32"/>
    <n v="47"/>
    <n v="94"/>
    <n v="105"/>
    <n v="66"/>
    <n v="103"/>
    <n v="163"/>
    <n v="287"/>
    <n v="45"/>
    <x v="18"/>
    <x v="0"/>
  </r>
  <r>
    <n v="1039"/>
    <x v="0"/>
    <s v="Covington"/>
    <n v="1097"/>
    <n v="222"/>
    <n v="109"/>
    <n v="144"/>
    <n v="348"/>
    <n v="274"/>
    <n v="230"/>
    <n v="329"/>
    <n v="538"/>
    <n v="979"/>
    <n v="118"/>
    <x v="19"/>
    <x v="0"/>
  </r>
  <r>
    <n v="1041"/>
    <x v="0"/>
    <s v="Crenshaw"/>
    <n v="361"/>
    <n v="66"/>
    <n v="33"/>
    <n v="56"/>
    <n v="96"/>
    <n v="110"/>
    <n v="66"/>
    <n v="134"/>
    <n v="161"/>
    <n v="321"/>
    <n v="40"/>
    <x v="20"/>
    <x v="0"/>
  </r>
  <r>
    <n v="1043"/>
    <x v="0"/>
    <s v="Cullman"/>
    <n v="1828"/>
    <n v="312"/>
    <n v="215"/>
    <n v="194"/>
    <n v="557"/>
    <n v="550"/>
    <n v="538"/>
    <n v="592"/>
    <n v="698"/>
    <n v="1657"/>
    <n v="171"/>
    <x v="21"/>
    <x v="0"/>
  </r>
  <r>
    <n v="1045"/>
    <x v="0"/>
    <s v="Dale"/>
    <n v="2975"/>
    <n v="433"/>
    <n v="285"/>
    <n v="338"/>
    <n v="879"/>
    <n v="1040"/>
    <n v="645"/>
    <n v="1130"/>
    <n v="1200"/>
    <n v="2507"/>
    <n v="468"/>
    <x v="22"/>
    <x v="0"/>
  </r>
  <r>
    <n v="1047"/>
    <x v="0"/>
    <s v="Dallas"/>
    <n v="881"/>
    <n v="159"/>
    <n v="86"/>
    <n v="98"/>
    <n v="272"/>
    <n v="266"/>
    <n v="150"/>
    <n v="318"/>
    <n v="413"/>
    <n v="724"/>
    <n v="157"/>
    <x v="23"/>
    <x v="0"/>
  </r>
  <r>
    <n v="1049"/>
    <x v="0"/>
    <s v="DeKalb"/>
    <n v="1092"/>
    <n v="196"/>
    <n v="125"/>
    <n v="124"/>
    <n v="352"/>
    <n v="295"/>
    <n v="282"/>
    <n v="328"/>
    <n v="482"/>
    <n v="992"/>
    <n v="100"/>
    <x v="24"/>
    <x v="0"/>
  </r>
  <r>
    <n v="1051"/>
    <x v="0"/>
    <s v="Elmore"/>
    <n v="3795"/>
    <n v="535"/>
    <n v="352"/>
    <n v="456"/>
    <n v="1138"/>
    <n v="1314"/>
    <n v="859"/>
    <n v="1614"/>
    <n v="1322"/>
    <n v="3162"/>
    <n v="633"/>
    <x v="25"/>
    <x v="0"/>
  </r>
  <r>
    <n v="1053"/>
    <x v="0"/>
    <s v="Escambia"/>
    <n v="843"/>
    <n v="169"/>
    <n v="99"/>
    <n v="103"/>
    <n v="249"/>
    <n v="223"/>
    <n v="141"/>
    <n v="297"/>
    <n v="405"/>
    <n v="744"/>
    <n v="99"/>
    <x v="26"/>
    <x v="0"/>
  </r>
  <r>
    <n v="1055"/>
    <x v="0"/>
    <s v="Etowah"/>
    <n v="2401"/>
    <n v="460"/>
    <n v="250"/>
    <n v="287"/>
    <n v="780"/>
    <n v="624"/>
    <n v="503"/>
    <n v="752"/>
    <n v="1146"/>
    <n v="2188"/>
    <n v="211"/>
    <x v="27"/>
    <x v="0"/>
  </r>
  <r>
    <n v="1057"/>
    <x v="0"/>
    <s v="Fayette"/>
    <n v="362"/>
    <n v="48"/>
    <n v="40"/>
    <n v="43"/>
    <n v="121"/>
    <n v="110"/>
    <n v="93"/>
    <n v="127"/>
    <n v="142"/>
    <n v="327"/>
    <n v="35"/>
    <x v="28"/>
    <x v="0"/>
  </r>
  <r>
    <n v="1059"/>
    <x v="0"/>
    <s v="Franklin"/>
    <n v="391"/>
    <n v="56"/>
    <n v="50"/>
    <n v="49"/>
    <n v="123"/>
    <n v="113"/>
    <n v="102"/>
    <n v="124"/>
    <n v="165"/>
    <n v="357"/>
    <n v="33"/>
    <x v="29"/>
    <x v="0"/>
  </r>
  <r>
    <n v="1061"/>
    <x v="0"/>
    <s v="Geneva"/>
    <n v="1063"/>
    <n v="179"/>
    <n v="97"/>
    <n v="116"/>
    <n v="343"/>
    <n v="328"/>
    <n v="209"/>
    <n v="410"/>
    <n v="444"/>
    <n v="954"/>
    <n v="108"/>
    <x v="30"/>
    <x v="0"/>
  </r>
  <r>
    <n v="1063"/>
    <x v="0"/>
    <s v="Greene"/>
    <n v="166"/>
    <n v="21"/>
    <n v="13"/>
    <n v="14"/>
    <n v="64"/>
    <n v="54"/>
    <n v="18"/>
    <n v="53"/>
    <n v="95"/>
    <n v="138"/>
    <n v="28"/>
    <x v="31"/>
    <x v="0"/>
  </r>
  <r>
    <n v="1065"/>
    <x v="0"/>
    <s v="Hale"/>
    <n v="299"/>
    <n v="38"/>
    <n v="30"/>
    <n v="38"/>
    <n v="83"/>
    <n v="110"/>
    <n v="50"/>
    <n v="113"/>
    <n v="136"/>
    <n v="258"/>
    <n v="41"/>
    <x v="32"/>
    <x v="0"/>
  </r>
  <r>
    <n v="1067"/>
    <x v="0"/>
    <s v="Henry"/>
    <n v="598"/>
    <n v="87"/>
    <n v="64"/>
    <n v="57"/>
    <n v="173"/>
    <n v="217"/>
    <n v="129"/>
    <n v="241"/>
    <n v="228"/>
    <n v="541"/>
    <n v="57"/>
    <x v="33"/>
    <x v="0"/>
  </r>
  <r>
    <n v="1069"/>
    <x v="0"/>
    <s v="Houston"/>
    <n v="3679"/>
    <n v="530"/>
    <n v="323"/>
    <n v="385"/>
    <n v="1086"/>
    <n v="1355"/>
    <n v="895"/>
    <n v="1416"/>
    <n v="1368"/>
    <n v="3229"/>
    <n v="450"/>
    <x v="34"/>
    <x v="0"/>
  </r>
  <r>
    <n v="1071"/>
    <x v="0"/>
    <s v="Jackson"/>
    <n v="989"/>
    <n v="168"/>
    <n v="104"/>
    <n v="119"/>
    <n v="294"/>
    <n v="304"/>
    <n v="229"/>
    <n v="315"/>
    <n v="445"/>
    <n v="905"/>
    <n v="84"/>
    <x v="35"/>
    <x v="0"/>
  </r>
  <r>
    <n v="1073"/>
    <x v="0"/>
    <s v="Jefferson"/>
    <n v="11464"/>
    <n v="1966"/>
    <n v="1169"/>
    <n v="1352"/>
    <n v="3466"/>
    <n v="3511"/>
    <n v="2490"/>
    <n v="4007"/>
    <n v="4967"/>
    <n v="9711"/>
    <n v="1751"/>
    <x v="36"/>
    <x v="0"/>
  </r>
  <r>
    <n v="1075"/>
    <x v="0"/>
    <s v="Lamar"/>
    <n v="267"/>
    <n v="34"/>
    <n v="34"/>
    <n v="42"/>
    <n v="83"/>
    <n v="74"/>
    <n v="49"/>
    <n v="91"/>
    <n v="127"/>
    <n v="253"/>
    <n v="14"/>
    <x v="37"/>
    <x v="0"/>
  </r>
  <r>
    <n v="1077"/>
    <x v="0"/>
    <s v="Lauderdale"/>
    <n v="2074"/>
    <n v="394"/>
    <n v="223"/>
    <n v="225"/>
    <n v="628"/>
    <n v="604"/>
    <n v="472"/>
    <n v="620"/>
    <n v="982"/>
    <n v="1886"/>
    <n v="188"/>
    <x v="38"/>
    <x v="0"/>
  </r>
  <r>
    <n v="1079"/>
    <x v="0"/>
    <s v="Lawrence"/>
    <n v="540"/>
    <n v="100"/>
    <n v="56"/>
    <n v="56"/>
    <n v="177"/>
    <n v="151"/>
    <n v="118"/>
    <n v="179"/>
    <n v="243"/>
    <n v="505"/>
    <n v="35"/>
    <x v="39"/>
    <x v="0"/>
  </r>
  <r>
    <n v="1081"/>
    <x v="0"/>
    <s v="Lee"/>
    <n v="5822"/>
    <n v="687"/>
    <n v="388"/>
    <n v="530"/>
    <n v="1638"/>
    <n v="2579"/>
    <n v="1672"/>
    <n v="2490"/>
    <n v="1660"/>
    <n v="4955"/>
    <n v="866"/>
    <x v="40"/>
    <x v="0"/>
  </r>
  <r>
    <n v="1083"/>
    <x v="0"/>
    <s v="Limestone"/>
    <n v="4576"/>
    <n v="595"/>
    <n v="398"/>
    <n v="453"/>
    <n v="1304"/>
    <n v="1826"/>
    <n v="1254"/>
    <n v="2094"/>
    <n v="1228"/>
    <n v="3898"/>
    <n v="678"/>
    <x v="41"/>
    <x v="0"/>
  </r>
  <r>
    <n v="1085"/>
    <x v="0"/>
    <s v="Lowndes"/>
    <n v="329"/>
    <n v="40"/>
    <n v="25"/>
    <n v="35"/>
    <n v="104"/>
    <n v="125"/>
    <n v="78"/>
    <n v="123"/>
    <n v="127"/>
    <n v="264"/>
    <n v="64"/>
    <x v="42"/>
    <x v="0"/>
  </r>
  <r>
    <n v="1087"/>
    <x v="0"/>
    <s v="Macon"/>
    <n v="612"/>
    <n v="75"/>
    <n v="57"/>
    <n v="53"/>
    <n v="194"/>
    <n v="233"/>
    <n v="92"/>
    <n v="202"/>
    <n v="318"/>
    <n v="541"/>
    <n v="71"/>
    <x v="43"/>
    <x v="0"/>
  </r>
  <r>
    <n v="1089"/>
    <x v="0"/>
    <s v="Madison"/>
    <n v="18829"/>
    <n v="2569"/>
    <n v="1738"/>
    <n v="2058"/>
    <n v="5225"/>
    <n v="7239"/>
    <n v="5031"/>
    <n v="8374"/>
    <n v="5424"/>
    <n v="15799"/>
    <n v="3029"/>
    <x v="44"/>
    <x v="0"/>
  </r>
  <r>
    <n v="1091"/>
    <x v="0"/>
    <s v="Marengo"/>
    <n v="454"/>
    <n v="70"/>
    <n v="36"/>
    <n v="45"/>
    <n v="158"/>
    <n v="145"/>
    <n v="88"/>
    <n v="178"/>
    <n v="188"/>
    <n v="380"/>
    <n v="74"/>
    <x v="45"/>
    <x v="0"/>
  </r>
  <r>
    <n v="1093"/>
    <x v="0"/>
    <s v="Marion"/>
    <n v="529"/>
    <n v="75"/>
    <n v="53"/>
    <n v="65"/>
    <n v="176"/>
    <n v="160"/>
    <n v="120"/>
    <n v="184"/>
    <n v="225"/>
    <n v="495"/>
    <n v="34"/>
    <x v="46"/>
    <x v="0"/>
  </r>
  <r>
    <n v="1095"/>
    <x v="0"/>
    <s v="Marshall"/>
    <n v="2185"/>
    <n v="356"/>
    <n v="226"/>
    <n v="274"/>
    <n v="663"/>
    <n v="666"/>
    <n v="523"/>
    <n v="735"/>
    <n v="927"/>
    <n v="1989"/>
    <n v="196"/>
    <x v="47"/>
    <x v="0"/>
  </r>
  <r>
    <n v="1097"/>
    <x v="0"/>
    <s v="Mobile"/>
    <n v="10124"/>
    <n v="2207"/>
    <n v="1068"/>
    <n v="1296"/>
    <n v="2922"/>
    <n v="2631"/>
    <n v="2172"/>
    <n v="3589"/>
    <n v="4363"/>
    <n v="8848"/>
    <n v="1273"/>
    <x v="48"/>
    <x v="0"/>
  </r>
  <r>
    <n v="1099"/>
    <x v="0"/>
    <s v="Monroe"/>
    <n v="507"/>
    <n v="94"/>
    <n v="50"/>
    <n v="62"/>
    <n v="155"/>
    <n v="146"/>
    <n v="110"/>
    <n v="183"/>
    <n v="214"/>
    <n v="441"/>
    <n v="66"/>
    <x v="49"/>
    <x v="0"/>
  </r>
  <r>
    <n v="1101"/>
    <x v="0"/>
    <s v="Montgomery"/>
    <n v="8643"/>
    <n v="1247"/>
    <n v="803"/>
    <n v="873"/>
    <n v="2594"/>
    <n v="3126"/>
    <n v="1862"/>
    <n v="3399"/>
    <n v="3382"/>
    <n v="6616"/>
    <n v="2027"/>
    <x v="50"/>
    <x v="0"/>
  </r>
  <r>
    <n v="1103"/>
    <x v="0"/>
    <s v="Morgan"/>
    <n v="2612"/>
    <n v="460"/>
    <n v="303"/>
    <n v="334"/>
    <n v="781"/>
    <n v="734"/>
    <n v="705"/>
    <n v="908"/>
    <n v="999"/>
    <n v="2337"/>
    <n v="275"/>
    <x v="51"/>
    <x v="0"/>
  </r>
  <r>
    <n v="1105"/>
    <x v="0"/>
    <s v="Perry"/>
    <n v="213"/>
    <n v="33"/>
    <n v="14"/>
    <n v="19"/>
    <n v="63"/>
    <n v="84"/>
    <n v="31"/>
    <n v="92"/>
    <n v="90"/>
    <n v="190"/>
    <n v="23"/>
    <x v="52"/>
    <x v="0"/>
  </r>
  <r>
    <n v="1107"/>
    <x v="0"/>
    <s v="Pickens"/>
    <n v="409"/>
    <n v="53"/>
    <n v="30"/>
    <n v="44"/>
    <n v="144"/>
    <n v="138"/>
    <n v="81"/>
    <n v="155"/>
    <n v="173"/>
    <n v="360"/>
    <n v="49"/>
    <x v="53"/>
    <x v="0"/>
  </r>
  <r>
    <n v="1109"/>
    <x v="0"/>
    <s v="Pike"/>
    <n v="838"/>
    <n v="128"/>
    <n v="78"/>
    <n v="113"/>
    <n v="278"/>
    <n v="241"/>
    <n v="163"/>
    <n v="332"/>
    <n v="343"/>
    <n v="727"/>
    <n v="111"/>
    <x v="54"/>
    <x v="0"/>
  </r>
  <r>
    <n v="1111"/>
    <x v="0"/>
    <s v="Randolph"/>
    <n v="507"/>
    <n v="107"/>
    <n v="56"/>
    <n v="61"/>
    <n v="143"/>
    <n v="140"/>
    <n v="87"/>
    <n v="153"/>
    <n v="267"/>
    <n v="456"/>
    <n v="51"/>
    <x v="55"/>
    <x v="0"/>
  </r>
  <r>
    <n v="1113"/>
    <x v="0"/>
    <s v="Russell"/>
    <n v="4239"/>
    <n v="350"/>
    <n v="234"/>
    <n v="302"/>
    <n v="1176"/>
    <n v="2177"/>
    <n v="1271"/>
    <n v="1944"/>
    <n v="1024"/>
    <n v="3321"/>
    <n v="918"/>
    <x v="56"/>
    <x v="0"/>
  </r>
  <r>
    <n v="1115"/>
    <x v="0"/>
    <s v="St. Clair"/>
    <n v="2139"/>
    <n v="415"/>
    <n v="219"/>
    <n v="253"/>
    <n v="613"/>
    <n v="639"/>
    <n v="550"/>
    <n v="712"/>
    <n v="877"/>
    <n v="1902"/>
    <n v="237"/>
    <x v="57"/>
    <x v="0"/>
  </r>
  <r>
    <n v="1117"/>
    <x v="0"/>
    <s v="Shelby"/>
    <n v="4390"/>
    <n v="855"/>
    <n v="410"/>
    <n v="502"/>
    <n v="1234"/>
    <n v="1389"/>
    <n v="1180"/>
    <n v="1669"/>
    <n v="1541"/>
    <n v="3824"/>
    <n v="565"/>
    <x v="58"/>
    <x v="0"/>
  </r>
  <r>
    <n v="1119"/>
    <x v="0"/>
    <s v="Sumter"/>
    <n v="208"/>
    <n v="23"/>
    <n v="24"/>
    <n v="23"/>
    <n v="77"/>
    <n v="61"/>
    <n v="29"/>
    <n v="86"/>
    <n v="93"/>
    <n v="178"/>
    <n v="30"/>
    <x v="59"/>
    <x v="0"/>
  </r>
  <r>
    <n v="1121"/>
    <x v="0"/>
    <s v="Talladega"/>
    <n v="1949"/>
    <n v="363"/>
    <n v="189"/>
    <n v="214"/>
    <n v="622"/>
    <n v="561"/>
    <n v="397"/>
    <n v="697"/>
    <n v="855"/>
    <n v="1714"/>
    <n v="235"/>
    <x v="60"/>
    <x v="0"/>
  </r>
  <r>
    <n v="1123"/>
    <x v="0"/>
    <s v="Tallapoosa"/>
    <n v="1140"/>
    <n v="192"/>
    <n v="93"/>
    <n v="135"/>
    <n v="359"/>
    <n v="361"/>
    <n v="181"/>
    <n v="366"/>
    <n v="593"/>
    <n v="1035"/>
    <n v="105"/>
    <x v="61"/>
    <x v="0"/>
  </r>
  <r>
    <n v="1125"/>
    <x v="0"/>
    <s v="Tuscaloosa"/>
    <n v="4150"/>
    <n v="584"/>
    <n v="383"/>
    <n v="417"/>
    <n v="1373"/>
    <n v="1393"/>
    <n v="1048"/>
    <n v="1525"/>
    <n v="1577"/>
    <n v="3523"/>
    <n v="627"/>
    <x v="62"/>
    <x v="0"/>
  </r>
  <r>
    <n v="1127"/>
    <x v="0"/>
    <s v="Walker"/>
    <n v="1287"/>
    <n v="234"/>
    <n v="125"/>
    <n v="185"/>
    <n v="401"/>
    <n v="342"/>
    <n v="273"/>
    <n v="417"/>
    <n v="597"/>
    <n v="1187"/>
    <n v="100"/>
    <x v="63"/>
    <x v="0"/>
  </r>
  <r>
    <n v="1129"/>
    <x v="0"/>
    <s v="Washington"/>
    <n v="383"/>
    <n v="83"/>
    <n v="45"/>
    <n v="41"/>
    <n v="117"/>
    <n v="97"/>
    <n v="63"/>
    <n v="123"/>
    <n v="197"/>
    <n v="357"/>
    <n v="26"/>
    <x v="64"/>
    <x v="0"/>
  </r>
  <r>
    <n v="1131"/>
    <x v="0"/>
    <s v="Wilcox"/>
    <n v="179"/>
    <n v="30"/>
    <n v="24"/>
    <n v="23"/>
    <n v="53"/>
    <n v="49"/>
    <n v="30"/>
    <n v="69"/>
    <n v="80"/>
    <n v="155"/>
    <n v="24"/>
    <x v="65"/>
    <x v="0"/>
  </r>
  <r>
    <n v="1133"/>
    <x v="0"/>
    <s v="Winston"/>
    <n v="481"/>
    <n v="102"/>
    <n v="38"/>
    <n v="57"/>
    <n v="150"/>
    <n v="134"/>
    <n v="92"/>
    <n v="174"/>
    <n v="215"/>
    <n v="452"/>
    <n v="28"/>
    <x v="66"/>
    <x v="0"/>
  </r>
  <r>
    <n v="2013"/>
    <x v="1"/>
    <s v="Aleutians East"/>
    <m/>
    <m/>
    <m/>
    <m/>
    <m/>
    <m/>
    <m/>
    <m/>
    <m/>
    <m/>
    <m/>
    <x v="67"/>
    <x v="0"/>
  </r>
  <r>
    <n v="2016"/>
    <x v="1"/>
    <s v="Aleutians West"/>
    <n v="28"/>
    <m/>
    <m/>
    <m/>
    <m/>
    <m/>
    <n v="11"/>
    <m/>
    <m/>
    <m/>
    <m/>
    <x v="68"/>
    <x v="0"/>
  </r>
  <r>
    <n v="2020"/>
    <x v="1"/>
    <s v="Anchorage"/>
    <n v="11012"/>
    <n v="1976"/>
    <n v="1311"/>
    <n v="1565"/>
    <n v="3323"/>
    <n v="2837"/>
    <n v="3693"/>
    <n v="4190"/>
    <n v="3129"/>
    <n v="9250"/>
    <n v="1761"/>
    <x v="69"/>
    <x v="0"/>
  </r>
  <r>
    <n v="2050"/>
    <x v="1"/>
    <s v="Bethel"/>
    <n v="93"/>
    <n v="33"/>
    <n v="19"/>
    <n v="10"/>
    <n v="20"/>
    <n v="11"/>
    <n v="19"/>
    <n v="49"/>
    <n v="25"/>
    <n v="82"/>
    <n v="11"/>
    <x v="70"/>
    <x v="0"/>
  </r>
  <r>
    <n v="2060"/>
    <x v="1"/>
    <s v="Bristol Bay"/>
    <n v="22"/>
    <m/>
    <m/>
    <m/>
    <m/>
    <m/>
    <m/>
    <m/>
    <n v="11"/>
    <m/>
    <m/>
    <x v="71"/>
    <x v="0"/>
  </r>
  <r>
    <n v="2063"/>
    <x v="1"/>
    <s v="Chugach"/>
    <n v="129"/>
    <n v="37"/>
    <n v="24"/>
    <n v="10"/>
    <n v="40"/>
    <n v="18"/>
    <n v="30"/>
    <n v="59"/>
    <n v="40"/>
    <n v="116"/>
    <n v="13"/>
    <x v="72"/>
    <x v="0"/>
  </r>
  <r>
    <n v="2066"/>
    <x v="1"/>
    <s v="Copper River"/>
    <n v="82"/>
    <n v="32"/>
    <m/>
    <m/>
    <n v="17"/>
    <n v="14"/>
    <m/>
    <m/>
    <n v="49"/>
    <m/>
    <m/>
    <x v="73"/>
    <x v="0"/>
  </r>
  <r>
    <n v="2068"/>
    <x v="1"/>
    <s v="Denali"/>
    <n v="71"/>
    <n v="17"/>
    <m/>
    <n v="14"/>
    <n v="22"/>
    <m/>
    <n v="27"/>
    <n v="28"/>
    <n v="16"/>
    <m/>
    <m/>
    <x v="74"/>
    <x v="0"/>
  </r>
  <r>
    <n v="2070"/>
    <x v="1"/>
    <s v="Dillingham"/>
    <n v="43"/>
    <n v="18"/>
    <m/>
    <m/>
    <m/>
    <m/>
    <m/>
    <n v="18"/>
    <m/>
    <m/>
    <m/>
    <x v="75"/>
    <x v="0"/>
  </r>
  <r>
    <n v="2090"/>
    <x v="1"/>
    <s v="Fairbanks North Star"/>
    <n v="4671"/>
    <n v="725"/>
    <n v="546"/>
    <n v="591"/>
    <n v="1505"/>
    <n v="1304"/>
    <n v="1907"/>
    <n v="1837"/>
    <n v="927"/>
    <n v="3928"/>
    <n v="742"/>
    <x v="76"/>
    <x v="0"/>
  </r>
  <r>
    <n v="2100"/>
    <x v="1"/>
    <s v="Haines"/>
    <n v="46"/>
    <m/>
    <m/>
    <n v="11"/>
    <n v="13"/>
    <n v="11"/>
    <n v="10"/>
    <n v="12"/>
    <n v="24"/>
    <m/>
    <m/>
    <x v="77"/>
    <x v="0"/>
  </r>
  <r>
    <n v="2105"/>
    <x v="1"/>
    <s v="Hoonah-Angoon"/>
    <n v="34"/>
    <n v="15"/>
    <m/>
    <m/>
    <m/>
    <m/>
    <m/>
    <m/>
    <n v="23"/>
    <m/>
    <m/>
    <x v="78"/>
    <x v="0"/>
  </r>
  <r>
    <n v="2110"/>
    <x v="1"/>
    <s v="Juneau"/>
    <n v="579"/>
    <n v="140"/>
    <n v="94"/>
    <n v="60"/>
    <n v="158"/>
    <n v="127"/>
    <n v="163"/>
    <n v="250"/>
    <n v="166"/>
    <n v="521"/>
    <n v="58"/>
    <x v="79"/>
    <x v="0"/>
  </r>
  <r>
    <n v="2122"/>
    <x v="1"/>
    <s v="Kenai Peninsula"/>
    <n v="1830"/>
    <n v="424"/>
    <n v="196"/>
    <n v="215"/>
    <n v="534"/>
    <n v="461"/>
    <n v="393"/>
    <n v="619"/>
    <n v="818"/>
    <n v="1639"/>
    <n v="191"/>
    <x v="80"/>
    <x v="0"/>
  </r>
  <r>
    <n v="2130"/>
    <x v="1"/>
    <s v="Ketchikan Gateway"/>
    <n v="235"/>
    <n v="54"/>
    <n v="31"/>
    <n v="42"/>
    <n v="62"/>
    <n v="46"/>
    <n v="55"/>
    <n v="92"/>
    <n v="88"/>
    <n v="210"/>
    <n v="25"/>
    <x v="81"/>
    <x v="0"/>
  </r>
  <r>
    <n v="2150"/>
    <x v="1"/>
    <s v="Kodiak Island"/>
    <n v="361"/>
    <n v="67"/>
    <n v="36"/>
    <n v="38"/>
    <n v="108"/>
    <n v="112"/>
    <n v="114"/>
    <n v="159"/>
    <n v="88"/>
    <n v="318"/>
    <n v="43"/>
    <x v="82"/>
    <x v="0"/>
  </r>
  <r>
    <n v="2158"/>
    <x v="1"/>
    <s v="Kusilvak"/>
    <n v="35"/>
    <n v="18"/>
    <m/>
    <m/>
    <m/>
    <m/>
    <m/>
    <m/>
    <n v="19"/>
    <m/>
    <m/>
    <x v="83"/>
    <x v="0"/>
  </r>
  <r>
    <n v="2164"/>
    <x v="1"/>
    <s v="Lake and Peninsula"/>
    <n v="14"/>
    <m/>
    <m/>
    <m/>
    <m/>
    <m/>
    <m/>
    <m/>
    <m/>
    <m/>
    <m/>
    <x v="84"/>
    <x v="0"/>
  </r>
  <r>
    <n v="2170"/>
    <x v="1"/>
    <s v="Matanuska-Susitna"/>
    <n v="5752"/>
    <n v="858"/>
    <n v="575"/>
    <n v="744"/>
    <n v="1763"/>
    <n v="1812"/>
    <n v="2000"/>
    <n v="2349"/>
    <n v="1403"/>
    <n v="4921"/>
    <n v="831"/>
    <x v="85"/>
    <x v="0"/>
  </r>
  <r>
    <n v="2180"/>
    <x v="1"/>
    <s v="Nome"/>
    <n v="50"/>
    <n v="14"/>
    <m/>
    <m/>
    <n v="12"/>
    <m/>
    <n v="13"/>
    <n v="17"/>
    <n v="20"/>
    <m/>
    <m/>
    <x v="86"/>
    <x v="0"/>
  </r>
  <r>
    <n v="2185"/>
    <x v="1"/>
    <s v="North Slope"/>
    <n v="18"/>
    <m/>
    <m/>
    <m/>
    <m/>
    <m/>
    <m/>
    <m/>
    <m/>
    <m/>
    <m/>
    <x v="87"/>
    <x v="0"/>
  </r>
  <r>
    <n v="2188"/>
    <x v="1"/>
    <s v="Northwest Arctic"/>
    <n v="24"/>
    <n v="12"/>
    <m/>
    <m/>
    <m/>
    <m/>
    <m/>
    <m/>
    <n v="13"/>
    <m/>
    <m/>
    <x v="88"/>
    <x v="0"/>
  </r>
  <r>
    <n v="2195"/>
    <x v="1"/>
    <s v="Petersburg"/>
    <n v="56"/>
    <n v="12"/>
    <m/>
    <m/>
    <n v="18"/>
    <n v="11"/>
    <n v="15"/>
    <n v="20"/>
    <n v="21"/>
    <m/>
    <m/>
    <x v="89"/>
    <x v="0"/>
  </r>
  <r>
    <n v="2198"/>
    <x v="1"/>
    <s v="Prince of Wales-Hyder"/>
    <n v="145"/>
    <n v="48"/>
    <n v="17"/>
    <n v="13"/>
    <n v="37"/>
    <n v="30"/>
    <n v="30"/>
    <n v="41"/>
    <n v="74"/>
    <n v="135"/>
    <n v="10"/>
    <x v="90"/>
    <x v="0"/>
  </r>
  <r>
    <n v="2220"/>
    <x v="1"/>
    <s v="Sitka"/>
    <n v="140"/>
    <n v="32"/>
    <n v="22"/>
    <n v="17"/>
    <n v="44"/>
    <n v="25"/>
    <n v="31"/>
    <n v="52"/>
    <n v="57"/>
    <n v="126"/>
    <n v="14"/>
    <x v="91"/>
    <x v="0"/>
  </r>
  <r>
    <n v="2230"/>
    <x v="1"/>
    <s v="Skagway"/>
    <n v="16"/>
    <m/>
    <m/>
    <m/>
    <m/>
    <m/>
    <m/>
    <m/>
    <m/>
    <m/>
    <m/>
    <x v="92"/>
    <x v="0"/>
  </r>
  <r>
    <n v="2240"/>
    <x v="1"/>
    <s v="Southeast Fairbanks"/>
    <n v="369"/>
    <n v="69"/>
    <n v="34"/>
    <n v="60"/>
    <n v="118"/>
    <n v="88"/>
    <n v="110"/>
    <n v="158"/>
    <n v="101"/>
    <n v="324"/>
    <n v="45"/>
    <x v="93"/>
    <x v="0"/>
  </r>
  <r>
    <n v="2275"/>
    <x v="1"/>
    <s v="Wrangell"/>
    <n v="46"/>
    <n v="13"/>
    <m/>
    <m/>
    <n v="11"/>
    <m/>
    <n v="10"/>
    <n v="13"/>
    <n v="23"/>
    <m/>
    <m/>
    <x v="94"/>
    <x v="0"/>
  </r>
  <r>
    <n v="2282"/>
    <x v="1"/>
    <s v="Yakutat"/>
    <n v="13"/>
    <m/>
    <m/>
    <m/>
    <m/>
    <m/>
    <m/>
    <m/>
    <m/>
    <m/>
    <m/>
    <x v="95"/>
    <x v="0"/>
  </r>
  <r>
    <n v="2290"/>
    <x v="1"/>
    <s v="Yukon-Koyukuk"/>
    <n v="65"/>
    <n v="14"/>
    <m/>
    <m/>
    <n v="16"/>
    <n v="14"/>
    <n v="10"/>
    <n v="32"/>
    <n v="23"/>
    <m/>
    <m/>
    <x v="96"/>
    <x v="0"/>
  </r>
  <r>
    <n v="4001"/>
    <x v="2"/>
    <s v="Apache"/>
    <n v="1151"/>
    <n v="218"/>
    <n v="127"/>
    <n v="140"/>
    <n v="349"/>
    <n v="317"/>
    <n v="231"/>
    <n v="310"/>
    <n v="610"/>
    <n v="1008"/>
    <n v="143"/>
    <x v="97"/>
    <x v="0"/>
  </r>
  <r>
    <n v="4003"/>
    <x v="2"/>
    <s v="Cochise"/>
    <n v="8672"/>
    <n v="1426"/>
    <n v="961"/>
    <n v="1044"/>
    <n v="2535"/>
    <n v="2706"/>
    <n v="1769"/>
    <n v="3345"/>
    <n v="3558"/>
    <n v="7318"/>
    <n v="1353"/>
    <x v="98"/>
    <x v="0"/>
  </r>
  <r>
    <n v="4005"/>
    <x v="2"/>
    <s v="Coconino"/>
    <n v="2150"/>
    <n v="487"/>
    <n v="260"/>
    <n v="280"/>
    <n v="619"/>
    <n v="504"/>
    <n v="768"/>
    <n v="629"/>
    <n v="753"/>
    <n v="1870"/>
    <n v="280"/>
    <x v="99"/>
    <x v="0"/>
  </r>
  <r>
    <n v="4007"/>
    <x v="2"/>
    <s v="Gila"/>
    <n v="1320"/>
    <n v="335"/>
    <n v="145"/>
    <n v="142"/>
    <n v="369"/>
    <n v="329"/>
    <n v="166"/>
    <n v="293"/>
    <n v="861"/>
    <n v="1211"/>
    <n v="109"/>
    <x v="100"/>
    <x v="0"/>
  </r>
  <r>
    <n v="4009"/>
    <x v="2"/>
    <s v="Graham"/>
    <n v="508"/>
    <n v="123"/>
    <n v="72"/>
    <n v="60"/>
    <n v="143"/>
    <n v="110"/>
    <n v="120"/>
    <n v="166"/>
    <n v="222"/>
    <n v="472"/>
    <n v="36"/>
    <x v="101"/>
    <x v="0"/>
  </r>
  <r>
    <n v="4011"/>
    <x v="2"/>
    <s v="Greenlee"/>
    <n v="121"/>
    <n v="30"/>
    <n v="14"/>
    <n v="25"/>
    <n v="34"/>
    <n v="18"/>
    <n v="34"/>
    <n v="29"/>
    <n v="58"/>
    <n v="111"/>
    <n v="10"/>
    <x v="102"/>
    <x v="0"/>
  </r>
  <r>
    <n v="4012"/>
    <x v="2"/>
    <s v="La Paz"/>
    <n v="588"/>
    <n v="138"/>
    <n v="69"/>
    <n v="80"/>
    <n v="179"/>
    <n v="122"/>
    <n v="51"/>
    <n v="115"/>
    <n v="422"/>
    <n v="550"/>
    <n v="38"/>
    <x v="103"/>
    <x v="0"/>
  </r>
  <r>
    <n v="4013"/>
    <x v="2"/>
    <s v="Maricopa"/>
    <n v="78855"/>
    <n v="15671"/>
    <n v="8682"/>
    <n v="9424"/>
    <n v="23392"/>
    <n v="21686"/>
    <n v="27387"/>
    <n v="24618"/>
    <n v="26850"/>
    <n v="69155"/>
    <n v="9696"/>
    <x v="104"/>
    <x v="0"/>
  </r>
  <r>
    <n v="4015"/>
    <x v="2"/>
    <s v="Mohave"/>
    <n v="6819"/>
    <n v="1412"/>
    <n v="740"/>
    <n v="771"/>
    <n v="1994"/>
    <n v="1902"/>
    <n v="1087"/>
    <n v="1650"/>
    <n v="4082"/>
    <n v="6265"/>
    <n v="553"/>
    <x v="105"/>
    <x v="0"/>
  </r>
  <r>
    <n v="4017"/>
    <x v="2"/>
    <s v="Navajo"/>
    <n v="2121"/>
    <n v="462"/>
    <n v="210"/>
    <n v="251"/>
    <n v="657"/>
    <n v="541"/>
    <n v="465"/>
    <n v="622"/>
    <n v="1034"/>
    <n v="1893"/>
    <n v="228"/>
    <x v="106"/>
    <x v="0"/>
  </r>
  <r>
    <n v="4019"/>
    <x v="2"/>
    <s v="Pima"/>
    <n v="28920"/>
    <n v="5792"/>
    <n v="3405"/>
    <n v="3578"/>
    <n v="8450"/>
    <n v="7695"/>
    <n v="7856"/>
    <n v="9761"/>
    <n v="11303"/>
    <n v="24971"/>
    <n v="3942"/>
    <x v="107"/>
    <x v="0"/>
  </r>
  <r>
    <n v="4021"/>
    <x v="2"/>
    <s v="Pinal"/>
    <n v="12664"/>
    <n v="2510"/>
    <n v="1371"/>
    <n v="1498"/>
    <n v="3904"/>
    <n v="3381"/>
    <n v="3935"/>
    <n v="3638"/>
    <n v="5091"/>
    <n v="11171"/>
    <n v="1491"/>
    <x v="108"/>
    <x v="0"/>
  </r>
  <r>
    <n v="4023"/>
    <x v="2"/>
    <s v="Santa Cruz"/>
    <n v="695"/>
    <n v="127"/>
    <n v="63"/>
    <n v="95"/>
    <n v="214"/>
    <n v="196"/>
    <n v="193"/>
    <n v="241"/>
    <n v="261"/>
    <n v="625"/>
    <n v="70"/>
    <x v="109"/>
    <x v="0"/>
  </r>
  <r>
    <n v="4025"/>
    <x v="2"/>
    <s v="Yavapai"/>
    <n v="8155"/>
    <n v="1823"/>
    <n v="932"/>
    <n v="954"/>
    <n v="2202"/>
    <n v="2244"/>
    <n v="1545"/>
    <n v="1958"/>
    <n v="4652"/>
    <n v="7399"/>
    <n v="756"/>
    <x v="110"/>
    <x v="0"/>
  </r>
  <r>
    <n v="4027"/>
    <x v="2"/>
    <s v="Yuma"/>
    <n v="6324"/>
    <n v="1052"/>
    <n v="669"/>
    <n v="715"/>
    <n v="1923"/>
    <n v="1965"/>
    <n v="2156"/>
    <n v="1976"/>
    <n v="2192"/>
    <n v="5671"/>
    <n v="651"/>
    <x v="111"/>
    <x v="0"/>
  </r>
  <r>
    <n v="5001"/>
    <x v="3"/>
    <s v="Arkansas"/>
    <n v="247"/>
    <n v="35"/>
    <n v="28"/>
    <n v="32"/>
    <n v="83"/>
    <n v="69"/>
    <n v="41"/>
    <n v="90"/>
    <n v="116"/>
    <n v="230"/>
    <n v="17"/>
    <x v="112"/>
    <x v="0"/>
  </r>
  <r>
    <n v="5003"/>
    <x v="3"/>
    <s v="Ashley"/>
    <n v="348"/>
    <n v="50"/>
    <n v="36"/>
    <n v="36"/>
    <n v="117"/>
    <n v="109"/>
    <n v="57"/>
    <n v="115"/>
    <n v="176"/>
    <n v="320"/>
    <n v="28"/>
    <x v="113"/>
    <x v="0"/>
  </r>
  <r>
    <n v="5005"/>
    <x v="3"/>
    <s v="Baxter"/>
    <n v="1407"/>
    <n v="223"/>
    <n v="138"/>
    <n v="158"/>
    <n v="444"/>
    <n v="444"/>
    <n v="244"/>
    <n v="419"/>
    <n v="744"/>
    <n v="1273"/>
    <n v="134"/>
    <x v="114"/>
    <x v="0"/>
  </r>
  <r>
    <n v="5007"/>
    <x v="3"/>
    <s v="Benton"/>
    <n v="5517"/>
    <n v="997"/>
    <n v="563"/>
    <n v="678"/>
    <n v="1751"/>
    <n v="1528"/>
    <n v="1856"/>
    <n v="1805"/>
    <n v="1856"/>
    <n v="4917"/>
    <n v="600"/>
    <x v="115"/>
    <x v="0"/>
  </r>
  <r>
    <n v="5009"/>
    <x v="3"/>
    <s v="Boone"/>
    <n v="880"/>
    <n v="141"/>
    <n v="95"/>
    <n v="90"/>
    <n v="305"/>
    <n v="249"/>
    <n v="218"/>
    <n v="279"/>
    <n v="383"/>
    <n v="815"/>
    <n v="65"/>
    <x v="116"/>
    <x v="0"/>
  </r>
  <r>
    <n v="5011"/>
    <x v="3"/>
    <s v="Bradley"/>
    <n v="140"/>
    <n v="15"/>
    <n v="15"/>
    <n v="12"/>
    <n v="53"/>
    <n v="45"/>
    <n v="18"/>
    <n v="54"/>
    <n v="68"/>
    <n v="128"/>
    <n v="12"/>
    <x v="117"/>
    <x v="0"/>
  </r>
  <r>
    <n v="5013"/>
    <x v="3"/>
    <s v="Calhoun"/>
    <n v="92"/>
    <m/>
    <m/>
    <n v="15"/>
    <n v="38"/>
    <n v="21"/>
    <n v="19"/>
    <n v="38"/>
    <n v="35"/>
    <n v="76"/>
    <n v="16"/>
    <x v="118"/>
    <x v="0"/>
  </r>
  <r>
    <n v="5015"/>
    <x v="3"/>
    <s v="Carroll"/>
    <n v="602"/>
    <n v="115"/>
    <n v="62"/>
    <n v="91"/>
    <n v="186"/>
    <n v="148"/>
    <n v="102"/>
    <n v="183"/>
    <n v="317"/>
    <n v="554"/>
    <n v="48"/>
    <x v="119"/>
    <x v="0"/>
  </r>
  <r>
    <n v="5017"/>
    <x v="3"/>
    <s v="Chicot"/>
    <n v="187"/>
    <n v="26"/>
    <n v="12"/>
    <n v="20"/>
    <n v="75"/>
    <n v="54"/>
    <n v="18"/>
    <n v="69"/>
    <n v="100"/>
    <n v="170"/>
    <n v="17"/>
    <x v="120"/>
    <x v="0"/>
  </r>
  <r>
    <n v="5019"/>
    <x v="3"/>
    <s v="Clark"/>
    <n v="366"/>
    <n v="63"/>
    <n v="39"/>
    <n v="44"/>
    <n v="119"/>
    <n v="101"/>
    <n v="80"/>
    <n v="105"/>
    <n v="181"/>
    <n v="337"/>
    <n v="29"/>
    <x v="121"/>
    <x v="0"/>
  </r>
  <r>
    <n v="5021"/>
    <x v="3"/>
    <s v="Clay"/>
    <n v="283"/>
    <n v="53"/>
    <n v="37"/>
    <n v="36"/>
    <n v="82"/>
    <n v="75"/>
    <n v="52"/>
    <n v="91"/>
    <n v="140"/>
    <n v="267"/>
    <n v="16"/>
    <x v="122"/>
    <x v="0"/>
  </r>
  <r>
    <n v="5023"/>
    <x v="3"/>
    <s v="Cleburne"/>
    <n v="791"/>
    <n v="103"/>
    <n v="87"/>
    <n v="86"/>
    <n v="262"/>
    <n v="253"/>
    <n v="132"/>
    <n v="248"/>
    <n v="411"/>
    <n v="712"/>
    <n v="79"/>
    <x v="123"/>
    <x v="0"/>
  </r>
  <r>
    <n v="5025"/>
    <x v="3"/>
    <s v="Cleveland"/>
    <n v="148"/>
    <n v="23"/>
    <n v="16"/>
    <n v="13"/>
    <n v="52"/>
    <n v="44"/>
    <n v="26"/>
    <n v="48"/>
    <n v="74"/>
    <n v="132"/>
    <n v="16"/>
    <x v="124"/>
    <x v="0"/>
  </r>
  <r>
    <n v="5027"/>
    <x v="3"/>
    <s v="Columbia"/>
    <n v="326"/>
    <n v="51"/>
    <n v="33"/>
    <n v="46"/>
    <n v="97"/>
    <n v="99"/>
    <n v="77"/>
    <n v="95"/>
    <n v="154"/>
    <n v="281"/>
    <n v="45"/>
    <x v="125"/>
    <x v="0"/>
  </r>
  <r>
    <n v="5029"/>
    <x v="3"/>
    <s v="Conway"/>
    <n v="469"/>
    <n v="76"/>
    <n v="40"/>
    <n v="46"/>
    <n v="164"/>
    <n v="143"/>
    <n v="88"/>
    <n v="179"/>
    <n v="202"/>
    <n v="421"/>
    <n v="48"/>
    <x v="126"/>
    <x v="0"/>
  </r>
  <r>
    <n v="5031"/>
    <x v="3"/>
    <s v="Craighead"/>
    <n v="1674"/>
    <n v="286"/>
    <n v="134"/>
    <n v="207"/>
    <n v="517"/>
    <n v="530"/>
    <n v="498"/>
    <n v="516"/>
    <n v="660"/>
    <n v="1530"/>
    <n v="144"/>
    <x v="127"/>
    <x v="0"/>
  </r>
  <r>
    <n v="5033"/>
    <x v="3"/>
    <s v="Crawford"/>
    <n v="1521"/>
    <n v="225"/>
    <n v="138"/>
    <n v="188"/>
    <n v="532"/>
    <n v="438"/>
    <n v="367"/>
    <n v="543"/>
    <n v="611"/>
    <n v="1370"/>
    <n v="151"/>
    <x v="128"/>
    <x v="0"/>
  </r>
  <r>
    <n v="5035"/>
    <x v="3"/>
    <s v="Crittenden"/>
    <n v="839"/>
    <n v="155"/>
    <n v="84"/>
    <n v="107"/>
    <n v="264"/>
    <n v="229"/>
    <n v="182"/>
    <n v="306"/>
    <n v="351"/>
    <n v="725"/>
    <n v="114"/>
    <x v="129"/>
    <x v="0"/>
  </r>
  <r>
    <n v="5037"/>
    <x v="3"/>
    <s v="Cross"/>
    <n v="267"/>
    <n v="39"/>
    <n v="24"/>
    <n v="34"/>
    <n v="90"/>
    <n v="80"/>
    <n v="61"/>
    <n v="100"/>
    <n v="106"/>
    <n v="245"/>
    <n v="21"/>
    <x v="130"/>
    <x v="0"/>
  </r>
  <r>
    <n v="5039"/>
    <x v="3"/>
    <s v="Dallas"/>
    <n v="112"/>
    <n v="25"/>
    <n v="10"/>
    <n v="12"/>
    <n v="35"/>
    <n v="30"/>
    <n v="19"/>
    <n v="39"/>
    <n v="54"/>
    <n v="100"/>
    <n v="12"/>
    <x v="131"/>
    <x v="0"/>
  </r>
  <r>
    <n v="5041"/>
    <x v="3"/>
    <s v="Desha"/>
    <n v="173"/>
    <n v="18"/>
    <n v="15"/>
    <n v="28"/>
    <n v="62"/>
    <n v="50"/>
    <n v="33"/>
    <n v="62"/>
    <n v="78"/>
    <n v="150"/>
    <n v="22"/>
    <x v="132"/>
    <x v="0"/>
  </r>
  <r>
    <n v="5043"/>
    <x v="3"/>
    <s v="Drew"/>
    <n v="303"/>
    <n v="38"/>
    <n v="31"/>
    <n v="34"/>
    <n v="106"/>
    <n v="94"/>
    <n v="65"/>
    <n v="100"/>
    <n v="138"/>
    <n v="270"/>
    <n v="33"/>
    <x v="133"/>
    <x v="0"/>
  </r>
  <r>
    <n v="5045"/>
    <x v="3"/>
    <s v="Faulkner"/>
    <n v="2885"/>
    <n v="439"/>
    <n v="279"/>
    <n v="347"/>
    <n v="948"/>
    <n v="872"/>
    <n v="825"/>
    <n v="1083"/>
    <n v="977"/>
    <n v="2569"/>
    <n v="316"/>
    <x v="134"/>
    <x v="0"/>
  </r>
  <r>
    <n v="5047"/>
    <x v="3"/>
    <s v="Franklin"/>
    <n v="428"/>
    <n v="72"/>
    <n v="28"/>
    <n v="54"/>
    <n v="139"/>
    <n v="135"/>
    <n v="98"/>
    <n v="150"/>
    <n v="180"/>
    <n v="398"/>
    <n v="30"/>
    <x v="135"/>
    <x v="0"/>
  </r>
  <r>
    <n v="5049"/>
    <x v="3"/>
    <s v="Fulton"/>
    <n v="436"/>
    <n v="94"/>
    <n v="42"/>
    <n v="48"/>
    <n v="135"/>
    <n v="117"/>
    <n v="80"/>
    <n v="144"/>
    <n v="212"/>
    <n v="405"/>
    <n v="31"/>
    <x v="136"/>
    <x v="0"/>
  </r>
  <r>
    <n v="5051"/>
    <x v="3"/>
    <s v="Garland"/>
    <n v="2395"/>
    <n v="459"/>
    <n v="244"/>
    <n v="299"/>
    <n v="751"/>
    <n v="642"/>
    <n v="453"/>
    <n v="806"/>
    <n v="1136"/>
    <n v="2131"/>
    <n v="264"/>
    <x v="137"/>
    <x v="0"/>
  </r>
  <r>
    <n v="5053"/>
    <x v="3"/>
    <s v="Grant"/>
    <n v="434"/>
    <n v="64"/>
    <n v="44"/>
    <n v="42"/>
    <n v="162"/>
    <n v="122"/>
    <n v="124"/>
    <n v="166"/>
    <n v="144"/>
    <n v="384"/>
    <n v="50"/>
    <x v="138"/>
    <x v="0"/>
  </r>
  <r>
    <n v="5055"/>
    <x v="3"/>
    <s v="Greene"/>
    <n v="920"/>
    <n v="125"/>
    <n v="94"/>
    <n v="105"/>
    <n v="306"/>
    <n v="290"/>
    <n v="208"/>
    <n v="282"/>
    <n v="430"/>
    <n v="875"/>
    <n v="45"/>
    <x v="139"/>
    <x v="0"/>
  </r>
  <r>
    <n v="5057"/>
    <x v="3"/>
    <s v="Hempstead"/>
    <n v="285"/>
    <n v="58"/>
    <n v="28"/>
    <n v="45"/>
    <n v="99"/>
    <n v="55"/>
    <n v="51"/>
    <n v="89"/>
    <n v="145"/>
    <n v="253"/>
    <n v="32"/>
    <x v="140"/>
    <x v="0"/>
  </r>
  <r>
    <n v="5059"/>
    <x v="3"/>
    <s v="Hot Spring"/>
    <n v="688"/>
    <n v="101"/>
    <n v="69"/>
    <n v="84"/>
    <n v="243"/>
    <n v="191"/>
    <n v="146"/>
    <n v="248"/>
    <n v="294"/>
    <n v="635"/>
    <n v="53"/>
    <x v="141"/>
    <x v="0"/>
  </r>
  <r>
    <n v="5061"/>
    <x v="3"/>
    <s v="Howard"/>
    <n v="178"/>
    <n v="38"/>
    <n v="28"/>
    <n v="16"/>
    <n v="49"/>
    <n v="47"/>
    <n v="30"/>
    <n v="64"/>
    <n v="84"/>
    <n v="158"/>
    <n v="20"/>
    <x v="142"/>
    <x v="0"/>
  </r>
  <r>
    <n v="5063"/>
    <x v="3"/>
    <s v="Independence"/>
    <n v="755"/>
    <n v="118"/>
    <n v="82"/>
    <n v="89"/>
    <n v="236"/>
    <n v="230"/>
    <n v="166"/>
    <n v="236"/>
    <n v="353"/>
    <n v="701"/>
    <n v="54"/>
    <x v="143"/>
    <x v="0"/>
  </r>
  <r>
    <n v="5065"/>
    <x v="3"/>
    <s v="Izard"/>
    <n v="430"/>
    <n v="70"/>
    <n v="39"/>
    <n v="56"/>
    <n v="134"/>
    <n v="131"/>
    <n v="88"/>
    <n v="135"/>
    <n v="207"/>
    <n v="395"/>
    <n v="35"/>
    <x v="144"/>
    <x v="0"/>
  </r>
  <r>
    <n v="5067"/>
    <x v="3"/>
    <s v="Jackson"/>
    <n v="202"/>
    <n v="38"/>
    <n v="11"/>
    <n v="25"/>
    <n v="65"/>
    <n v="63"/>
    <n v="45"/>
    <n v="63"/>
    <n v="94"/>
    <m/>
    <m/>
    <x v="145"/>
    <x v="0"/>
  </r>
  <r>
    <n v="5069"/>
    <x v="3"/>
    <s v="Jefferson"/>
    <n v="1550"/>
    <n v="213"/>
    <n v="120"/>
    <n v="166"/>
    <n v="537"/>
    <n v="514"/>
    <n v="237"/>
    <n v="579"/>
    <n v="734"/>
    <n v="1361"/>
    <n v="189"/>
    <x v="146"/>
    <x v="0"/>
  </r>
  <r>
    <n v="5071"/>
    <x v="3"/>
    <s v="Johnson"/>
    <n v="542"/>
    <n v="88"/>
    <n v="69"/>
    <n v="60"/>
    <n v="171"/>
    <n v="154"/>
    <n v="128"/>
    <n v="190"/>
    <n v="224"/>
    <n v="498"/>
    <n v="44"/>
    <x v="147"/>
    <x v="0"/>
  </r>
  <r>
    <n v="5073"/>
    <x v="3"/>
    <s v="Lafayette"/>
    <n v="113"/>
    <n v="21"/>
    <n v="19"/>
    <n v="12"/>
    <n v="33"/>
    <n v="28"/>
    <n v="18"/>
    <n v="33"/>
    <n v="62"/>
    <m/>
    <m/>
    <x v="148"/>
    <x v="0"/>
  </r>
  <r>
    <n v="5075"/>
    <x v="3"/>
    <s v="Lawrence"/>
    <n v="278"/>
    <n v="48"/>
    <n v="36"/>
    <n v="42"/>
    <n v="82"/>
    <n v="70"/>
    <n v="67"/>
    <n v="83"/>
    <n v="128"/>
    <n v="256"/>
    <n v="22"/>
    <x v="149"/>
    <x v="0"/>
  </r>
  <r>
    <n v="5077"/>
    <x v="3"/>
    <s v="Lee"/>
    <n v="92"/>
    <n v="15"/>
    <n v="11"/>
    <n v="11"/>
    <n v="30"/>
    <n v="25"/>
    <n v="13"/>
    <n v="29"/>
    <n v="50"/>
    <m/>
    <m/>
    <x v="150"/>
    <x v="0"/>
  </r>
  <r>
    <n v="5079"/>
    <x v="3"/>
    <s v="Lincoln"/>
    <n v="188"/>
    <n v="37"/>
    <n v="26"/>
    <n v="16"/>
    <n v="67"/>
    <n v="42"/>
    <n v="42"/>
    <n v="58"/>
    <n v="88"/>
    <n v="167"/>
    <n v="21"/>
    <x v="151"/>
    <x v="0"/>
  </r>
  <r>
    <n v="5081"/>
    <x v="3"/>
    <s v="Little River"/>
    <n v="244"/>
    <n v="50"/>
    <n v="24"/>
    <n v="26"/>
    <n v="76"/>
    <n v="68"/>
    <n v="60"/>
    <n v="70"/>
    <n v="114"/>
    <n v="219"/>
    <n v="25"/>
    <x v="152"/>
    <x v="0"/>
  </r>
  <r>
    <n v="5083"/>
    <x v="3"/>
    <s v="Logan"/>
    <n v="529"/>
    <n v="77"/>
    <n v="49"/>
    <n v="71"/>
    <n v="179"/>
    <n v="153"/>
    <n v="120"/>
    <n v="186"/>
    <n v="223"/>
    <n v="489"/>
    <n v="40"/>
    <x v="153"/>
    <x v="0"/>
  </r>
  <r>
    <n v="5085"/>
    <x v="3"/>
    <s v="Lonoke"/>
    <n v="3598"/>
    <n v="455"/>
    <n v="319"/>
    <n v="416"/>
    <n v="1227"/>
    <n v="1181"/>
    <n v="1004"/>
    <n v="1571"/>
    <n v="1023"/>
    <n v="3122"/>
    <n v="476"/>
    <x v="154"/>
    <x v="0"/>
  </r>
  <r>
    <n v="5087"/>
    <x v="3"/>
    <s v="Madison"/>
    <n v="375"/>
    <n v="54"/>
    <n v="34"/>
    <n v="41"/>
    <n v="137"/>
    <n v="109"/>
    <n v="98"/>
    <n v="124"/>
    <n v="153"/>
    <n v="350"/>
    <n v="25"/>
    <x v="155"/>
    <x v="0"/>
  </r>
  <r>
    <n v="5089"/>
    <x v="3"/>
    <s v="Marion"/>
    <n v="582"/>
    <n v="105"/>
    <n v="57"/>
    <n v="56"/>
    <n v="177"/>
    <n v="187"/>
    <n v="113"/>
    <n v="171"/>
    <n v="298"/>
    <n v="525"/>
    <n v="57"/>
    <x v="156"/>
    <x v="0"/>
  </r>
  <r>
    <n v="5091"/>
    <x v="3"/>
    <s v="Miller"/>
    <n v="836"/>
    <n v="153"/>
    <n v="84"/>
    <n v="100"/>
    <n v="271"/>
    <n v="228"/>
    <n v="193"/>
    <n v="284"/>
    <n v="359"/>
    <n v="740"/>
    <n v="96"/>
    <x v="157"/>
    <x v="0"/>
  </r>
  <r>
    <n v="5093"/>
    <x v="3"/>
    <s v="Mississippi"/>
    <n v="589"/>
    <n v="111"/>
    <n v="67"/>
    <n v="76"/>
    <n v="192"/>
    <n v="143"/>
    <n v="86"/>
    <n v="200"/>
    <n v="303"/>
    <n v="537"/>
    <n v="52"/>
    <x v="158"/>
    <x v="0"/>
  </r>
  <r>
    <n v="5095"/>
    <x v="3"/>
    <s v="Monroe"/>
    <n v="134"/>
    <n v="18"/>
    <n v="10"/>
    <n v="22"/>
    <n v="49"/>
    <n v="35"/>
    <n v="20"/>
    <n v="36"/>
    <n v="78"/>
    <n v="120"/>
    <n v="14"/>
    <x v="159"/>
    <x v="0"/>
  </r>
  <r>
    <n v="5097"/>
    <x v="3"/>
    <s v="Montgomery"/>
    <n v="223"/>
    <n v="39"/>
    <n v="16"/>
    <n v="30"/>
    <n v="80"/>
    <n v="58"/>
    <n v="32"/>
    <n v="68"/>
    <n v="123"/>
    <n v="204"/>
    <n v="19"/>
    <x v="160"/>
    <x v="0"/>
  </r>
  <r>
    <n v="5099"/>
    <x v="3"/>
    <s v="Nevada"/>
    <n v="168"/>
    <n v="26"/>
    <n v="17"/>
    <n v="17"/>
    <n v="58"/>
    <n v="50"/>
    <n v="32"/>
    <n v="71"/>
    <n v="65"/>
    <n v="148"/>
    <n v="20"/>
    <x v="161"/>
    <x v="0"/>
  </r>
  <r>
    <n v="5101"/>
    <x v="3"/>
    <s v="Newton"/>
    <n v="161"/>
    <n v="24"/>
    <n v="11"/>
    <n v="20"/>
    <n v="57"/>
    <n v="49"/>
    <n v="32"/>
    <n v="48"/>
    <n v="81"/>
    <n v="140"/>
    <n v="21"/>
    <x v="162"/>
    <x v="0"/>
  </r>
  <r>
    <n v="5103"/>
    <x v="3"/>
    <s v="Ouachita"/>
    <n v="511"/>
    <n v="72"/>
    <n v="43"/>
    <n v="57"/>
    <n v="171"/>
    <n v="168"/>
    <n v="92"/>
    <n v="174"/>
    <n v="245"/>
    <n v="466"/>
    <n v="45"/>
    <x v="163"/>
    <x v="0"/>
  </r>
  <r>
    <n v="5105"/>
    <x v="3"/>
    <s v="Perry"/>
    <n v="251"/>
    <n v="27"/>
    <n v="27"/>
    <n v="32"/>
    <n v="92"/>
    <n v="73"/>
    <n v="40"/>
    <n v="97"/>
    <n v="114"/>
    <n v="231"/>
    <n v="20"/>
    <x v="164"/>
    <x v="0"/>
  </r>
  <r>
    <n v="5107"/>
    <x v="3"/>
    <s v="Phillips"/>
    <n v="233"/>
    <n v="45"/>
    <n v="31"/>
    <n v="22"/>
    <n v="70"/>
    <n v="65"/>
    <n v="34"/>
    <n v="85"/>
    <n v="114"/>
    <n v="207"/>
    <n v="26"/>
    <x v="165"/>
    <x v="0"/>
  </r>
  <r>
    <n v="5109"/>
    <x v="3"/>
    <s v="Pike"/>
    <n v="181"/>
    <n v="25"/>
    <n v="20"/>
    <n v="27"/>
    <n v="52"/>
    <n v="57"/>
    <n v="32"/>
    <n v="61"/>
    <n v="88"/>
    <n v="168"/>
    <n v="13"/>
    <x v="166"/>
    <x v="0"/>
  </r>
  <r>
    <n v="5111"/>
    <x v="3"/>
    <s v="Poinsett"/>
    <n v="368"/>
    <n v="76"/>
    <n v="37"/>
    <n v="36"/>
    <n v="113"/>
    <n v="106"/>
    <n v="84"/>
    <n v="115"/>
    <n v="169"/>
    <n v="345"/>
    <n v="23"/>
    <x v="167"/>
    <x v="0"/>
  </r>
  <r>
    <n v="5113"/>
    <x v="3"/>
    <s v="Polk"/>
    <n v="598"/>
    <n v="110"/>
    <n v="58"/>
    <n v="74"/>
    <n v="197"/>
    <n v="159"/>
    <n v="132"/>
    <n v="183"/>
    <n v="283"/>
    <n v="542"/>
    <n v="56"/>
    <x v="168"/>
    <x v="0"/>
  </r>
  <r>
    <n v="5115"/>
    <x v="3"/>
    <s v="Pope"/>
    <n v="1305"/>
    <n v="227"/>
    <n v="158"/>
    <n v="173"/>
    <n v="398"/>
    <n v="349"/>
    <n v="356"/>
    <n v="413"/>
    <n v="536"/>
    <n v="1183"/>
    <n v="122"/>
    <x v="169"/>
    <x v="0"/>
  </r>
  <r>
    <n v="5117"/>
    <x v="3"/>
    <s v="Prairie"/>
    <n v="161"/>
    <n v="31"/>
    <n v="15"/>
    <n v="15"/>
    <n v="53"/>
    <n v="47"/>
    <n v="24"/>
    <n v="56"/>
    <n v="81"/>
    <n v="150"/>
    <n v="11"/>
    <x v="170"/>
    <x v="0"/>
  </r>
  <r>
    <n v="5119"/>
    <x v="3"/>
    <s v="Pulaski"/>
    <n v="11096"/>
    <n v="1646"/>
    <n v="1130"/>
    <n v="1252"/>
    <n v="3632"/>
    <n v="3436"/>
    <n v="2591"/>
    <n v="4069"/>
    <n v="4436"/>
    <n v="9247"/>
    <n v="1846"/>
    <x v="171"/>
    <x v="0"/>
  </r>
  <r>
    <n v="5121"/>
    <x v="3"/>
    <s v="Randolph"/>
    <n v="439"/>
    <n v="70"/>
    <n v="43"/>
    <n v="56"/>
    <n v="127"/>
    <n v="143"/>
    <n v="82"/>
    <n v="146"/>
    <n v="211"/>
    <n v="408"/>
    <n v="31"/>
    <x v="172"/>
    <x v="0"/>
  </r>
  <r>
    <n v="5123"/>
    <x v="3"/>
    <s v="St. Francis"/>
    <n v="383"/>
    <n v="74"/>
    <n v="41"/>
    <n v="45"/>
    <n v="117"/>
    <n v="106"/>
    <n v="39"/>
    <n v="137"/>
    <n v="207"/>
    <n v="347"/>
    <n v="36"/>
    <x v="173"/>
    <x v="0"/>
  </r>
  <r>
    <n v="5125"/>
    <x v="3"/>
    <s v="Saline"/>
    <n v="3352"/>
    <n v="534"/>
    <n v="344"/>
    <n v="416"/>
    <n v="1005"/>
    <n v="1053"/>
    <n v="841"/>
    <n v="1277"/>
    <n v="1234"/>
    <n v="2918"/>
    <n v="434"/>
    <x v="174"/>
    <x v="0"/>
  </r>
  <r>
    <n v="5127"/>
    <x v="3"/>
    <s v="Scott"/>
    <n v="223"/>
    <n v="35"/>
    <n v="25"/>
    <n v="26"/>
    <n v="67"/>
    <n v="70"/>
    <n v="47"/>
    <n v="76"/>
    <n v="100"/>
    <n v="202"/>
    <n v="21"/>
    <x v="175"/>
    <x v="0"/>
  </r>
  <r>
    <n v="5129"/>
    <x v="3"/>
    <s v="Searcy"/>
    <n v="243"/>
    <n v="35"/>
    <n v="23"/>
    <n v="29"/>
    <n v="82"/>
    <n v="74"/>
    <n v="44"/>
    <n v="83"/>
    <n v="116"/>
    <n v="216"/>
    <n v="27"/>
    <x v="176"/>
    <x v="0"/>
  </r>
  <r>
    <n v="5131"/>
    <x v="3"/>
    <s v="Sebastian"/>
    <n v="2860"/>
    <n v="469"/>
    <n v="290"/>
    <n v="364"/>
    <n v="927"/>
    <n v="810"/>
    <n v="711"/>
    <n v="1023"/>
    <n v="1126"/>
    <n v="2593"/>
    <n v="267"/>
    <x v="177"/>
    <x v="0"/>
  </r>
  <r>
    <n v="5133"/>
    <x v="3"/>
    <s v="Sevier"/>
    <n v="212"/>
    <n v="41"/>
    <n v="30"/>
    <n v="21"/>
    <n v="75"/>
    <n v="45"/>
    <n v="48"/>
    <n v="68"/>
    <n v="96"/>
    <n v="198"/>
    <n v="14"/>
    <x v="178"/>
    <x v="0"/>
  </r>
  <r>
    <n v="5135"/>
    <x v="3"/>
    <s v="Sharp"/>
    <n v="618"/>
    <n v="98"/>
    <n v="58"/>
    <n v="70"/>
    <n v="208"/>
    <n v="184"/>
    <n v="100"/>
    <n v="217"/>
    <n v="301"/>
    <n v="549"/>
    <n v="69"/>
    <x v="179"/>
    <x v="0"/>
  </r>
  <r>
    <n v="5137"/>
    <x v="3"/>
    <s v="Stone"/>
    <n v="343"/>
    <n v="43"/>
    <n v="28"/>
    <n v="37"/>
    <n v="123"/>
    <n v="112"/>
    <n v="52"/>
    <n v="117"/>
    <n v="174"/>
    <n v="300"/>
    <n v="43"/>
    <x v="180"/>
    <x v="0"/>
  </r>
  <r>
    <n v="5139"/>
    <x v="3"/>
    <s v="Union"/>
    <n v="637"/>
    <n v="113"/>
    <n v="65"/>
    <n v="80"/>
    <n v="182"/>
    <n v="197"/>
    <n v="120"/>
    <n v="209"/>
    <n v="308"/>
    <n v="574"/>
    <n v="63"/>
    <x v="181"/>
    <x v="0"/>
  </r>
  <r>
    <n v="5141"/>
    <x v="3"/>
    <s v="Van Buren"/>
    <n v="521"/>
    <n v="80"/>
    <n v="67"/>
    <n v="70"/>
    <n v="156"/>
    <n v="148"/>
    <n v="83"/>
    <n v="160"/>
    <n v="278"/>
    <n v="466"/>
    <n v="55"/>
    <x v="182"/>
    <x v="0"/>
  </r>
  <r>
    <n v="5143"/>
    <x v="3"/>
    <s v="Washington"/>
    <n v="3958"/>
    <n v="692"/>
    <n v="416"/>
    <n v="479"/>
    <n v="1204"/>
    <n v="1167"/>
    <n v="1310"/>
    <n v="1317"/>
    <n v="1331"/>
    <n v="3506"/>
    <n v="452"/>
    <x v="183"/>
    <x v="0"/>
  </r>
  <r>
    <n v="5145"/>
    <x v="3"/>
    <s v="White"/>
    <n v="2065"/>
    <n v="315"/>
    <n v="201"/>
    <n v="252"/>
    <n v="679"/>
    <n v="618"/>
    <n v="484"/>
    <n v="761"/>
    <n v="820"/>
    <n v="1848"/>
    <n v="217"/>
    <x v="184"/>
    <x v="0"/>
  </r>
  <r>
    <n v="5147"/>
    <x v="3"/>
    <s v="Woodruff"/>
    <n v="106"/>
    <n v="16"/>
    <m/>
    <m/>
    <n v="37"/>
    <n v="31"/>
    <n v="16"/>
    <n v="32"/>
    <n v="58"/>
    <m/>
    <m/>
    <x v="185"/>
    <x v="0"/>
  </r>
  <r>
    <n v="5149"/>
    <x v="3"/>
    <s v="Yell"/>
    <n v="395"/>
    <n v="56"/>
    <n v="49"/>
    <n v="53"/>
    <n v="129"/>
    <n v="108"/>
    <n v="80"/>
    <n v="138"/>
    <n v="177"/>
    <n v="352"/>
    <n v="43"/>
    <x v="186"/>
    <x v="0"/>
  </r>
  <r>
    <n v="6001"/>
    <x v="4"/>
    <s v="Alameda"/>
    <n v="10203"/>
    <n v="2196"/>
    <n v="1143"/>
    <n v="1238"/>
    <n v="2911"/>
    <n v="2715"/>
    <n v="3321"/>
    <n v="2698"/>
    <n v="4184"/>
    <n v="9039"/>
    <n v="1162"/>
    <x v="187"/>
    <x v="0"/>
  </r>
  <r>
    <n v="6003"/>
    <x v="4"/>
    <s v="Alpine"/>
    <n v="14"/>
    <m/>
    <m/>
    <m/>
    <m/>
    <m/>
    <m/>
    <m/>
    <m/>
    <m/>
    <m/>
    <x v="188"/>
    <x v="0"/>
  </r>
  <r>
    <n v="6005"/>
    <x v="4"/>
    <s v="Amador"/>
    <n v="1074"/>
    <n v="316"/>
    <n v="122"/>
    <n v="113"/>
    <n v="290"/>
    <n v="233"/>
    <n v="208"/>
    <n v="264"/>
    <n v="602"/>
    <n v="1001"/>
    <n v="73"/>
    <x v="189"/>
    <x v="0"/>
  </r>
  <r>
    <n v="6007"/>
    <x v="4"/>
    <s v="Butte"/>
    <n v="3769"/>
    <n v="838"/>
    <n v="442"/>
    <n v="448"/>
    <n v="1144"/>
    <n v="897"/>
    <n v="1164"/>
    <n v="883"/>
    <n v="1722"/>
    <n v="3410"/>
    <n v="359"/>
    <x v="190"/>
    <x v="0"/>
  </r>
  <r>
    <n v="6009"/>
    <x v="4"/>
    <s v="Calaveras"/>
    <n v="1205"/>
    <n v="287"/>
    <n v="127"/>
    <n v="144"/>
    <n v="335"/>
    <n v="312"/>
    <n v="261"/>
    <n v="274"/>
    <n v="670"/>
    <n v="1090"/>
    <n v="114"/>
    <x v="191"/>
    <x v="0"/>
  </r>
  <r>
    <n v="6011"/>
    <x v="4"/>
    <s v="Colusa"/>
    <n v="247"/>
    <n v="86"/>
    <n v="27"/>
    <n v="22"/>
    <n v="69"/>
    <n v="43"/>
    <n v="71"/>
    <n v="52"/>
    <n v="124"/>
    <n v="224"/>
    <n v="23"/>
    <x v="192"/>
    <x v="0"/>
  </r>
  <r>
    <n v="6013"/>
    <x v="4"/>
    <s v="Contra Costa"/>
    <n v="11188"/>
    <n v="2635"/>
    <n v="1172"/>
    <n v="1201"/>
    <n v="2966"/>
    <n v="3214"/>
    <n v="3098"/>
    <n v="3203"/>
    <n v="4887"/>
    <n v="10087"/>
    <n v="1095"/>
    <x v="193"/>
    <x v="0"/>
  </r>
  <r>
    <n v="6015"/>
    <x v="4"/>
    <s v="Del Norte"/>
    <n v="591"/>
    <n v="153"/>
    <n v="68"/>
    <n v="69"/>
    <n v="167"/>
    <n v="134"/>
    <n v="134"/>
    <n v="163"/>
    <n v="294"/>
    <n v="541"/>
    <n v="50"/>
    <x v="194"/>
    <x v="0"/>
  </r>
  <r>
    <n v="6017"/>
    <x v="4"/>
    <s v="El Dorado"/>
    <n v="3767"/>
    <n v="1024"/>
    <n v="422"/>
    <n v="406"/>
    <n v="1032"/>
    <n v="883"/>
    <n v="882"/>
    <n v="961"/>
    <n v="1924"/>
    <n v="3437"/>
    <n v="330"/>
    <x v="195"/>
    <x v="0"/>
  </r>
  <r>
    <n v="6019"/>
    <x v="4"/>
    <s v="Fresno"/>
    <n v="12882"/>
    <n v="3248"/>
    <n v="1250"/>
    <n v="1455"/>
    <n v="3856"/>
    <n v="3073"/>
    <n v="4153"/>
    <n v="3353"/>
    <n v="5376"/>
    <n v="11773"/>
    <n v="1109"/>
    <x v="196"/>
    <x v="0"/>
  </r>
  <r>
    <n v="6021"/>
    <x v="4"/>
    <s v="Glenn"/>
    <n v="333"/>
    <n v="84"/>
    <n v="38"/>
    <n v="37"/>
    <n v="110"/>
    <n v="64"/>
    <n v="96"/>
    <n v="68"/>
    <n v="169"/>
    <n v="306"/>
    <n v="27"/>
    <x v="197"/>
    <x v="0"/>
  </r>
  <r>
    <n v="6023"/>
    <x v="4"/>
    <s v="Humboldt"/>
    <n v="2032"/>
    <n v="489"/>
    <n v="214"/>
    <n v="196"/>
    <n v="640"/>
    <n v="493"/>
    <n v="495"/>
    <n v="480"/>
    <n v="1057"/>
    <n v="1845"/>
    <n v="187"/>
    <x v="198"/>
    <x v="0"/>
  </r>
  <r>
    <n v="6025"/>
    <x v="4"/>
    <s v="Imperial"/>
    <n v="2544"/>
    <n v="495"/>
    <n v="243"/>
    <n v="279"/>
    <n v="780"/>
    <n v="747"/>
    <n v="930"/>
    <n v="917"/>
    <n v="697"/>
    <n v="2379"/>
    <n v="165"/>
    <x v="199"/>
    <x v="0"/>
  </r>
  <r>
    <n v="6027"/>
    <x v="4"/>
    <s v="Inyo"/>
    <n v="294"/>
    <n v="67"/>
    <n v="38"/>
    <n v="38"/>
    <n v="82"/>
    <n v="69"/>
    <n v="69"/>
    <n v="63"/>
    <n v="162"/>
    <n v="271"/>
    <n v="23"/>
    <x v="200"/>
    <x v="0"/>
  </r>
  <r>
    <n v="6029"/>
    <x v="4"/>
    <s v="Kern"/>
    <n v="13536"/>
    <n v="2885"/>
    <n v="1356"/>
    <n v="1643"/>
    <n v="4169"/>
    <n v="3483"/>
    <n v="4976"/>
    <n v="4025"/>
    <n v="4535"/>
    <n v="12141"/>
    <n v="1391"/>
    <x v="201"/>
    <x v="0"/>
  </r>
  <r>
    <n v="6031"/>
    <x v="4"/>
    <s v="Kings"/>
    <n v="4195"/>
    <n v="907"/>
    <n v="399"/>
    <n v="455"/>
    <n v="1261"/>
    <n v="1173"/>
    <n v="1516"/>
    <n v="1450"/>
    <n v="1229"/>
    <n v="3578"/>
    <n v="617"/>
    <x v="202"/>
    <x v="0"/>
  </r>
  <r>
    <n v="6033"/>
    <x v="4"/>
    <s v="Lake"/>
    <n v="1517"/>
    <n v="328"/>
    <n v="171"/>
    <n v="160"/>
    <n v="407"/>
    <n v="451"/>
    <n v="241"/>
    <n v="327"/>
    <n v="949"/>
    <n v="1412"/>
    <n v="105"/>
    <x v="203"/>
    <x v="0"/>
  </r>
  <r>
    <n v="6035"/>
    <x v="4"/>
    <s v="Lassen"/>
    <n v="741"/>
    <n v="206"/>
    <n v="80"/>
    <n v="86"/>
    <n v="194"/>
    <n v="175"/>
    <n v="222"/>
    <n v="229"/>
    <n v="290"/>
    <n v="682"/>
    <n v="59"/>
    <x v="204"/>
    <x v="0"/>
  </r>
  <r>
    <n v="6037"/>
    <x v="4"/>
    <s v="Los Angeles"/>
    <n v="73230"/>
    <n v="14766"/>
    <n v="6642"/>
    <n v="7628"/>
    <n v="23053"/>
    <n v="21141"/>
    <n v="27690"/>
    <n v="21670"/>
    <n v="23870"/>
    <n v="65647"/>
    <n v="7568"/>
    <x v="205"/>
    <x v="0"/>
  </r>
  <r>
    <n v="6039"/>
    <x v="4"/>
    <s v="Madera"/>
    <n v="2600"/>
    <n v="638"/>
    <n v="291"/>
    <n v="298"/>
    <n v="761"/>
    <n v="612"/>
    <n v="788"/>
    <n v="628"/>
    <n v="1184"/>
    <n v="2345"/>
    <n v="255"/>
    <x v="206"/>
    <x v="0"/>
  </r>
  <r>
    <n v="6041"/>
    <x v="4"/>
    <s v="Marin"/>
    <n v="1711"/>
    <n v="472"/>
    <n v="204"/>
    <n v="194"/>
    <n v="391"/>
    <n v="450"/>
    <n v="299"/>
    <n v="387"/>
    <n v="1025"/>
    <n v="1586"/>
    <n v="124"/>
    <x v="207"/>
    <x v="0"/>
  </r>
  <r>
    <n v="6043"/>
    <x v="4"/>
    <s v="Mariposa"/>
    <n v="430"/>
    <n v="131"/>
    <n v="45"/>
    <n v="46"/>
    <n v="117"/>
    <n v="91"/>
    <n v="93"/>
    <n v="81"/>
    <n v="256"/>
    <n v="397"/>
    <n v="33"/>
    <x v="208"/>
    <x v="0"/>
  </r>
  <r>
    <n v="6045"/>
    <x v="4"/>
    <s v="Mendocino"/>
    <n v="1349"/>
    <n v="370"/>
    <n v="113"/>
    <n v="114"/>
    <n v="416"/>
    <n v="336"/>
    <n v="211"/>
    <n v="297"/>
    <n v="841"/>
    <n v="1261"/>
    <n v="88"/>
    <x v="209"/>
    <x v="0"/>
  </r>
  <r>
    <n v="6047"/>
    <x v="4"/>
    <s v="Merced"/>
    <n v="3020"/>
    <n v="750"/>
    <n v="297"/>
    <n v="360"/>
    <n v="933"/>
    <n v="680"/>
    <n v="1018"/>
    <n v="676"/>
    <n v="1326"/>
    <n v="2750"/>
    <n v="270"/>
    <x v="210"/>
    <x v="0"/>
  </r>
  <r>
    <n v="6049"/>
    <x v="4"/>
    <s v="Modoc"/>
    <n v="201"/>
    <n v="45"/>
    <n v="27"/>
    <n v="18"/>
    <n v="59"/>
    <n v="52"/>
    <n v="37"/>
    <n v="55"/>
    <n v="109"/>
    <n v="190"/>
    <n v="11"/>
    <x v="211"/>
    <x v="0"/>
  </r>
  <r>
    <n v="6051"/>
    <x v="4"/>
    <s v="Mono"/>
    <n v="157"/>
    <n v="34"/>
    <n v="12"/>
    <n v="14"/>
    <n v="56"/>
    <n v="41"/>
    <n v="66"/>
    <n v="40"/>
    <n v="51"/>
    <n v="131"/>
    <n v="26"/>
    <x v="212"/>
    <x v="0"/>
  </r>
  <r>
    <n v="6053"/>
    <x v="4"/>
    <s v="Monterey"/>
    <n v="5683"/>
    <n v="1125"/>
    <n v="645"/>
    <n v="678"/>
    <n v="1729"/>
    <n v="1506"/>
    <n v="1430"/>
    <n v="1692"/>
    <n v="2561"/>
    <n v="4995"/>
    <n v="688"/>
    <x v="213"/>
    <x v="0"/>
  </r>
  <r>
    <n v="6055"/>
    <x v="4"/>
    <s v="Napa"/>
    <n v="2035"/>
    <n v="576"/>
    <n v="205"/>
    <n v="208"/>
    <n v="491"/>
    <n v="555"/>
    <n v="378"/>
    <n v="447"/>
    <n v="1210"/>
    <n v="1890"/>
    <n v="145"/>
    <x v="214"/>
    <x v="0"/>
  </r>
  <r>
    <n v="6057"/>
    <x v="4"/>
    <s v="Nevada"/>
    <n v="2146"/>
    <n v="577"/>
    <n v="226"/>
    <n v="227"/>
    <n v="590"/>
    <n v="526"/>
    <n v="439"/>
    <n v="508"/>
    <n v="1199"/>
    <n v="1953"/>
    <n v="192"/>
    <x v="215"/>
    <x v="0"/>
  </r>
  <r>
    <n v="6059"/>
    <x v="4"/>
    <s v="Orange"/>
    <n v="26492"/>
    <n v="5855"/>
    <n v="2774"/>
    <n v="2848"/>
    <n v="7742"/>
    <n v="7273"/>
    <n v="9919"/>
    <n v="7279"/>
    <n v="9294"/>
    <n v="24239"/>
    <n v="2249"/>
    <x v="216"/>
    <x v="0"/>
  </r>
  <r>
    <n v="6061"/>
    <x v="4"/>
    <s v="Placer"/>
    <n v="8796"/>
    <n v="2028"/>
    <n v="985"/>
    <n v="1005"/>
    <n v="2458"/>
    <n v="2320"/>
    <n v="2508"/>
    <n v="2562"/>
    <n v="3726"/>
    <n v="7946"/>
    <n v="847"/>
    <x v="217"/>
    <x v="0"/>
  </r>
  <r>
    <n v="6063"/>
    <x v="4"/>
    <s v="Plumas"/>
    <n v="489"/>
    <n v="156"/>
    <n v="52"/>
    <n v="47"/>
    <n v="135"/>
    <n v="99"/>
    <n v="75"/>
    <n v="108"/>
    <n v="306"/>
    <n v="463"/>
    <n v="26"/>
    <x v="218"/>
    <x v="0"/>
  </r>
  <r>
    <n v="6065"/>
    <x v="4"/>
    <s v="Riverside"/>
    <n v="50395"/>
    <n v="8265"/>
    <n v="3947"/>
    <n v="4573"/>
    <n v="14001"/>
    <n v="19609"/>
    <n v="17234"/>
    <n v="17382"/>
    <n v="15779"/>
    <n v="44647"/>
    <n v="5739"/>
    <x v="219"/>
    <x v="0"/>
  </r>
  <r>
    <n v="6067"/>
    <x v="4"/>
    <s v="Sacramento"/>
    <n v="22835"/>
    <n v="4960"/>
    <n v="2630"/>
    <n v="2602"/>
    <n v="6706"/>
    <n v="5937"/>
    <n v="7077"/>
    <n v="6618"/>
    <n v="9140"/>
    <n v="20000"/>
    <n v="2832"/>
    <x v="220"/>
    <x v="0"/>
  </r>
  <r>
    <n v="6069"/>
    <x v="4"/>
    <s v="San Benito"/>
    <n v="892"/>
    <n v="161"/>
    <n v="79"/>
    <n v="102"/>
    <n v="290"/>
    <n v="260"/>
    <n v="304"/>
    <n v="237"/>
    <n v="351"/>
    <n v="819"/>
    <n v="73"/>
    <x v="221"/>
    <x v="0"/>
  </r>
  <r>
    <n v="6071"/>
    <x v="4"/>
    <s v="San Bernardino"/>
    <n v="32294"/>
    <n v="6095"/>
    <n v="2940"/>
    <n v="3268"/>
    <n v="9875"/>
    <n v="10116"/>
    <n v="11939"/>
    <n v="9483"/>
    <n v="10872"/>
    <n v="28898"/>
    <n v="3393"/>
    <x v="222"/>
    <x v="0"/>
  </r>
  <r>
    <n v="6073"/>
    <x v="4"/>
    <s v="San Diego"/>
    <n v="98159"/>
    <n v="15874"/>
    <n v="9364"/>
    <n v="10303"/>
    <n v="27264"/>
    <n v="35354"/>
    <n v="37669"/>
    <n v="33812"/>
    <n v="26678"/>
    <n v="84275"/>
    <n v="13882"/>
    <x v="223"/>
    <x v="0"/>
  </r>
  <r>
    <n v="6075"/>
    <x v="4"/>
    <s v="San Francisco"/>
    <n v="4333"/>
    <n v="903"/>
    <n v="431"/>
    <n v="420"/>
    <n v="1259"/>
    <n v="1320"/>
    <n v="1628"/>
    <n v="1146"/>
    <n v="1559"/>
    <n v="3816"/>
    <n v="515"/>
    <x v="224"/>
    <x v="0"/>
  </r>
  <r>
    <n v="6077"/>
    <x v="4"/>
    <s v="San Joaquin"/>
    <n v="9131"/>
    <n v="1843"/>
    <n v="906"/>
    <n v="1060"/>
    <n v="2745"/>
    <n v="2577"/>
    <n v="2791"/>
    <n v="2658"/>
    <n v="3682"/>
    <n v="8215"/>
    <n v="916"/>
    <x v="225"/>
    <x v="0"/>
  </r>
  <r>
    <n v="6079"/>
    <x v="4"/>
    <s v="San Luis Obispo"/>
    <n v="4461"/>
    <n v="1236"/>
    <n v="507"/>
    <n v="499"/>
    <n v="1132"/>
    <n v="1087"/>
    <n v="1022"/>
    <n v="1157"/>
    <n v="2282"/>
    <n v="4086"/>
    <n v="373"/>
    <x v="226"/>
    <x v="0"/>
  </r>
  <r>
    <n v="6081"/>
    <x v="4"/>
    <s v="San Mateo"/>
    <n v="4240"/>
    <n v="933"/>
    <n v="442"/>
    <n v="449"/>
    <n v="1141"/>
    <n v="1275"/>
    <n v="1327"/>
    <n v="1150"/>
    <n v="1763"/>
    <n v="3849"/>
    <n v="390"/>
    <x v="227"/>
    <x v="0"/>
  </r>
  <r>
    <n v="6083"/>
    <x v="4"/>
    <s v="Santa Barbara"/>
    <n v="6034"/>
    <n v="1386"/>
    <n v="640"/>
    <n v="655"/>
    <n v="1695"/>
    <n v="1658"/>
    <n v="1808"/>
    <n v="1727"/>
    <n v="2499"/>
    <n v="5394"/>
    <n v="639"/>
    <x v="228"/>
    <x v="0"/>
  </r>
  <r>
    <n v="6085"/>
    <x v="4"/>
    <s v="Santa Clara"/>
    <n v="9813"/>
    <n v="2064"/>
    <n v="1090"/>
    <n v="1146"/>
    <n v="2887"/>
    <n v="2626"/>
    <n v="3335"/>
    <n v="2499"/>
    <n v="3979"/>
    <n v="8915"/>
    <n v="898"/>
    <x v="229"/>
    <x v="0"/>
  </r>
  <r>
    <n v="6087"/>
    <x v="4"/>
    <s v="Santa Cruz"/>
    <n v="2230"/>
    <n v="440"/>
    <n v="206"/>
    <n v="296"/>
    <n v="698"/>
    <n v="590"/>
    <n v="492"/>
    <n v="519"/>
    <n v="1219"/>
    <n v="2061"/>
    <n v="168"/>
    <x v="230"/>
    <x v="0"/>
  </r>
  <r>
    <n v="6089"/>
    <x v="4"/>
    <s v="Shasta"/>
    <n v="4575"/>
    <n v="1014"/>
    <n v="508"/>
    <n v="574"/>
    <n v="1359"/>
    <n v="1120"/>
    <n v="1167"/>
    <n v="1110"/>
    <n v="2298"/>
    <n v="4139"/>
    <n v="436"/>
    <x v="231"/>
    <x v="0"/>
  </r>
  <r>
    <n v="6091"/>
    <x v="4"/>
    <s v="Sierra"/>
    <n v="67"/>
    <n v="18"/>
    <n v="10"/>
    <n v="10"/>
    <n v="17"/>
    <n v="12"/>
    <n v="11"/>
    <n v="12"/>
    <n v="44"/>
    <m/>
    <m/>
    <x v="232"/>
    <x v="0"/>
  </r>
  <r>
    <n v="6093"/>
    <x v="4"/>
    <s v="Siskiyou"/>
    <n v="1006"/>
    <n v="270"/>
    <n v="119"/>
    <n v="136"/>
    <n v="265"/>
    <n v="216"/>
    <n v="187"/>
    <n v="256"/>
    <n v="563"/>
    <n v="931"/>
    <n v="75"/>
    <x v="233"/>
    <x v="0"/>
  </r>
  <r>
    <n v="6095"/>
    <x v="4"/>
    <s v="Solano"/>
    <n v="13981"/>
    <n v="2828"/>
    <n v="1450"/>
    <n v="1529"/>
    <n v="3744"/>
    <n v="4430"/>
    <n v="3227"/>
    <n v="4420"/>
    <n v="6333"/>
    <n v="12062"/>
    <n v="1918"/>
    <x v="234"/>
    <x v="0"/>
  </r>
  <r>
    <n v="6097"/>
    <x v="4"/>
    <s v="Sonoma"/>
    <n v="5304"/>
    <n v="1331"/>
    <n v="531"/>
    <n v="531"/>
    <n v="1456"/>
    <n v="1455"/>
    <n v="1222"/>
    <n v="1272"/>
    <n v="2810"/>
    <n v="4784"/>
    <n v="519"/>
    <x v="235"/>
    <x v="0"/>
  </r>
  <r>
    <n v="6099"/>
    <x v="4"/>
    <s v="Stanislaus"/>
    <n v="6048"/>
    <n v="1382"/>
    <n v="639"/>
    <n v="700"/>
    <n v="1852"/>
    <n v="1475"/>
    <n v="2002"/>
    <n v="1478"/>
    <n v="2568"/>
    <n v="5516"/>
    <n v="532"/>
    <x v="236"/>
    <x v="0"/>
  </r>
  <r>
    <n v="6101"/>
    <x v="4"/>
    <s v="Sutter"/>
    <n v="1890"/>
    <n v="420"/>
    <n v="216"/>
    <n v="207"/>
    <n v="574"/>
    <n v="473"/>
    <n v="546"/>
    <n v="553"/>
    <n v="791"/>
    <n v="1680"/>
    <n v="210"/>
    <x v="237"/>
    <x v="0"/>
  </r>
  <r>
    <n v="6103"/>
    <x v="4"/>
    <s v="Tehama"/>
    <n v="1369"/>
    <n v="357"/>
    <n v="154"/>
    <n v="149"/>
    <n v="383"/>
    <n v="326"/>
    <n v="325"/>
    <n v="320"/>
    <n v="724"/>
    <n v="1250"/>
    <n v="119"/>
    <x v="238"/>
    <x v="0"/>
  </r>
  <r>
    <n v="6105"/>
    <x v="4"/>
    <s v="Trinity"/>
    <n v="339"/>
    <n v="99"/>
    <n v="42"/>
    <n v="29"/>
    <n v="80"/>
    <n v="89"/>
    <n v="54"/>
    <n v="74"/>
    <n v="211"/>
    <n v="315"/>
    <n v="24"/>
    <x v="239"/>
    <x v="0"/>
  </r>
  <r>
    <n v="6107"/>
    <x v="4"/>
    <s v="Tulare"/>
    <n v="5929"/>
    <n v="1657"/>
    <n v="620"/>
    <n v="713"/>
    <n v="1727"/>
    <n v="1212"/>
    <n v="1935"/>
    <n v="1546"/>
    <n v="2448"/>
    <n v="5478"/>
    <n v="450"/>
    <x v="240"/>
    <x v="0"/>
  </r>
  <r>
    <n v="6109"/>
    <x v="4"/>
    <s v="Tuolumne"/>
    <n v="1173"/>
    <n v="271"/>
    <n v="127"/>
    <n v="138"/>
    <n v="348"/>
    <n v="289"/>
    <n v="270"/>
    <n v="271"/>
    <n v="632"/>
    <n v="1086"/>
    <n v="87"/>
    <x v="241"/>
    <x v="0"/>
  </r>
  <r>
    <n v="6111"/>
    <x v="4"/>
    <s v="Ventura"/>
    <n v="12095"/>
    <n v="2437"/>
    <n v="1168"/>
    <n v="1285"/>
    <n v="3474"/>
    <n v="3731"/>
    <n v="3836"/>
    <n v="3663"/>
    <n v="4596"/>
    <n v="10923"/>
    <n v="1170"/>
    <x v="242"/>
    <x v="0"/>
  </r>
  <r>
    <n v="6113"/>
    <x v="4"/>
    <s v="Yolo"/>
    <n v="2563"/>
    <n v="674"/>
    <n v="273"/>
    <n v="305"/>
    <n v="686"/>
    <n v="625"/>
    <n v="792"/>
    <n v="769"/>
    <n v="1002"/>
    <n v="2245"/>
    <n v="318"/>
    <x v="243"/>
    <x v="0"/>
  </r>
  <r>
    <n v="6115"/>
    <x v="4"/>
    <s v="Yuba"/>
    <n v="2546"/>
    <n v="455"/>
    <n v="262"/>
    <n v="281"/>
    <n v="813"/>
    <n v="735"/>
    <n v="937"/>
    <n v="799"/>
    <n v="810"/>
    <n v="2158"/>
    <n v="388"/>
    <x v="244"/>
    <x v="0"/>
  </r>
  <r>
    <n v="8001"/>
    <x v="5"/>
    <s v="Adams"/>
    <n v="7698"/>
    <n v="1590"/>
    <n v="978"/>
    <n v="1022"/>
    <n v="2396"/>
    <n v="1712"/>
    <n v="3220"/>
    <n v="2164"/>
    <n v="2314"/>
    <n v="6701"/>
    <n v="997"/>
    <x v="245"/>
    <x v="0"/>
  </r>
  <r>
    <n v="8003"/>
    <x v="5"/>
    <s v="Alamosa"/>
    <n v="282"/>
    <n v="54"/>
    <n v="27"/>
    <n v="35"/>
    <n v="88"/>
    <n v="78"/>
    <n v="73"/>
    <n v="81"/>
    <n v="128"/>
    <n v="255"/>
    <n v="27"/>
    <x v="246"/>
    <x v="0"/>
  </r>
  <r>
    <n v="8005"/>
    <x v="5"/>
    <s v="Arapahoe"/>
    <n v="12060"/>
    <n v="2471"/>
    <n v="1612"/>
    <n v="1679"/>
    <n v="3490"/>
    <n v="2808"/>
    <n v="4436"/>
    <n v="3772"/>
    <n v="3852"/>
    <n v="10209"/>
    <n v="1850"/>
    <x v="247"/>
    <x v="0"/>
  </r>
  <r>
    <n v="8007"/>
    <x v="5"/>
    <s v="Archuleta"/>
    <n v="332"/>
    <n v="75"/>
    <n v="34"/>
    <n v="41"/>
    <n v="101"/>
    <n v="81"/>
    <n v="69"/>
    <n v="87"/>
    <n v="176"/>
    <n v="291"/>
    <n v="41"/>
    <x v="248"/>
    <x v="0"/>
  </r>
  <r>
    <n v="8009"/>
    <x v="5"/>
    <s v="Baca"/>
    <n v="45"/>
    <n v="10"/>
    <m/>
    <m/>
    <n v="17"/>
    <m/>
    <m/>
    <m/>
    <n v="30"/>
    <m/>
    <m/>
    <x v="249"/>
    <x v="0"/>
  </r>
  <r>
    <n v="8011"/>
    <x v="5"/>
    <s v="Bent"/>
    <n v="136"/>
    <n v="38"/>
    <n v="11"/>
    <n v="13"/>
    <n v="36"/>
    <n v="38"/>
    <n v="11"/>
    <n v="37"/>
    <n v="88"/>
    <m/>
    <m/>
    <x v="250"/>
    <x v="0"/>
  </r>
  <r>
    <n v="8013"/>
    <x v="5"/>
    <s v="Boulder"/>
    <n v="3009"/>
    <n v="725"/>
    <n v="437"/>
    <n v="411"/>
    <n v="824"/>
    <n v="612"/>
    <n v="1197"/>
    <n v="785"/>
    <n v="1027"/>
    <n v="2612"/>
    <n v="396"/>
    <x v="251"/>
    <x v="0"/>
  </r>
  <r>
    <n v="8014"/>
    <x v="5"/>
    <s v="Broomfield"/>
    <n v="1178"/>
    <n v="253"/>
    <n v="164"/>
    <n v="163"/>
    <n v="350"/>
    <n v="248"/>
    <n v="542"/>
    <n v="298"/>
    <n v="338"/>
    <n v="1047"/>
    <n v="130"/>
    <x v="252"/>
    <x v="0"/>
  </r>
  <r>
    <n v="8015"/>
    <x v="5"/>
    <s v="Chaffee"/>
    <n v="401"/>
    <n v="93"/>
    <n v="59"/>
    <n v="44"/>
    <n v="105"/>
    <n v="100"/>
    <n v="82"/>
    <n v="119"/>
    <n v="200"/>
    <n v="354"/>
    <n v="47"/>
    <x v="253"/>
    <x v="0"/>
  </r>
  <r>
    <n v="8017"/>
    <x v="5"/>
    <s v="Cheyenne"/>
    <n v="26"/>
    <m/>
    <m/>
    <m/>
    <m/>
    <m/>
    <m/>
    <m/>
    <n v="10"/>
    <m/>
    <m/>
    <x v="254"/>
    <x v="0"/>
  </r>
  <r>
    <n v="8019"/>
    <x v="5"/>
    <s v="Clear Creek"/>
    <n v="160"/>
    <n v="40"/>
    <n v="19"/>
    <n v="31"/>
    <n v="36"/>
    <n v="34"/>
    <n v="42"/>
    <n v="53"/>
    <n v="65"/>
    <n v="143"/>
    <n v="17"/>
    <x v="255"/>
    <x v="0"/>
  </r>
  <r>
    <n v="8021"/>
    <x v="5"/>
    <s v="Conejos"/>
    <n v="135"/>
    <n v="26"/>
    <n v="14"/>
    <n v="15"/>
    <n v="39"/>
    <n v="41"/>
    <n v="15"/>
    <n v="39"/>
    <n v="81"/>
    <n v="125"/>
    <n v="10"/>
    <x v="256"/>
    <x v="0"/>
  </r>
  <r>
    <n v="8023"/>
    <x v="5"/>
    <s v="Costilla"/>
    <n v="148"/>
    <n v="26"/>
    <n v="11"/>
    <n v="18"/>
    <n v="45"/>
    <n v="48"/>
    <n v="21"/>
    <n v="47"/>
    <n v="80"/>
    <n v="135"/>
    <n v="13"/>
    <x v="257"/>
    <x v="0"/>
  </r>
  <r>
    <n v="8025"/>
    <x v="5"/>
    <s v="Crowley"/>
    <n v="99"/>
    <n v="19"/>
    <m/>
    <m/>
    <n v="29"/>
    <n v="30"/>
    <n v="16"/>
    <n v="30"/>
    <n v="53"/>
    <n v="87"/>
    <n v="12"/>
    <x v="258"/>
    <x v="0"/>
  </r>
  <r>
    <n v="8027"/>
    <x v="5"/>
    <s v="Custer"/>
    <n v="323"/>
    <n v="79"/>
    <n v="32"/>
    <n v="35"/>
    <n v="76"/>
    <n v="101"/>
    <n v="54"/>
    <n v="110"/>
    <n v="159"/>
    <n v="287"/>
    <n v="36"/>
    <x v="259"/>
    <x v="0"/>
  </r>
  <r>
    <n v="8029"/>
    <x v="5"/>
    <s v="Delta"/>
    <n v="979"/>
    <n v="289"/>
    <n v="125"/>
    <n v="110"/>
    <n v="242"/>
    <n v="213"/>
    <n v="161"/>
    <n v="236"/>
    <n v="582"/>
    <n v="886"/>
    <n v="93"/>
    <x v="260"/>
    <x v="0"/>
  </r>
  <r>
    <n v="8031"/>
    <x v="5"/>
    <s v="Denver"/>
    <n v="7684"/>
    <n v="1557"/>
    <n v="996"/>
    <n v="1096"/>
    <n v="2251"/>
    <n v="1784"/>
    <n v="3430"/>
    <n v="1966"/>
    <n v="2288"/>
    <n v="6552"/>
    <n v="1131"/>
    <x v="261"/>
    <x v="0"/>
  </r>
  <r>
    <n v="8033"/>
    <x v="5"/>
    <s v="Dolores"/>
    <n v="56"/>
    <m/>
    <m/>
    <m/>
    <n v="18"/>
    <n v="17"/>
    <n v="13"/>
    <n v="19"/>
    <n v="24"/>
    <m/>
    <m/>
    <x v="262"/>
    <x v="0"/>
  </r>
  <r>
    <n v="8035"/>
    <x v="5"/>
    <s v="Douglas"/>
    <n v="7654"/>
    <n v="1502"/>
    <n v="948"/>
    <n v="1074"/>
    <n v="2225"/>
    <n v="1905"/>
    <n v="2867"/>
    <n v="2930"/>
    <n v="1857"/>
    <n v="6685"/>
    <n v="967"/>
    <x v="263"/>
    <x v="0"/>
  </r>
  <r>
    <n v="8037"/>
    <x v="5"/>
    <s v="Eagle"/>
    <n v="318"/>
    <n v="87"/>
    <n v="42"/>
    <n v="38"/>
    <n v="81"/>
    <n v="70"/>
    <n v="95"/>
    <n v="99"/>
    <n v="124"/>
    <n v="276"/>
    <n v="42"/>
    <x v="264"/>
    <x v="0"/>
  </r>
  <r>
    <n v="8039"/>
    <x v="5"/>
    <s v="Elbert"/>
    <n v="932"/>
    <n v="169"/>
    <n v="111"/>
    <n v="108"/>
    <n v="304"/>
    <n v="240"/>
    <n v="326"/>
    <n v="321"/>
    <n v="285"/>
    <n v="806"/>
    <n v="126"/>
    <x v="265"/>
    <x v="0"/>
  </r>
  <r>
    <n v="8041"/>
    <x v="5"/>
    <s v="El Paso"/>
    <n v="52489"/>
    <n v="7178"/>
    <n v="5463"/>
    <n v="6562"/>
    <n v="16118"/>
    <n v="17168"/>
    <n v="20354"/>
    <n v="20062"/>
    <n v="12073"/>
    <n v="43291"/>
    <n v="9195"/>
    <x v="266"/>
    <x v="0"/>
  </r>
  <r>
    <n v="8043"/>
    <x v="5"/>
    <s v="Fremont"/>
    <n v="1660"/>
    <n v="317"/>
    <n v="182"/>
    <n v="204"/>
    <n v="498"/>
    <n v="459"/>
    <n v="418"/>
    <n v="523"/>
    <n v="719"/>
    <n v="1472"/>
    <n v="188"/>
    <x v="267"/>
    <x v="0"/>
  </r>
  <r>
    <n v="8045"/>
    <x v="5"/>
    <s v="Garfield"/>
    <n v="689"/>
    <n v="195"/>
    <n v="103"/>
    <n v="98"/>
    <n v="171"/>
    <n v="122"/>
    <n v="183"/>
    <n v="185"/>
    <n v="321"/>
    <n v="629"/>
    <n v="60"/>
    <x v="268"/>
    <x v="0"/>
  </r>
  <r>
    <n v="8047"/>
    <x v="5"/>
    <s v="Gilpin"/>
    <n v="129"/>
    <n v="25"/>
    <n v="17"/>
    <n v="16"/>
    <n v="36"/>
    <n v="35"/>
    <n v="30"/>
    <n v="48"/>
    <n v="51"/>
    <n v="115"/>
    <n v="14"/>
    <x v="269"/>
    <x v="0"/>
  </r>
  <r>
    <n v="8049"/>
    <x v="5"/>
    <s v="Grand"/>
    <n v="219"/>
    <n v="63"/>
    <n v="37"/>
    <n v="23"/>
    <n v="42"/>
    <n v="54"/>
    <n v="52"/>
    <n v="45"/>
    <n v="122"/>
    <n v="195"/>
    <n v="24"/>
    <x v="270"/>
    <x v="0"/>
  </r>
  <r>
    <n v="8051"/>
    <x v="5"/>
    <s v="Gunnison"/>
    <n v="196"/>
    <n v="55"/>
    <n v="19"/>
    <n v="31"/>
    <n v="53"/>
    <n v="38"/>
    <n v="56"/>
    <n v="53"/>
    <n v="87"/>
    <n v="178"/>
    <n v="18"/>
    <x v="271"/>
    <x v="0"/>
  </r>
  <r>
    <n v="8053"/>
    <x v="5"/>
    <s v="Hinsdale"/>
    <n v="18"/>
    <m/>
    <m/>
    <m/>
    <m/>
    <m/>
    <m/>
    <m/>
    <m/>
    <m/>
    <m/>
    <x v="272"/>
    <x v="0"/>
  </r>
  <r>
    <n v="8055"/>
    <x v="5"/>
    <s v="Huerfano"/>
    <n v="248"/>
    <n v="44"/>
    <n v="24"/>
    <n v="25"/>
    <n v="81"/>
    <n v="74"/>
    <n v="32"/>
    <n v="69"/>
    <n v="147"/>
    <n v="223"/>
    <n v="25"/>
    <x v="273"/>
    <x v="0"/>
  </r>
  <r>
    <n v="8057"/>
    <x v="5"/>
    <s v="Jackson"/>
    <n v="22"/>
    <m/>
    <m/>
    <m/>
    <m/>
    <m/>
    <m/>
    <m/>
    <m/>
    <m/>
    <m/>
    <x v="274"/>
    <x v="0"/>
  </r>
  <r>
    <n v="8059"/>
    <x v="5"/>
    <s v="Jefferson"/>
    <n v="8678"/>
    <n v="2081"/>
    <n v="1245"/>
    <n v="1176"/>
    <n v="2365"/>
    <n v="1811"/>
    <n v="3001"/>
    <n v="2410"/>
    <n v="3267"/>
    <n v="7642"/>
    <n v="1034"/>
    <x v="275"/>
    <x v="0"/>
  </r>
  <r>
    <n v="8061"/>
    <x v="5"/>
    <s v="Kiowa"/>
    <n v="28"/>
    <m/>
    <m/>
    <m/>
    <m/>
    <m/>
    <m/>
    <m/>
    <n v="13"/>
    <m/>
    <m/>
    <x v="276"/>
    <x v="0"/>
  </r>
  <r>
    <n v="8063"/>
    <x v="5"/>
    <s v="Kit Carson"/>
    <n v="82"/>
    <n v="20"/>
    <m/>
    <m/>
    <n v="24"/>
    <n v="16"/>
    <n v="20"/>
    <n v="25"/>
    <n v="37"/>
    <m/>
    <m/>
    <x v="277"/>
    <x v="0"/>
  </r>
  <r>
    <n v="8065"/>
    <x v="5"/>
    <s v="Lake"/>
    <n v="98"/>
    <n v="22"/>
    <n v="11"/>
    <n v="10"/>
    <n v="28"/>
    <n v="27"/>
    <n v="33"/>
    <n v="28"/>
    <n v="37"/>
    <n v="80"/>
    <n v="18"/>
    <x v="278"/>
    <x v="0"/>
  </r>
  <r>
    <n v="8067"/>
    <x v="5"/>
    <s v="La Plata"/>
    <n v="916"/>
    <n v="210"/>
    <n v="100"/>
    <n v="128"/>
    <n v="264"/>
    <n v="214"/>
    <n v="243"/>
    <n v="287"/>
    <n v="386"/>
    <n v="816"/>
    <n v="100"/>
    <x v="279"/>
    <x v="0"/>
  </r>
  <r>
    <n v="8069"/>
    <x v="5"/>
    <s v="Larimer"/>
    <n v="6780"/>
    <n v="1765"/>
    <n v="875"/>
    <n v="884"/>
    <n v="1826"/>
    <n v="1430"/>
    <n v="2512"/>
    <n v="1734"/>
    <n v="2534"/>
    <n v="5992"/>
    <n v="786"/>
    <x v="280"/>
    <x v="0"/>
  </r>
  <r>
    <n v="8071"/>
    <x v="5"/>
    <s v="Las Animas"/>
    <n v="384"/>
    <n v="71"/>
    <n v="32"/>
    <n v="36"/>
    <n v="107"/>
    <n v="138"/>
    <n v="63"/>
    <n v="115"/>
    <n v="206"/>
    <n v="344"/>
    <n v="40"/>
    <x v="281"/>
    <x v="0"/>
  </r>
  <r>
    <n v="8073"/>
    <x v="5"/>
    <s v="Lincoln"/>
    <n v="112"/>
    <n v="16"/>
    <n v="14"/>
    <n v="19"/>
    <n v="34"/>
    <n v="29"/>
    <n v="35"/>
    <n v="29"/>
    <n v="48"/>
    <n v="98"/>
    <n v="14"/>
    <x v="282"/>
    <x v="0"/>
  </r>
  <r>
    <n v="8075"/>
    <x v="5"/>
    <s v="Logan"/>
    <n v="348"/>
    <n v="101"/>
    <n v="42"/>
    <n v="53"/>
    <n v="86"/>
    <n v="66"/>
    <n v="77"/>
    <n v="103"/>
    <n v="168"/>
    <n v="317"/>
    <n v="31"/>
    <x v="283"/>
    <x v="0"/>
  </r>
  <r>
    <n v="8077"/>
    <x v="5"/>
    <s v="Mesa"/>
    <n v="5370"/>
    <n v="1622"/>
    <n v="680"/>
    <n v="650"/>
    <n v="1327"/>
    <n v="1091"/>
    <n v="1313"/>
    <n v="1531"/>
    <n v="2526"/>
    <n v="4820"/>
    <n v="550"/>
    <x v="284"/>
    <x v="0"/>
  </r>
  <r>
    <n v="8079"/>
    <x v="5"/>
    <s v="Mineral"/>
    <n v="24"/>
    <m/>
    <m/>
    <m/>
    <n v="11"/>
    <m/>
    <m/>
    <m/>
    <m/>
    <m/>
    <m/>
    <x v="285"/>
    <x v="0"/>
  </r>
  <r>
    <n v="8081"/>
    <x v="5"/>
    <s v="Moffat"/>
    <n v="282"/>
    <n v="83"/>
    <n v="30"/>
    <n v="41"/>
    <n v="73"/>
    <n v="55"/>
    <n v="70"/>
    <n v="75"/>
    <n v="137"/>
    <n v="257"/>
    <n v="25"/>
    <x v="286"/>
    <x v="0"/>
  </r>
  <r>
    <n v="8083"/>
    <x v="5"/>
    <s v="Montezuma"/>
    <n v="788"/>
    <n v="208"/>
    <n v="102"/>
    <n v="101"/>
    <n v="203"/>
    <n v="174"/>
    <n v="155"/>
    <n v="224"/>
    <n v="409"/>
    <n v="709"/>
    <n v="79"/>
    <x v="287"/>
    <x v="0"/>
  </r>
  <r>
    <n v="8085"/>
    <x v="5"/>
    <s v="Montrose"/>
    <n v="1134"/>
    <n v="385"/>
    <n v="140"/>
    <n v="118"/>
    <n v="260"/>
    <n v="231"/>
    <n v="241"/>
    <n v="278"/>
    <n v="615"/>
    <n v="1032"/>
    <n v="102"/>
    <x v="288"/>
    <x v="0"/>
  </r>
  <r>
    <n v="8087"/>
    <x v="5"/>
    <s v="Morgan"/>
    <n v="331"/>
    <n v="79"/>
    <n v="42"/>
    <n v="49"/>
    <n v="97"/>
    <n v="64"/>
    <n v="96"/>
    <n v="96"/>
    <n v="139"/>
    <n v="299"/>
    <n v="32"/>
    <x v="289"/>
    <x v="0"/>
  </r>
  <r>
    <n v="8089"/>
    <x v="5"/>
    <s v="Otero"/>
    <n v="398"/>
    <n v="84"/>
    <n v="44"/>
    <n v="53"/>
    <n v="107"/>
    <n v="110"/>
    <n v="81"/>
    <n v="110"/>
    <n v="207"/>
    <n v="362"/>
    <n v="36"/>
    <x v="290"/>
    <x v="0"/>
  </r>
  <r>
    <n v="8091"/>
    <x v="5"/>
    <s v="Ouray"/>
    <n v="119"/>
    <n v="38"/>
    <n v="13"/>
    <n v="14"/>
    <n v="32"/>
    <n v="22"/>
    <n v="31"/>
    <n v="27"/>
    <n v="61"/>
    <n v="109"/>
    <n v="10"/>
    <x v="291"/>
    <x v="0"/>
  </r>
  <r>
    <n v="8093"/>
    <x v="5"/>
    <s v="Park"/>
    <n v="556"/>
    <n v="119"/>
    <n v="51"/>
    <n v="61"/>
    <n v="162"/>
    <n v="163"/>
    <n v="143"/>
    <n v="182"/>
    <n v="231"/>
    <n v="486"/>
    <n v="70"/>
    <x v="292"/>
    <x v="0"/>
  </r>
  <r>
    <n v="8095"/>
    <x v="5"/>
    <s v="Phillips"/>
    <n v="60"/>
    <n v="14"/>
    <m/>
    <n v="11"/>
    <n v="19"/>
    <m/>
    <n v="17"/>
    <n v="14"/>
    <n v="29"/>
    <m/>
    <m/>
    <x v="293"/>
    <x v="0"/>
  </r>
  <r>
    <n v="8097"/>
    <x v="5"/>
    <s v="Pitkin"/>
    <n v="83"/>
    <n v="32"/>
    <m/>
    <m/>
    <n v="17"/>
    <n v="15"/>
    <n v="19"/>
    <n v="24"/>
    <n v="40"/>
    <m/>
    <m/>
    <x v="294"/>
    <x v="0"/>
  </r>
  <r>
    <n v="8099"/>
    <x v="5"/>
    <s v="Prowers"/>
    <n v="220"/>
    <n v="73"/>
    <n v="20"/>
    <n v="22"/>
    <n v="55"/>
    <n v="50"/>
    <n v="37"/>
    <n v="54"/>
    <n v="129"/>
    <m/>
    <m/>
    <x v="295"/>
    <x v="0"/>
  </r>
  <r>
    <n v="8101"/>
    <x v="5"/>
    <s v="Pueblo"/>
    <n v="5446"/>
    <n v="881"/>
    <n v="522"/>
    <n v="624"/>
    <n v="1735"/>
    <n v="1684"/>
    <n v="1627"/>
    <n v="1638"/>
    <n v="2181"/>
    <n v="4798"/>
    <n v="648"/>
    <x v="296"/>
    <x v="0"/>
  </r>
  <r>
    <n v="8103"/>
    <x v="5"/>
    <s v="Rio Blanco"/>
    <n v="145"/>
    <n v="51"/>
    <n v="24"/>
    <n v="21"/>
    <n v="25"/>
    <n v="24"/>
    <n v="35"/>
    <n v="33"/>
    <n v="77"/>
    <n v="132"/>
    <n v="13"/>
    <x v="297"/>
    <x v="0"/>
  </r>
  <r>
    <n v="8105"/>
    <x v="5"/>
    <s v="Rio Grande"/>
    <n v="257"/>
    <n v="51"/>
    <n v="24"/>
    <n v="29"/>
    <n v="78"/>
    <n v="75"/>
    <n v="44"/>
    <n v="81"/>
    <n v="132"/>
    <n v="235"/>
    <n v="22"/>
    <x v="298"/>
    <x v="0"/>
  </r>
  <r>
    <n v="8107"/>
    <x v="5"/>
    <s v="Routt"/>
    <n v="252"/>
    <n v="78"/>
    <n v="35"/>
    <n v="31"/>
    <n v="64"/>
    <n v="44"/>
    <n v="51"/>
    <n v="73"/>
    <n v="128"/>
    <n v="234"/>
    <n v="18"/>
    <x v="299"/>
    <x v="0"/>
  </r>
  <r>
    <n v="8109"/>
    <x v="5"/>
    <s v="Saguache"/>
    <n v="117"/>
    <n v="21"/>
    <m/>
    <m/>
    <n v="32"/>
    <n v="43"/>
    <n v="22"/>
    <n v="37"/>
    <n v="58"/>
    <n v="100"/>
    <n v="17"/>
    <x v="300"/>
    <x v="0"/>
  </r>
  <r>
    <n v="8111"/>
    <x v="5"/>
    <s v="San Juan"/>
    <n v="17"/>
    <m/>
    <m/>
    <m/>
    <m/>
    <m/>
    <m/>
    <m/>
    <m/>
    <m/>
    <m/>
    <x v="301"/>
    <x v="0"/>
  </r>
  <r>
    <n v="8113"/>
    <x v="5"/>
    <s v="San Miguel"/>
    <n v="72"/>
    <n v="23"/>
    <n v="12"/>
    <n v="10"/>
    <n v="17"/>
    <n v="10"/>
    <n v="23"/>
    <n v="21"/>
    <n v="28"/>
    <n v="61"/>
    <n v="11"/>
    <x v="302"/>
    <x v="0"/>
  </r>
  <r>
    <n v="8115"/>
    <x v="5"/>
    <s v="Sedgwick"/>
    <n v="43"/>
    <n v="13"/>
    <m/>
    <m/>
    <m/>
    <n v="12"/>
    <m/>
    <m/>
    <n v="32"/>
    <m/>
    <m/>
    <x v="303"/>
    <x v="0"/>
  </r>
  <r>
    <n v="8117"/>
    <x v="5"/>
    <s v="Summit"/>
    <n v="257"/>
    <n v="64"/>
    <n v="31"/>
    <n v="42"/>
    <n v="75"/>
    <n v="45"/>
    <n v="88"/>
    <n v="84"/>
    <n v="85"/>
    <n v="224"/>
    <n v="33"/>
    <x v="304"/>
    <x v="0"/>
  </r>
  <r>
    <n v="8119"/>
    <x v="5"/>
    <s v="Teller"/>
    <n v="1342"/>
    <n v="241"/>
    <n v="128"/>
    <n v="156"/>
    <n v="381"/>
    <n v="436"/>
    <n v="322"/>
    <n v="513"/>
    <n v="507"/>
    <n v="1174"/>
    <n v="168"/>
    <x v="305"/>
    <x v="0"/>
  </r>
  <r>
    <n v="8121"/>
    <x v="5"/>
    <s v="Washington"/>
    <n v="73"/>
    <m/>
    <n v="13"/>
    <m/>
    <n v="22"/>
    <n v="19"/>
    <n v="15"/>
    <n v="26"/>
    <n v="32"/>
    <m/>
    <m/>
    <x v="306"/>
    <x v="0"/>
  </r>
  <r>
    <n v="8123"/>
    <x v="5"/>
    <s v="Weld"/>
    <n v="6067"/>
    <n v="1394"/>
    <n v="753"/>
    <n v="805"/>
    <n v="1752"/>
    <n v="1363"/>
    <n v="2421"/>
    <n v="1731"/>
    <n v="1915"/>
    <n v="5389"/>
    <n v="678"/>
    <x v="307"/>
    <x v="0"/>
  </r>
  <r>
    <n v="8125"/>
    <x v="5"/>
    <s v="Yuma"/>
    <n v="86"/>
    <n v="19"/>
    <n v="18"/>
    <n v="10"/>
    <n v="23"/>
    <n v="16"/>
    <n v="13"/>
    <n v="21"/>
    <n v="52"/>
    <m/>
    <m/>
    <x v="308"/>
    <x v="0"/>
  </r>
  <r>
    <n v="9110"/>
    <x v="6"/>
    <s v="Capitol"/>
    <n v="10233"/>
    <n v="2724"/>
    <n v="1314"/>
    <n v="1236"/>
    <n v="2688"/>
    <n v="2271"/>
    <n v="3135"/>
    <n v="2920"/>
    <n v="4178"/>
    <n v="9094"/>
    <n v="1137"/>
    <x v="309"/>
    <x v="0"/>
  </r>
  <r>
    <n v="9120"/>
    <x v="6"/>
    <s v="Greater Bridgeport"/>
    <n v="1828"/>
    <n v="467"/>
    <n v="223"/>
    <n v="241"/>
    <n v="505"/>
    <n v="392"/>
    <n v="534"/>
    <n v="494"/>
    <n v="800"/>
    <n v="1633"/>
    <n v="195"/>
    <x v="310"/>
    <x v="0"/>
  </r>
  <r>
    <n v="9130"/>
    <x v="6"/>
    <s v="Lower Connecticut River Valley"/>
    <n v="2303"/>
    <n v="602"/>
    <n v="318"/>
    <n v="304"/>
    <n v="603"/>
    <n v="476"/>
    <n v="672"/>
    <n v="629"/>
    <n v="1002"/>
    <n v="2090"/>
    <n v="213"/>
    <x v="311"/>
    <x v="0"/>
  </r>
  <r>
    <n v="9140"/>
    <x v="6"/>
    <s v="Naugatuck Valley"/>
    <n v="4551"/>
    <n v="1150"/>
    <n v="579"/>
    <n v="564"/>
    <n v="1282"/>
    <n v="976"/>
    <n v="1507"/>
    <n v="1152"/>
    <n v="1892"/>
    <n v="4147"/>
    <n v="402"/>
    <x v="312"/>
    <x v="0"/>
  </r>
  <r>
    <n v="9150"/>
    <x v="6"/>
    <s v="Northeastern Connecticut"/>
    <n v="1861"/>
    <n v="459"/>
    <n v="225"/>
    <n v="245"/>
    <n v="537"/>
    <n v="395"/>
    <n v="520"/>
    <n v="580"/>
    <n v="761"/>
    <n v="1710"/>
    <n v="149"/>
    <x v="313"/>
    <x v="0"/>
  </r>
  <r>
    <n v="9160"/>
    <x v="6"/>
    <s v="Northwest Hills"/>
    <n v="1340"/>
    <n v="346"/>
    <n v="197"/>
    <n v="160"/>
    <n v="331"/>
    <n v="306"/>
    <n v="377"/>
    <n v="318"/>
    <n v="645"/>
    <n v="1228"/>
    <n v="112"/>
    <x v="314"/>
    <x v="0"/>
  </r>
  <r>
    <n v="9170"/>
    <x v="6"/>
    <s v="South Central Connecticut"/>
    <n v="5542"/>
    <n v="1408"/>
    <n v="660"/>
    <n v="659"/>
    <n v="1500"/>
    <n v="1315"/>
    <n v="1629"/>
    <n v="1419"/>
    <n v="2494"/>
    <n v="4981"/>
    <n v="560"/>
    <x v="315"/>
    <x v="0"/>
  </r>
  <r>
    <n v="9180"/>
    <x v="6"/>
    <s v="Southeastern Connecticut"/>
    <n v="6329"/>
    <n v="1411"/>
    <n v="763"/>
    <n v="900"/>
    <n v="1932"/>
    <n v="1323"/>
    <n v="2044"/>
    <n v="2204"/>
    <n v="2081"/>
    <n v="5641"/>
    <n v="688"/>
    <x v="316"/>
    <x v="0"/>
  </r>
  <r>
    <n v="9190"/>
    <x v="6"/>
    <s v="Western Connecticut"/>
    <n v="2833"/>
    <n v="728"/>
    <n v="346"/>
    <n v="346"/>
    <n v="754"/>
    <n v="659"/>
    <n v="866"/>
    <n v="690"/>
    <n v="1277"/>
    <n v="2607"/>
    <n v="225"/>
    <x v="317"/>
    <x v="0"/>
  </r>
  <r>
    <n v="10001"/>
    <x v="7"/>
    <s v="Kent"/>
    <n v="7050"/>
    <n v="1148"/>
    <n v="733"/>
    <n v="882"/>
    <n v="2275"/>
    <n v="2012"/>
    <n v="1646"/>
    <n v="2736"/>
    <n v="2667"/>
    <n v="5860"/>
    <n v="1189"/>
    <x v="318"/>
    <x v="0"/>
  </r>
  <r>
    <n v="10003"/>
    <x v="7"/>
    <s v="New Castle"/>
    <n v="7491"/>
    <n v="1475"/>
    <n v="841"/>
    <n v="890"/>
    <n v="2352"/>
    <n v="1933"/>
    <n v="1871"/>
    <n v="2566"/>
    <n v="3054"/>
    <n v="6422"/>
    <n v="1069"/>
    <x v="319"/>
    <x v="0"/>
  </r>
  <r>
    <n v="10005"/>
    <x v="7"/>
    <s v="Sussex"/>
    <n v="4953"/>
    <n v="1081"/>
    <n v="567"/>
    <n v="615"/>
    <n v="1453"/>
    <n v="1237"/>
    <n v="834"/>
    <n v="1294"/>
    <n v="2825"/>
    <n v="4390"/>
    <n v="561"/>
    <x v="320"/>
    <x v="0"/>
  </r>
  <r>
    <n v="11001"/>
    <x v="8"/>
    <s v="District Of Columbia"/>
    <n v="7384"/>
    <n v="1294"/>
    <n v="828"/>
    <n v="925"/>
    <n v="2196"/>
    <n v="2141"/>
    <n v="2824"/>
    <n v="2496"/>
    <n v="2064"/>
    <n v="5925"/>
    <n v="1459"/>
    <x v="321"/>
    <x v="0"/>
  </r>
  <r>
    <n v="12001"/>
    <x v="9"/>
    <s v="Alachua"/>
    <n v="5640"/>
    <n v="1133"/>
    <n v="618"/>
    <n v="695"/>
    <n v="1621"/>
    <n v="1573"/>
    <n v="1476"/>
    <n v="1876"/>
    <n v="2288"/>
    <n v="4834"/>
    <n v="803"/>
    <x v="322"/>
    <x v="0"/>
  </r>
  <r>
    <n v="12003"/>
    <x v="9"/>
    <s v="Baker"/>
    <n v="807"/>
    <n v="148"/>
    <n v="80"/>
    <n v="90"/>
    <n v="241"/>
    <n v="248"/>
    <n v="210"/>
    <n v="293"/>
    <n v="304"/>
    <n v="728"/>
    <n v="79"/>
    <x v="323"/>
    <x v="0"/>
  </r>
  <r>
    <n v="12005"/>
    <x v="9"/>
    <s v="Bay"/>
    <n v="10325"/>
    <n v="1911"/>
    <n v="1063"/>
    <n v="1120"/>
    <n v="2872"/>
    <n v="3359"/>
    <n v="2378"/>
    <n v="4180"/>
    <n v="3767"/>
    <n v="8811"/>
    <n v="1514"/>
    <x v="324"/>
    <x v="0"/>
  </r>
  <r>
    <n v="12007"/>
    <x v="9"/>
    <s v="Bradford"/>
    <n v="891"/>
    <n v="183"/>
    <n v="92"/>
    <n v="109"/>
    <n v="249"/>
    <n v="258"/>
    <n v="197"/>
    <n v="321"/>
    <n v="373"/>
    <n v="805"/>
    <n v="86"/>
    <x v="325"/>
    <x v="0"/>
  </r>
  <r>
    <n v="12009"/>
    <x v="9"/>
    <s v="Brevard"/>
    <n v="29014"/>
    <n v="5240"/>
    <n v="2806"/>
    <n v="3196"/>
    <n v="8600"/>
    <n v="9172"/>
    <n v="6905"/>
    <n v="10593"/>
    <n v="11516"/>
    <n v="25088"/>
    <n v="3924"/>
    <x v="326"/>
    <x v="0"/>
  </r>
  <r>
    <n v="12011"/>
    <x v="9"/>
    <s v="Broward"/>
    <n v="21025"/>
    <n v="3755"/>
    <n v="2044"/>
    <n v="2223"/>
    <n v="6388"/>
    <n v="6615"/>
    <n v="6942"/>
    <n v="7408"/>
    <n v="6675"/>
    <n v="18035"/>
    <n v="2984"/>
    <x v="327"/>
    <x v="0"/>
  </r>
  <r>
    <n v="12013"/>
    <x v="9"/>
    <s v="Calhoun"/>
    <n v="335"/>
    <n v="59"/>
    <n v="36"/>
    <n v="37"/>
    <n v="114"/>
    <n v="89"/>
    <n v="82"/>
    <n v="119"/>
    <n v="134"/>
    <n v="291"/>
    <n v="44"/>
    <x v="328"/>
    <x v="0"/>
  </r>
  <r>
    <n v="12015"/>
    <x v="9"/>
    <s v="Charlotte"/>
    <n v="6720"/>
    <n v="1605"/>
    <n v="652"/>
    <n v="726"/>
    <n v="1996"/>
    <n v="1741"/>
    <n v="976"/>
    <n v="1813"/>
    <n v="3931"/>
    <n v="6131"/>
    <n v="589"/>
    <x v="329"/>
    <x v="0"/>
  </r>
  <r>
    <n v="12017"/>
    <x v="9"/>
    <s v="Citrus"/>
    <n v="6667"/>
    <n v="1362"/>
    <n v="732"/>
    <n v="731"/>
    <n v="1970"/>
    <n v="1872"/>
    <n v="1070"/>
    <n v="1976"/>
    <n v="3621"/>
    <n v="5952"/>
    <n v="715"/>
    <x v="330"/>
    <x v="0"/>
  </r>
  <r>
    <n v="12019"/>
    <x v="9"/>
    <s v="Clay"/>
    <n v="15187"/>
    <n v="2321"/>
    <n v="1351"/>
    <n v="1593"/>
    <n v="4165"/>
    <n v="5757"/>
    <n v="3754"/>
    <n v="6801"/>
    <n v="4632"/>
    <n v="12637"/>
    <n v="2550"/>
    <x v="331"/>
    <x v="0"/>
  </r>
  <r>
    <n v="12021"/>
    <x v="9"/>
    <s v="Collier"/>
    <n v="4776"/>
    <n v="1183"/>
    <n v="538"/>
    <n v="532"/>
    <n v="1359"/>
    <n v="1164"/>
    <n v="837"/>
    <n v="1112"/>
    <n v="2827"/>
    <n v="4418"/>
    <n v="358"/>
    <x v="332"/>
    <x v="0"/>
  </r>
  <r>
    <n v="12023"/>
    <x v="9"/>
    <s v="Columbia"/>
    <n v="2806"/>
    <n v="557"/>
    <n v="299"/>
    <n v="331"/>
    <n v="820"/>
    <n v="799"/>
    <n v="557"/>
    <n v="926"/>
    <n v="1323"/>
    <n v="2494"/>
    <n v="312"/>
    <x v="333"/>
    <x v="0"/>
  </r>
  <r>
    <n v="12027"/>
    <x v="9"/>
    <s v="DeSoto"/>
    <n v="547"/>
    <n v="129"/>
    <n v="56"/>
    <n v="67"/>
    <n v="152"/>
    <n v="143"/>
    <n v="98"/>
    <n v="115"/>
    <n v="334"/>
    <n v="500"/>
    <n v="47"/>
    <x v="334"/>
    <x v="0"/>
  </r>
  <r>
    <n v="12029"/>
    <x v="9"/>
    <s v="Dixie"/>
    <n v="460"/>
    <n v="81"/>
    <n v="52"/>
    <n v="54"/>
    <n v="153"/>
    <n v="120"/>
    <n v="68"/>
    <n v="129"/>
    <n v="263"/>
    <n v="417"/>
    <n v="43"/>
    <x v="335"/>
    <x v="0"/>
  </r>
  <r>
    <n v="12031"/>
    <x v="9"/>
    <s v="Duval"/>
    <n v="37487"/>
    <n v="6337"/>
    <n v="3750"/>
    <n v="4042"/>
    <n v="10977"/>
    <n v="12381"/>
    <n v="11403"/>
    <n v="15449"/>
    <n v="10635"/>
    <n v="30566"/>
    <n v="6918"/>
    <x v="336"/>
    <x v="0"/>
  </r>
  <r>
    <n v="12033"/>
    <x v="9"/>
    <s v="Escambia"/>
    <n v="17646"/>
    <n v="3425"/>
    <n v="1910"/>
    <n v="2067"/>
    <n v="5277"/>
    <n v="4967"/>
    <n v="4208"/>
    <n v="6711"/>
    <n v="6727"/>
    <n v="14800"/>
    <n v="2845"/>
    <x v="337"/>
    <x v="0"/>
  </r>
  <r>
    <n v="12035"/>
    <x v="9"/>
    <s v="Flagler"/>
    <n v="4878"/>
    <n v="929"/>
    <n v="402"/>
    <n v="490"/>
    <n v="1412"/>
    <n v="1645"/>
    <n v="995"/>
    <n v="1615"/>
    <n v="2268"/>
    <n v="4343"/>
    <n v="534"/>
    <x v="338"/>
    <x v="0"/>
  </r>
  <r>
    <n v="12037"/>
    <x v="9"/>
    <s v="Franklin"/>
    <n v="294"/>
    <n v="64"/>
    <n v="37"/>
    <n v="38"/>
    <n v="67"/>
    <n v="88"/>
    <n v="37"/>
    <n v="84"/>
    <n v="173"/>
    <n v="273"/>
    <n v="21"/>
    <x v="339"/>
    <x v="0"/>
  </r>
  <r>
    <n v="12039"/>
    <x v="9"/>
    <s v="Gadsden"/>
    <n v="1143"/>
    <n v="184"/>
    <n v="106"/>
    <n v="136"/>
    <n v="350"/>
    <n v="367"/>
    <n v="195"/>
    <n v="399"/>
    <n v="549"/>
    <n v="992"/>
    <n v="151"/>
    <x v="340"/>
    <x v="0"/>
  </r>
  <r>
    <n v="12041"/>
    <x v="9"/>
    <s v="Gilchrist"/>
    <n v="561"/>
    <n v="107"/>
    <n v="53"/>
    <n v="69"/>
    <n v="164"/>
    <n v="168"/>
    <n v="137"/>
    <n v="184"/>
    <n v="240"/>
    <n v="500"/>
    <n v="61"/>
    <x v="341"/>
    <x v="0"/>
  </r>
  <r>
    <n v="12043"/>
    <x v="9"/>
    <s v="Glades"/>
    <n v="347"/>
    <n v="85"/>
    <n v="40"/>
    <n v="45"/>
    <n v="103"/>
    <n v="74"/>
    <n v="30"/>
    <n v="76"/>
    <n v="241"/>
    <n v="322"/>
    <n v="25"/>
    <x v="342"/>
    <x v="0"/>
  </r>
  <r>
    <n v="12045"/>
    <x v="9"/>
    <s v="Gulf"/>
    <n v="545"/>
    <n v="121"/>
    <n v="58"/>
    <n v="63"/>
    <n v="155"/>
    <n v="148"/>
    <n v="76"/>
    <n v="197"/>
    <n v="272"/>
    <n v="478"/>
    <n v="67"/>
    <x v="343"/>
    <x v="0"/>
  </r>
  <r>
    <n v="12047"/>
    <x v="9"/>
    <s v="Hamilton"/>
    <n v="359"/>
    <n v="66"/>
    <n v="27"/>
    <n v="40"/>
    <n v="102"/>
    <n v="124"/>
    <n v="89"/>
    <n v="110"/>
    <n v="160"/>
    <n v="310"/>
    <n v="49"/>
    <x v="344"/>
    <x v="0"/>
  </r>
  <r>
    <n v="12049"/>
    <x v="9"/>
    <s v="Hardee"/>
    <n v="262"/>
    <n v="72"/>
    <n v="28"/>
    <n v="31"/>
    <n v="73"/>
    <n v="58"/>
    <n v="61"/>
    <n v="73"/>
    <n v="128"/>
    <n v="244"/>
    <n v="18"/>
    <x v="345"/>
    <x v="0"/>
  </r>
  <r>
    <n v="12051"/>
    <x v="9"/>
    <s v="Hendry"/>
    <n v="561"/>
    <n v="139"/>
    <n v="57"/>
    <n v="61"/>
    <n v="178"/>
    <n v="126"/>
    <n v="140"/>
    <n v="158"/>
    <n v="263"/>
    <n v="498"/>
    <n v="63"/>
    <x v="346"/>
    <x v="0"/>
  </r>
  <r>
    <n v="12053"/>
    <x v="9"/>
    <s v="Hernando"/>
    <n v="7595"/>
    <n v="1302"/>
    <n v="763"/>
    <n v="794"/>
    <n v="2376"/>
    <n v="2360"/>
    <n v="1765"/>
    <n v="2306"/>
    <n v="3524"/>
    <n v="6692"/>
    <n v="903"/>
    <x v="347"/>
    <x v="0"/>
  </r>
  <r>
    <n v="12055"/>
    <x v="9"/>
    <s v="Highlands"/>
    <n v="2978"/>
    <n v="693"/>
    <n v="311"/>
    <n v="344"/>
    <n v="870"/>
    <n v="760"/>
    <n v="438"/>
    <n v="747"/>
    <n v="1793"/>
    <n v="2688"/>
    <n v="290"/>
    <x v="348"/>
    <x v="0"/>
  </r>
  <r>
    <n v="12057"/>
    <x v="9"/>
    <s v="Hillsborough"/>
    <n v="42212"/>
    <n v="6195"/>
    <n v="3889"/>
    <n v="4503"/>
    <n v="11680"/>
    <n v="15945"/>
    <n v="12488"/>
    <n v="17487"/>
    <n v="12237"/>
    <n v="34923"/>
    <n v="7287"/>
    <x v="349"/>
    <x v="0"/>
  </r>
  <r>
    <n v="12059"/>
    <x v="9"/>
    <s v="Holmes"/>
    <n v="628"/>
    <n v="108"/>
    <n v="62"/>
    <n v="75"/>
    <n v="214"/>
    <n v="169"/>
    <n v="119"/>
    <n v="208"/>
    <n v="301"/>
    <n v="584"/>
    <n v="44"/>
    <x v="350"/>
    <x v="0"/>
  </r>
  <r>
    <n v="12061"/>
    <x v="9"/>
    <s v="Indian River"/>
    <n v="4382"/>
    <n v="973"/>
    <n v="447"/>
    <n v="523"/>
    <n v="1270"/>
    <n v="1169"/>
    <n v="671"/>
    <n v="1080"/>
    <n v="2631"/>
    <n v="3987"/>
    <n v="392"/>
    <x v="351"/>
    <x v="0"/>
  </r>
  <r>
    <n v="12063"/>
    <x v="9"/>
    <s v="Jackson"/>
    <n v="1489"/>
    <n v="217"/>
    <n v="158"/>
    <n v="193"/>
    <n v="471"/>
    <n v="450"/>
    <n v="289"/>
    <n v="498"/>
    <n v="702"/>
    <n v="1329"/>
    <n v="160"/>
    <x v="352"/>
    <x v="0"/>
  </r>
  <r>
    <n v="12065"/>
    <x v="9"/>
    <s v="Jefferson"/>
    <n v="396"/>
    <n v="73"/>
    <n v="48"/>
    <n v="42"/>
    <n v="129"/>
    <n v="104"/>
    <n v="80"/>
    <n v="132"/>
    <n v="184"/>
    <n v="349"/>
    <n v="47"/>
    <x v="353"/>
    <x v="0"/>
  </r>
  <r>
    <n v="12067"/>
    <x v="9"/>
    <s v="Lafayette"/>
    <n v="190"/>
    <n v="44"/>
    <n v="17"/>
    <n v="24"/>
    <n v="53"/>
    <n v="52"/>
    <n v="39"/>
    <n v="62"/>
    <n v="89"/>
    <n v="171"/>
    <n v="19"/>
    <x v="354"/>
    <x v="0"/>
  </r>
  <r>
    <n v="12069"/>
    <x v="9"/>
    <s v="Lake"/>
    <n v="12521"/>
    <n v="2567"/>
    <n v="1222"/>
    <n v="1358"/>
    <n v="3642"/>
    <n v="3732"/>
    <n v="2755"/>
    <n v="3779"/>
    <n v="5987"/>
    <n v="11165"/>
    <n v="1355"/>
    <x v="355"/>
    <x v="0"/>
  </r>
  <r>
    <n v="12071"/>
    <x v="9"/>
    <s v="Lee"/>
    <n v="14600"/>
    <n v="3397"/>
    <n v="1615"/>
    <n v="1702"/>
    <n v="4155"/>
    <n v="3731"/>
    <n v="3292"/>
    <n v="4028"/>
    <n v="7280"/>
    <n v="13222"/>
    <n v="1377"/>
    <x v="356"/>
    <x v="0"/>
  </r>
  <r>
    <n v="12073"/>
    <x v="9"/>
    <s v="Leon"/>
    <n v="5212"/>
    <n v="1048"/>
    <n v="569"/>
    <n v="601"/>
    <n v="1524"/>
    <n v="1470"/>
    <n v="1467"/>
    <n v="1778"/>
    <n v="1967"/>
    <n v="4378"/>
    <n v="833"/>
    <x v="357"/>
    <x v="0"/>
  </r>
  <r>
    <n v="12075"/>
    <x v="9"/>
    <s v="Levy"/>
    <n v="1601"/>
    <n v="312"/>
    <n v="166"/>
    <n v="217"/>
    <n v="467"/>
    <n v="439"/>
    <n v="315"/>
    <n v="481"/>
    <n v="805"/>
    <n v="1413"/>
    <n v="188"/>
    <x v="358"/>
    <x v="0"/>
  </r>
  <r>
    <n v="12077"/>
    <x v="9"/>
    <s v="Liberty"/>
    <n v="140"/>
    <n v="31"/>
    <n v="12"/>
    <n v="13"/>
    <n v="46"/>
    <n v="38"/>
    <n v="24"/>
    <n v="45"/>
    <n v="71"/>
    <n v="126"/>
    <n v="14"/>
    <x v="359"/>
    <x v="0"/>
  </r>
  <r>
    <n v="12079"/>
    <x v="9"/>
    <s v="Madison"/>
    <n v="477"/>
    <n v="97"/>
    <n v="50"/>
    <n v="57"/>
    <n v="136"/>
    <n v="137"/>
    <n v="74"/>
    <n v="146"/>
    <n v="257"/>
    <n v="428"/>
    <n v="49"/>
    <x v="360"/>
    <x v="0"/>
  </r>
  <r>
    <n v="12081"/>
    <x v="9"/>
    <s v="Manatee"/>
    <n v="9340"/>
    <n v="1913"/>
    <n v="979"/>
    <n v="1049"/>
    <n v="2623"/>
    <n v="2776"/>
    <n v="2139"/>
    <n v="2981"/>
    <n v="4220"/>
    <n v="8274"/>
    <n v="1066"/>
    <x v="361"/>
    <x v="0"/>
  </r>
  <r>
    <n v="12083"/>
    <x v="9"/>
    <s v="Marion"/>
    <n v="12993"/>
    <n v="2640"/>
    <n v="1352"/>
    <n v="1457"/>
    <n v="3748"/>
    <n v="3796"/>
    <n v="2659"/>
    <n v="3656"/>
    <n v="6678"/>
    <n v="11511"/>
    <n v="1482"/>
    <x v="362"/>
    <x v="0"/>
  </r>
  <r>
    <n v="12085"/>
    <x v="9"/>
    <s v="Martin"/>
    <n v="2998"/>
    <n v="772"/>
    <n v="332"/>
    <n v="345"/>
    <n v="816"/>
    <n v="733"/>
    <n v="614"/>
    <n v="749"/>
    <n v="1635"/>
    <n v="2771"/>
    <n v="227"/>
    <x v="363"/>
    <x v="0"/>
  </r>
  <r>
    <n v="12086"/>
    <x v="9"/>
    <s v="Miami-Dade"/>
    <n v="17755"/>
    <n v="2968"/>
    <n v="1611"/>
    <n v="1724"/>
    <n v="5557"/>
    <n v="5895"/>
    <n v="6579"/>
    <n v="6026"/>
    <n v="5150"/>
    <n v="15609"/>
    <n v="2145"/>
    <x v="364"/>
    <x v="0"/>
  </r>
  <r>
    <n v="12087"/>
    <x v="9"/>
    <s v="Monroe"/>
    <n v="2159"/>
    <n v="447"/>
    <n v="252"/>
    <n v="243"/>
    <n v="590"/>
    <n v="627"/>
    <n v="544"/>
    <n v="881"/>
    <n v="734"/>
    <n v="1888"/>
    <n v="269"/>
    <x v="365"/>
    <x v="0"/>
  </r>
  <r>
    <n v="12089"/>
    <x v="9"/>
    <s v="Nassau"/>
    <n v="4419"/>
    <n v="757"/>
    <n v="432"/>
    <n v="498"/>
    <n v="1283"/>
    <n v="1449"/>
    <n v="1187"/>
    <n v="1781"/>
    <n v="1451"/>
    <n v="3835"/>
    <n v="584"/>
    <x v="366"/>
    <x v="0"/>
  </r>
  <r>
    <n v="12091"/>
    <x v="9"/>
    <s v="Okaloosa"/>
    <n v="20103"/>
    <n v="3402"/>
    <n v="2057"/>
    <n v="2222"/>
    <n v="5659"/>
    <n v="6763"/>
    <n v="5630"/>
    <n v="8408"/>
    <n v="6065"/>
    <n v="16695"/>
    <n v="3408"/>
    <x v="367"/>
    <x v="0"/>
  </r>
  <r>
    <n v="12093"/>
    <x v="9"/>
    <s v="Okeechobee"/>
    <n v="892"/>
    <n v="196"/>
    <n v="92"/>
    <n v="121"/>
    <n v="275"/>
    <n v="208"/>
    <n v="157"/>
    <n v="203"/>
    <n v="532"/>
    <n v="836"/>
    <n v="56"/>
    <x v="368"/>
    <x v="0"/>
  </r>
  <r>
    <n v="12095"/>
    <x v="9"/>
    <s v="Orange"/>
    <n v="25427"/>
    <n v="4095"/>
    <n v="2405"/>
    <n v="2654"/>
    <n v="7639"/>
    <n v="8634"/>
    <n v="8395"/>
    <n v="9050"/>
    <n v="7982"/>
    <n v="21673"/>
    <n v="3751"/>
    <x v="369"/>
    <x v="0"/>
  </r>
  <r>
    <n v="12097"/>
    <x v="9"/>
    <s v="Osceola"/>
    <n v="10041"/>
    <n v="1258"/>
    <n v="784"/>
    <n v="962"/>
    <n v="3007"/>
    <n v="4030"/>
    <n v="3135"/>
    <n v="3781"/>
    <n v="3125"/>
    <n v="8677"/>
    <n v="1363"/>
    <x v="370"/>
    <x v="0"/>
  </r>
  <r>
    <n v="12099"/>
    <x v="9"/>
    <s v="Palm Beach"/>
    <n v="16795"/>
    <n v="3435"/>
    <n v="1681"/>
    <n v="1846"/>
    <n v="4851"/>
    <n v="4982"/>
    <n v="4488"/>
    <n v="4954"/>
    <n v="7353"/>
    <n v="14991"/>
    <n v="1801"/>
    <x v="371"/>
    <x v="0"/>
  </r>
  <r>
    <n v="12101"/>
    <x v="9"/>
    <s v="Pasco"/>
    <n v="19524"/>
    <n v="3306"/>
    <n v="1862"/>
    <n v="2079"/>
    <n v="5578"/>
    <n v="6699"/>
    <n v="5469"/>
    <n v="6865"/>
    <n v="7190"/>
    <n v="16868"/>
    <n v="2656"/>
    <x v="372"/>
    <x v="0"/>
  </r>
  <r>
    <n v="12103"/>
    <x v="9"/>
    <s v="Pinellas"/>
    <n v="22567"/>
    <n v="4501"/>
    <n v="2485"/>
    <n v="2553"/>
    <n v="6662"/>
    <n v="6366"/>
    <n v="5341"/>
    <n v="7363"/>
    <n v="9863"/>
    <n v="19522"/>
    <n v="3045"/>
    <x v="373"/>
    <x v="0"/>
  </r>
  <r>
    <n v="12105"/>
    <x v="9"/>
    <s v="Polk"/>
    <n v="18998"/>
    <n v="3594"/>
    <n v="1881"/>
    <n v="2078"/>
    <n v="5605"/>
    <n v="5840"/>
    <n v="5046"/>
    <n v="6145"/>
    <n v="7807"/>
    <n v="16541"/>
    <n v="2454"/>
    <x v="374"/>
    <x v="0"/>
  </r>
  <r>
    <n v="12107"/>
    <x v="9"/>
    <s v="Putnam"/>
    <n v="2551"/>
    <n v="477"/>
    <n v="261"/>
    <n v="297"/>
    <n v="755"/>
    <n v="761"/>
    <n v="430"/>
    <n v="776"/>
    <n v="1345"/>
    <n v="2275"/>
    <n v="276"/>
    <x v="375"/>
    <x v="0"/>
  </r>
  <r>
    <n v="12109"/>
    <x v="9"/>
    <s v="St. Johns"/>
    <n v="10745"/>
    <n v="1741"/>
    <n v="976"/>
    <n v="1120"/>
    <n v="2788"/>
    <n v="4120"/>
    <n v="2928"/>
    <n v="4519"/>
    <n v="3298"/>
    <n v="9252"/>
    <n v="1492"/>
    <x v="376"/>
    <x v="0"/>
  </r>
  <r>
    <n v="12111"/>
    <x v="9"/>
    <s v="St. Lucie"/>
    <n v="8864"/>
    <n v="1770"/>
    <n v="764"/>
    <n v="960"/>
    <n v="2711"/>
    <n v="2659"/>
    <n v="2210"/>
    <n v="2705"/>
    <n v="3949"/>
    <n v="7758"/>
    <n v="1106"/>
    <x v="377"/>
    <x v="0"/>
  </r>
  <r>
    <n v="12113"/>
    <x v="9"/>
    <s v="Santa Rosa"/>
    <n v="16434"/>
    <n v="2620"/>
    <n v="1618"/>
    <n v="1761"/>
    <n v="4707"/>
    <n v="5728"/>
    <n v="4347"/>
    <n v="7609"/>
    <n v="4478"/>
    <n v="13884"/>
    <n v="2550"/>
    <x v="378"/>
    <x v="0"/>
  </r>
  <r>
    <n v="12115"/>
    <x v="9"/>
    <s v="Sarasota"/>
    <n v="8882"/>
    <n v="2130"/>
    <n v="992"/>
    <n v="1020"/>
    <n v="2400"/>
    <n v="2340"/>
    <n v="1624"/>
    <n v="2256"/>
    <n v="5002"/>
    <n v="8125"/>
    <n v="755"/>
    <x v="379"/>
    <x v="0"/>
  </r>
  <r>
    <n v="12117"/>
    <x v="9"/>
    <s v="Seminole"/>
    <n v="9847"/>
    <n v="1940"/>
    <n v="1022"/>
    <n v="1125"/>
    <n v="2890"/>
    <n v="2870"/>
    <n v="3134"/>
    <n v="3216"/>
    <n v="3497"/>
    <n v="8561"/>
    <n v="1286"/>
    <x v="380"/>
    <x v="0"/>
  </r>
  <r>
    <n v="12119"/>
    <x v="9"/>
    <s v="Sumter"/>
    <n v="6376"/>
    <n v="1624"/>
    <n v="764"/>
    <n v="727"/>
    <n v="1648"/>
    <n v="1613"/>
    <n v="422"/>
    <n v="1339"/>
    <n v="4615"/>
    <n v="5761"/>
    <n v="613"/>
    <x v="381"/>
    <x v="0"/>
  </r>
  <r>
    <n v="12121"/>
    <x v="9"/>
    <s v="Suwannee"/>
    <n v="1399"/>
    <n v="244"/>
    <n v="137"/>
    <n v="174"/>
    <n v="417"/>
    <n v="427"/>
    <n v="287"/>
    <n v="447"/>
    <n v="665"/>
    <n v="1257"/>
    <n v="142"/>
    <x v="382"/>
    <x v="0"/>
  </r>
  <r>
    <n v="12123"/>
    <x v="9"/>
    <s v="Taylor"/>
    <n v="533"/>
    <n v="114"/>
    <n v="53"/>
    <n v="54"/>
    <n v="163"/>
    <n v="149"/>
    <n v="94"/>
    <n v="197"/>
    <n v="242"/>
    <n v="486"/>
    <n v="47"/>
    <x v="383"/>
    <x v="0"/>
  </r>
  <r>
    <n v="12125"/>
    <x v="9"/>
    <s v="Union"/>
    <n v="344"/>
    <n v="83"/>
    <n v="38"/>
    <n v="28"/>
    <n v="114"/>
    <n v="81"/>
    <n v="68"/>
    <n v="110"/>
    <n v="166"/>
    <n v="310"/>
    <n v="34"/>
    <x v="384"/>
    <x v="0"/>
  </r>
  <r>
    <n v="12127"/>
    <x v="9"/>
    <s v="Volusia"/>
    <n v="18805"/>
    <n v="4302"/>
    <n v="1890"/>
    <n v="2024"/>
    <n v="5247"/>
    <n v="5342"/>
    <n v="4441"/>
    <n v="5387"/>
    <n v="8977"/>
    <n v="16727"/>
    <n v="2077"/>
    <x v="385"/>
    <x v="0"/>
  </r>
  <r>
    <n v="12129"/>
    <x v="9"/>
    <s v="Wakulla"/>
    <n v="1215"/>
    <n v="230"/>
    <n v="121"/>
    <n v="158"/>
    <n v="346"/>
    <n v="360"/>
    <n v="315"/>
    <n v="477"/>
    <n v="423"/>
    <n v="1058"/>
    <n v="157"/>
    <x v="386"/>
    <x v="0"/>
  </r>
  <r>
    <n v="12131"/>
    <x v="9"/>
    <s v="Walton"/>
    <n v="3437"/>
    <n v="693"/>
    <n v="331"/>
    <n v="395"/>
    <n v="903"/>
    <n v="1115"/>
    <n v="825"/>
    <n v="1317"/>
    <n v="1295"/>
    <n v="2975"/>
    <n v="462"/>
    <x v="387"/>
    <x v="0"/>
  </r>
  <r>
    <n v="12133"/>
    <x v="9"/>
    <s v="Washington"/>
    <n v="867"/>
    <n v="149"/>
    <n v="89"/>
    <n v="112"/>
    <n v="247"/>
    <n v="270"/>
    <n v="163"/>
    <n v="320"/>
    <n v="384"/>
    <n v="777"/>
    <n v="90"/>
    <x v="388"/>
    <x v="0"/>
  </r>
  <r>
    <n v="13001"/>
    <x v="10"/>
    <s v="Appling"/>
    <n v="311"/>
    <n v="51"/>
    <n v="34"/>
    <n v="43"/>
    <n v="95"/>
    <n v="88"/>
    <n v="81"/>
    <n v="110"/>
    <n v="120"/>
    <n v="278"/>
    <n v="33"/>
    <x v="389"/>
    <x v="0"/>
  </r>
  <r>
    <n v="13003"/>
    <x v="10"/>
    <s v="Atkinson"/>
    <n v="86"/>
    <n v="11"/>
    <n v="11"/>
    <n v="13"/>
    <n v="31"/>
    <n v="20"/>
    <n v="18"/>
    <n v="32"/>
    <n v="36"/>
    <m/>
    <m/>
    <x v="390"/>
    <x v="0"/>
  </r>
  <r>
    <n v="13005"/>
    <x v="10"/>
    <s v="Bacon"/>
    <n v="154"/>
    <n v="29"/>
    <n v="19"/>
    <n v="24"/>
    <n v="38"/>
    <n v="44"/>
    <n v="50"/>
    <n v="39"/>
    <n v="65"/>
    <n v="134"/>
    <n v="20"/>
    <x v="391"/>
    <x v="0"/>
  </r>
  <r>
    <n v="13007"/>
    <x v="10"/>
    <s v="Baker"/>
    <n v="64"/>
    <m/>
    <m/>
    <m/>
    <n v="26"/>
    <n v="24"/>
    <n v="10"/>
    <n v="17"/>
    <n v="37"/>
    <n v="54"/>
    <n v="10"/>
    <x v="392"/>
    <x v="0"/>
  </r>
  <r>
    <n v="13009"/>
    <x v="10"/>
    <s v="Baldwin"/>
    <n v="933"/>
    <n v="154"/>
    <n v="82"/>
    <n v="111"/>
    <n v="287"/>
    <n v="299"/>
    <n v="207"/>
    <n v="300"/>
    <n v="426"/>
    <n v="806"/>
    <n v="127"/>
    <x v="393"/>
    <x v="0"/>
  </r>
  <r>
    <n v="13011"/>
    <x v="10"/>
    <s v="Banks"/>
    <n v="367"/>
    <n v="71"/>
    <n v="47"/>
    <n v="33"/>
    <n v="116"/>
    <n v="100"/>
    <n v="112"/>
    <n v="98"/>
    <n v="157"/>
    <n v="336"/>
    <n v="31"/>
    <x v="394"/>
    <x v="0"/>
  </r>
  <r>
    <n v="13013"/>
    <x v="10"/>
    <s v="Barrow"/>
    <n v="1591"/>
    <n v="291"/>
    <n v="177"/>
    <n v="182"/>
    <n v="510"/>
    <n v="431"/>
    <n v="574"/>
    <n v="521"/>
    <n v="496"/>
    <n v="1346"/>
    <n v="245"/>
    <x v="395"/>
    <x v="0"/>
  </r>
  <r>
    <n v="13015"/>
    <x v="10"/>
    <s v="Bartow"/>
    <n v="2277"/>
    <n v="446"/>
    <n v="223"/>
    <n v="264"/>
    <n v="685"/>
    <n v="659"/>
    <n v="750"/>
    <n v="664"/>
    <n v="863"/>
    <n v="2012"/>
    <n v="265"/>
    <x v="396"/>
    <x v="0"/>
  </r>
  <r>
    <n v="13017"/>
    <x v="10"/>
    <s v="Ben Hill"/>
    <n v="323"/>
    <n v="49"/>
    <n v="24"/>
    <n v="41"/>
    <n v="108"/>
    <n v="101"/>
    <n v="70"/>
    <n v="96"/>
    <n v="157"/>
    <n v="290"/>
    <n v="33"/>
    <x v="397"/>
    <x v="0"/>
  </r>
  <r>
    <n v="13019"/>
    <x v="10"/>
    <s v="Berrien"/>
    <n v="498"/>
    <n v="76"/>
    <n v="53"/>
    <n v="51"/>
    <n v="180"/>
    <n v="138"/>
    <n v="146"/>
    <n v="182"/>
    <n v="170"/>
    <n v="423"/>
    <n v="75"/>
    <x v="398"/>
    <x v="0"/>
  </r>
  <r>
    <n v="13021"/>
    <x v="10"/>
    <s v="Bibb"/>
    <n v="4178"/>
    <n v="749"/>
    <n v="381"/>
    <n v="448"/>
    <n v="1399"/>
    <n v="1201"/>
    <n v="929"/>
    <n v="1520"/>
    <n v="1729"/>
    <n v="3511"/>
    <n v="667"/>
    <x v="399"/>
    <x v="0"/>
  </r>
  <r>
    <n v="13023"/>
    <x v="10"/>
    <s v="Bleckley"/>
    <n v="357"/>
    <n v="60"/>
    <n v="35"/>
    <n v="28"/>
    <n v="129"/>
    <n v="105"/>
    <n v="85"/>
    <n v="137"/>
    <n v="135"/>
    <n v="315"/>
    <n v="42"/>
    <x v="400"/>
    <x v="0"/>
  </r>
  <r>
    <n v="13025"/>
    <x v="10"/>
    <s v="Brantley"/>
    <n v="443"/>
    <n v="87"/>
    <n v="51"/>
    <n v="44"/>
    <n v="158"/>
    <n v="103"/>
    <n v="121"/>
    <n v="153"/>
    <n v="169"/>
    <n v="406"/>
    <n v="37"/>
    <x v="401"/>
    <x v="0"/>
  </r>
  <r>
    <n v="13027"/>
    <x v="10"/>
    <s v="Brooks"/>
    <n v="425"/>
    <n v="74"/>
    <n v="46"/>
    <n v="55"/>
    <n v="130"/>
    <n v="120"/>
    <n v="94"/>
    <n v="123"/>
    <n v="208"/>
    <n v="372"/>
    <n v="53"/>
    <x v="402"/>
    <x v="0"/>
  </r>
  <r>
    <n v="13029"/>
    <x v="10"/>
    <s v="Bryan"/>
    <n v="3301"/>
    <n v="326"/>
    <n v="224"/>
    <n v="298"/>
    <n v="984"/>
    <n v="1469"/>
    <n v="1280"/>
    <n v="1524"/>
    <n v="497"/>
    <n v="2696"/>
    <n v="605"/>
    <x v="403"/>
    <x v="0"/>
  </r>
  <r>
    <n v="13031"/>
    <x v="10"/>
    <s v="Bulloch"/>
    <n v="1650"/>
    <n v="207"/>
    <n v="166"/>
    <n v="198"/>
    <n v="606"/>
    <n v="473"/>
    <n v="589"/>
    <n v="604"/>
    <n v="457"/>
    <n v="1396"/>
    <n v="254"/>
    <x v="404"/>
    <x v="0"/>
  </r>
  <r>
    <n v="13033"/>
    <x v="10"/>
    <s v="Burke"/>
    <n v="617"/>
    <n v="102"/>
    <n v="48"/>
    <n v="68"/>
    <n v="196"/>
    <n v="203"/>
    <n v="165"/>
    <n v="225"/>
    <n v="227"/>
    <n v="516"/>
    <n v="101"/>
    <x v="405"/>
    <x v="0"/>
  </r>
  <r>
    <n v="13035"/>
    <x v="10"/>
    <s v="Butts"/>
    <n v="541"/>
    <n v="103"/>
    <n v="59"/>
    <n v="64"/>
    <n v="148"/>
    <n v="167"/>
    <n v="136"/>
    <n v="189"/>
    <n v="216"/>
    <n v="464"/>
    <n v="77"/>
    <x v="406"/>
    <x v="0"/>
  </r>
  <r>
    <n v="13037"/>
    <x v="10"/>
    <s v="Calhoun"/>
    <n v="121"/>
    <m/>
    <m/>
    <n v="11"/>
    <n v="44"/>
    <n v="49"/>
    <n v="22"/>
    <n v="44"/>
    <n v="55"/>
    <n v="106"/>
    <n v="15"/>
    <x v="407"/>
    <x v="0"/>
  </r>
  <r>
    <n v="13039"/>
    <x v="10"/>
    <s v="Camden"/>
    <n v="4108"/>
    <n v="622"/>
    <n v="390"/>
    <n v="477"/>
    <n v="1299"/>
    <n v="1320"/>
    <n v="1258"/>
    <n v="1836"/>
    <n v="1014"/>
    <n v="3591"/>
    <n v="517"/>
    <x v="408"/>
    <x v="0"/>
  </r>
  <r>
    <n v="13043"/>
    <x v="10"/>
    <s v="Candler"/>
    <n v="218"/>
    <n v="36"/>
    <n v="36"/>
    <n v="27"/>
    <n v="62"/>
    <n v="57"/>
    <n v="52"/>
    <n v="68"/>
    <n v="98"/>
    <n v="186"/>
    <n v="32"/>
    <x v="409"/>
    <x v="0"/>
  </r>
  <r>
    <n v="13045"/>
    <x v="10"/>
    <s v="Carroll"/>
    <n v="2328"/>
    <n v="466"/>
    <n v="227"/>
    <n v="278"/>
    <n v="712"/>
    <n v="645"/>
    <n v="733"/>
    <n v="770"/>
    <n v="825"/>
    <n v="1993"/>
    <n v="335"/>
    <x v="410"/>
    <x v="0"/>
  </r>
  <r>
    <n v="13047"/>
    <x v="10"/>
    <s v="Catoosa"/>
    <n v="1351"/>
    <n v="271"/>
    <n v="137"/>
    <n v="153"/>
    <n v="439"/>
    <n v="351"/>
    <n v="363"/>
    <n v="413"/>
    <n v="575"/>
    <n v="1234"/>
    <n v="117"/>
    <x v="411"/>
    <x v="0"/>
  </r>
  <r>
    <n v="13049"/>
    <x v="10"/>
    <s v="Charlton"/>
    <n v="295"/>
    <n v="72"/>
    <n v="31"/>
    <n v="32"/>
    <n v="88"/>
    <n v="72"/>
    <n v="71"/>
    <n v="94"/>
    <n v="130"/>
    <n v="259"/>
    <n v="36"/>
    <x v="412"/>
    <x v="0"/>
  </r>
  <r>
    <n v="13051"/>
    <x v="10"/>
    <s v="Chatham"/>
    <n v="10532"/>
    <n v="1384"/>
    <n v="1023"/>
    <n v="1146"/>
    <n v="3495"/>
    <n v="3484"/>
    <n v="4012"/>
    <n v="3746"/>
    <n v="2774"/>
    <n v="8419"/>
    <n v="2113"/>
    <x v="413"/>
    <x v="0"/>
  </r>
  <r>
    <n v="13053"/>
    <x v="10"/>
    <s v="Chattahoochee"/>
    <n v="404"/>
    <n v="54"/>
    <n v="44"/>
    <n v="38"/>
    <n v="135"/>
    <n v="133"/>
    <n v="186"/>
    <n v="144"/>
    <n v="74"/>
    <n v="317"/>
    <n v="87"/>
    <x v="414"/>
    <x v="0"/>
  </r>
  <r>
    <n v="13055"/>
    <x v="10"/>
    <s v="Chattooga"/>
    <n v="430"/>
    <n v="104"/>
    <n v="49"/>
    <n v="51"/>
    <n v="122"/>
    <n v="104"/>
    <n v="82"/>
    <n v="121"/>
    <n v="227"/>
    <n v="390"/>
    <n v="40"/>
    <x v="415"/>
    <x v="0"/>
  </r>
  <r>
    <n v="13057"/>
    <x v="10"/>
    <s v="Cherokee"/>
    <n v="5106"/>
    <n v="1036"/>
    <n v="578"/>
    <n v="631"/>
    <n v="1430"/>
    <n v="1431"/>
    <n v="1540"/>
    <n v="1621"/>
    <n v="1945"/>
    <n v="4527"/>
    <n v="578"/>
    <x v="416"/>
    <x v="0"/>
  </r>
  <r>
    <n v="13059"/>
    <x v="10"/>
    <s v="Clarke"/>
    <n v="1308"/>
    <n v="277"/>
    <n v="152"/>
    <n v="156"/>
    <n v="392"/>
    <n v="331"/>
    <n v="369"/>
    <n v="389"/>
    <n v="550"/>
    <n v="1129"/>
    <n v="178"/>
    <x v="417"/>
    <x v="0"/>
  </r>
  <r>
    <n v="13061"/>
    <x v="10"/>
    <s v="Clay"/>
    <n v="80"/>
    <n v="16"/>
    <m/>
    <m/>
    <n v="30"/>
    <n v="15"/>
    <n v="14"/>
    <n v="21"/>
    <n v="45"/>
    <m/>
    <m/>
    <x v="418"/>
    <x v="0"/>
  </r>
  <r>
    <n v="13063"/>
    <x v="10"/>
    <s v="Clayton"/>
    <n v="7518"/>
    <n v="1190"/>
    <n v="669"/>
    <n v="781"/>
    <n v="2466"/>
    <n v="2412"/>
    <n v="1892"/>
    <n v="3018"/>
    <n v="2608"/>
    <n v="5692"/>
    <n v="1826"/>
    <x v="419"/>
    <x v="0"/>
  </r>
  <r>
    <n v="13065"/>
    <x v="10"/>
    <s v="Clinch"/>
    <n v="109"/>
    <n v="22"/>
    <n v="18"/>
    <n v="12"/>
    <n v="29"/>
    <n v="28"/>
    <n v="17"/>
    <n v="41"/>
    <n v="51"/>
    <n v="87"/>
    <n v="22"/>
    <x v="420"/>
    <x v="0"/>
  </r>
  <r>
    <n v="13067"/>
    <x v="10"/>
    <s v="Cobb"/>
    <n v="13189"/>
    <n v="2318"/>
    <n v="1316"/>
    <n v="1480"/>
    <n v="4025"/>
    <n v="4050"/>
    <n v="4011"/>
    <n v="5002"/>
    <n v="4176"/>
    <n v="10789"/>
    <n v="2400"/>
    <x v="421"/>
    <x v="0"/>
  </r>
  <r>
    <n v="13069"/>
    <x v="10"/>
    <s v="Coffee"/>
    <n v="645"/>
    <n v="114"/>
    <n v="63"/>
    <n v="66"/>
    <n v="214"/>
    <n v="188"/>
    <n v="164"/>
    <n v="230"/>
    <n v="251"/>
    <n v="551"/>
    <n v="94"/>
    <x v="422"/>
    <x v="0"/>
  </r>
  <r>
    <n v="13071"/>
    <x v="10"/>
    <s v="Colquitt"/>
    <n v="644"/>
    <n v="109"/>
    <n v="59"/>
    <n v="91"/>
    <n v="223"/>
    <n v="162"/>
    <n v="157"/>
    <n v="212"/>
    <n v="275"/>
    <n v="572"/>
    <n v="72"/>
    <x v="423"/>
    <x v="0"/>
  </r>
  <r>
    <n v="13073"/>
    <x v="10"/>
    <s v="Columbia"/>
    <n v="11981"/>
    <n v="1123"/>
    <n v="922"/>
    <n v="1181"/>
    <n v="3520"/>
    <n v="5235"/>
    <n v="4020"/>
    <n v="5379"/>
    <n v="2582"/>
    <n v="9066"/>
    <n v="2914"/>
    <x v="424"/>
    <x v="0"/>
  </r>
  <r>
    <n v="13075"/>
    <x v="10"/>
    <s v="Cook"/>
    <n v="434"/>
    <n v="63"/>
    <n v="48"/>
    <n v="50"/>
    <n v="138"/>
    <n v="135"/>
    <n v="117"/>
    <n v="149"/>
    <n v="168"/>
    <n v="376"/>
    <n v="58"/>
    <x v="425"/>
    <x v="0"/>
  </r>
  <r>
    <n v="13077"/>
    <x v="10"/>
    <s v="Coweta"/>
    <n v="4367"/>
    <n v="852"/>
    <n v="476"/>
    <n v="498"/>
    <n v="1226"/>
    <n v="1315"/>
    <n v="1243"/>
    <n v="1687"/>
    <n v="1437"/>
    <n v="3759"/>
    <n v="608"/>
    <x v="426"/>
    <x v="0"/>
  </r>
  <r>
    <n v="13079"/>
    <x v="10"/>
    <s v="Crawford"/>
    <n v="359"/>
    <n v="56"/>
    <n v="43"/>
    <n v="55"/>
    <n v="99"/>
    <n v="106"/>
    <n v="67"/>
    <n v="132"/>
    <n v="160"/>
    <n v="322"/>
    <n v="37"/>
    <x v="427"/>
    <x v="0"/>
  </r>
  <r>
    <n v="13081"/>
    <x v="10"/>
    <s v="Crisp"/>
    <n v="346"/>
    <n v="51"/>
    <n v="39"/>
    <n v="41"/>
    <n v="106"/>
    <n v="109"/>
    <n v="80"/>
    <n v="106"/>
    <n v="160"/>
    <n v="299"/>
    <n v="47"/>
    <x v="428"/>
    <x v="0"/>
  </r>
  <r>
    <n v="13083"/>
    <x v="10"/>
    <s v="Dade"/>
    <n v="333"/>
    <n v="79"/>
    <n v="32"/>
    <n v="39"/>
    <n v="90"/>
    <n v="93"/>
    <n v="83"/>
    <n v="104"/>
    <n v="146"/>
    <n v="303"/>
    <n v="30"/>
    <x v="429"/>
    <x v="0"/>
  </r>
  <r>
    <n v="13085"/>
    <x v="10"/>
    <s v="Dawson"/>
    <n v="604"/>
    <n v="114"/>
    <n v="65"/>
    <n v="76"/>
    <n v="170"/>
    <n v="179"/>
    <n v="192"/>
    <n v="181"/>
    <n v="231"/>
    <n v="556"/>
    <n v="48"/>
    <x v="430"/>
    <x v="0"/>
  </r>
  <r>
    <n v="13087"/>
    <x v="10"/>
    <s v="Decatur"/>
    <n v="614"/>
    <n v="90"/>
    <n v="55"/>
    <n v="83"/>
    <n v="184"/>
    <n v="202"/>
    <n v="170"/>
    <n v="217"/>
    <n v="227"/>
    <n v="534"/>
    <n v="80"/>
    <x v="431"/>
    <x v="0"/>
  </r>
  <r>
    <n v="13089"/>
    <x v="10"/>
    <s v="DeKalb"/>
    <n v="12764"/>
    <n v="2251"/>
    <n v="1226"/>
    <n v="1362"/>
    <n v="4091"/>
    <n v="3834"/>
    <n v="3584"/>
    <n v="4681"/>
    <n v="4499"/>
    <n v="9999"/>
    <n v="2763"/>
    <x v="432"/>
    <x v="0"/>
  </r>
  <r>
    <n v="13091"/>
    <x v="10"/>
    <s v="Dodge"/>
    <n v="399"/>
    <n v="66"/>
    <n v="44"/>
    <n v="50"/>
    <n v="127"/>
    <n v="112"/>
    <n v="88"/>
    <n v="165"/>
    <n v="146"/>
    <n v="357"/>
    <n v="42"/>
    <x v="433"/>
    <x v="0"/>
  </r>
  <r>
    <n v="13093"/>
    <x v="10"/>
    <s v="Dooly"/>
    <n v="194"/>
    <n v="32"/>
    <n v="20"/>
    <n v="21"/>
    <n v="63"/>
    <n v="58"/>
    <n v="41"/>
    <n v="66"/>
    <n v="87"/>
    <n v="165"/>
    <n v="29"/>
    <x v="434"/>
    <x v="0"/>
  </r>
  <r>
    <n v="13095"/>
    <x v="10"/>
    <s v="Dougherty"/>
    <n v="2616"/>
    <n v="345"/>
    <n v="212"/>
    <n v="265"/>
    <n v="848"/>
    <n v="946"/>
    <n v="563"/>
    <n v="1022"/>
    <n v="1031"/>
    <n v="2169"/>
    <n v="447"/>
    <x v="435"/>
    <x v="0"/>
  </r>
  <r>
    <n v="13097"/>
    <x v="10"/>
    <s v="Douglas"/>
    <n v="4490"/>
    <n v="644"/>
    <n v="352"/>
    <n v="391"/>
    <n v="1409"/>
    <n v="1694"/>
    <n v="1173"/>
    <n v="2031"/>
    <n v="1286"/>
    <n v="3488"/>
    <n v="1002"/>
    <x v="436"/>
    <x v="0"/>
  </r>
  <r>
    <n v="13099"/>
    <x v="10"/>
    <s v="Early"/>
    <n v="251"/>
    <n v="29"/>
    <n v="26"/>
    <n v="25"/>
    <n v="79"/>
    <n v="92"/>
    <n v="69"/>
    <n v="92"/>
    <n v="90"/>
    <n v="226"/>
    <n v="25"/>
    <x v="437"/>
    <x v="0"/>
  </r>
  <r>
    <n v="13101"/>
    <x v="10"/>
    <s v="Echols"/>
    <n v="41"/>
    <m/>
    <m/>
    <m/>
    <n v="10"/>
    <n v="12"/>
    <n v="17"/>
    <n v="12"/>
    <n v="12"/>
    <m/>
    <m/>
    <x v="438"/>
    <x v="0"/>
  </r>
  <r>
    <n v="13103"/>
    <x v="10"/>
    <s v="Effingham"/>
    <n v="2986"/>
    <n v="388"/>
    <n v="255"/>
    <n v="328"/>
    <n v="1006"/>
    <n v="1009"/>
    <n v="1230"/>
    <n v="1157"/>
    <n v="599"/>
    <n v="2553"/>
    <n v="433"/>
    <x v="439"/>
    <x v="0"/>
  </r>
  <r>
    <n v="13105"/>
    <x v="10"/>
    <s v="Elbert"/>
    <n v="391"/>
    <n v="73"/>
    <n v="38"/>
    <n v="40"/>
    <n v="138"/>
    <n v="102"/>
    <n v="73"/>
    <n v="111"/>
    <n v="207"/>
    <n v="348"/>
    <n v="43"/>
    <x v="440"/>
    <x v="0"/>
  </r>
  <r>
    <n v="13107"/>
    <x v="10"/>
    <s v="Emanuel"/>
    <n v="406"/>
    <n v="69"/>
    <n v="41"/>
    <n v="41"/>
    <n v="137"/>
    <n v="118"/>
    <n v="86"/>
    <n v="147"/>
    <n v="173"/>
    <n v="359"/>
    <n v="47"/>
    <x v="441"/>
    <x v="0"/>
  </r>
  <r>
    <n v="13109"/>
    <x v="10"/>
    <s v="Evans"/>
    <n v="206"/>
    <n v="29"/>
    <n v="23"/>
    <n v="35"/>
    <n v="66"/>
    <n v="53"/>
    <n v="46"/>
    <n v="66"/>
    <n v="94"/>
    <n v="185"/>
    <n v="21"/>
    <x v="442"/>
    <x v="0"/>
  </r>
  <r>
    <n v="13111"/>
    <x v="10"/>
    <s v="Fannin"/>
    <n v="702"/>
    <n v="163"/>
    <n v="81"/>
    <n v="85"/>
    <n v="186"/>
    <n v="187"/>
    <n v="95"/>
    <n v="192"/>
    <n v="415"/>
    <n v="647"/>
    <n v="54"/>
    <x v="443"/>
    <x v="0"/>
  </r>
  <r>
    <n v="13113"/>
    <x v="10"/>
    <s v="Fayette"/>
    <n v="4339"/>
    <n v="852"/>
    <n v="426"/>
    <n v="466"/>
    <n v="1209"/>
    <n v="1386"/>
    <n v="821"/>
    <n v="1770"/>
    <n v="1748"/>
    <n v="3679"/>
    <n v="659"/>
    <x v="444"/>
    <x v="0"/>
  </r>
  <r>
    <n v="13115"/>
    <x v="10"/>
    <s v="Floyd"/>
    <n v="1686"/>
    <n v="363"/>
    <n v="183"/>
    <n v="212"/>
    <n v="498"/>
    <n v="430"/>
    <n v="415"/>
    <n v="474"/>
    <n v="797"/>
    <n v="1497"/>
    <n v="189"/>
    <x v="445"/>
    <x v="0"/>
  </r>
  <r>
    <n v="13117"/>
    <x v="10"/>
    <s v="Forsyth"/>
    <n v="2759"/>
    <n v="595"/>
    <n v="305"/>
    <n v="327"/>
    <n v="762"/>
    <n v="770"/>
    <n v="753"/>
    <n v="1004"/>
    <n v="1001"/>
    <n v="2463"/>
    <n v="295"/>
    <x v="446"/>
    <x v="0"/>
  </r>
  <r>
    <n v="13119"/>
    <x v="10"/>
    <s v="Franklin"/>
    <n v="412"/>
    <n v="84"/>
    <n v="45"/>
    <n v="48"/>
    <n v="119"/>
    <n v="116"/>
    <n v="119"/>
    <n v="107"/>
    <n v="186"/>
    <n v="373"/>
    <n v="39"/>
    <x v="447"/>
    <x v="0"/>
  </r>
  <r>
    <n v="13121"/>
    <x v="10"/>
    <s v="Fulton"/>
    <n v="15316"/>
    <n v="2354"/>
    <n v="1451"/>
    <n v="1564"/>
    <n v="4804"/>
    <n v="5143"/>
    <n v="5119"/>
    <n v="5720"/>
    <n v="4477"/>
    <n v="11969"/>
    <n v="3345"/>
    <x v="448"/>
    <x v="0"/>
  </r>
  <r>
    <n v="13123"/>
    <x v="10"/>
    <s v="Gilmer"/>
    <n v="795"/>
    <n v="190"/>
    <n v="88"/>
    <n v="88"/>
    <n v="223"/>
    <n v="206"/>
    <n v="138"/>
    <n v="226"/>
    <n v="431"/>
    <n v="731"/>
    <n v="63"/>
    <x v="449"/>
    <x v="0"/>
  </r>
  <r>
    <n v="13125"/>
    <x v="10"/>
    <s v="Glascock"/>
    <n v="48"/>
    <m/>
    <m/>
    <m/>
    <n v="15"/>
    <n v="15"/>
    <n v="10"/>
    <n v="20"/>
    <n v="18"/>
    <m/>
    <m/>
    <x v="450"/>
    <x v="0"/>
  </r>
  <r>
    <n v="13127"/>
    <x v="10"/>
    <s v="Glynn"/>
    <n v="2513"/>
    <n v="480"/>
    <n v="228"/>
    <n v="282"/>
    <n v="835"/>
    <n v="688"/>
    <n v="602"/>
    <n v="978"/>
    <n v="933"/>
    <n v="2166"/>
    <n v="347"/>
    <x v="451"/>
    <x v="0"/>
  </r>
  <r>
    <n v="13129"/>
    <x v="10"/>
    <s v="Gordon"/>
    <n v="934"/>
    <n v="178"/>
    <n v="104"/>
    <n v="116"/>
    <n v="292"/>
    <n v="244"/>
    <n v="276"/>
    <n v="274"/>
    <n v="384"/>
    <n v="867"/>
    <n v="66"/>
    <x v="452"/>
    <x v="0"/>
  </r>
  <r>
    <n v="13131"/>
    <x v="10"/>
    <s v="Grady"/>
    <n v="494"/>
    <n v="83"/>
    <n v="58"/>
    <n v="60"/>
    <n v="154"/>
    <n v="139"/>
    <n v="123"/>
    <n v="153"/>
    <n v="218"/>
    <n v="446"/>
    <n v="48"/>
    <x v="453"/>
    <x v="0"/>
  </r>
  <r>
    <n v="13133"/>
    <x v="10"/>
    <s v="Greene"/>
    <n v="393"/>
    <n v="104"/>
    <n v="44"/>
    <n v="46"/>
    <n v="101"/>
    <n v="98"/>
    <n v="56"/>
    <n v="89"/>
    <n v="248"/>
    <n v="362"/>
    <n v="31"/>
    <x v="454"/>
    <x v="0"/>
  </r>
  <r>
    <n v="13135"/>
    <x v="10"/>
    <s v="Gwinnett"/>
    <n v="13893"/>
    <n v="2161"/>
    <n v="1251"/>
    <n v="1473"/>
    <n v="4369"/>
    <n v="4639"/>
    <n v="4520"/>
    <n v="5761"/>
    <n v="3612"/>
    <n v="11116"/>
    <n v="2775"/>
    <x v="455"/>
    <x v="0"/>
  </r>
  <r>
    <n v="13137"/>
    <x v="10"/>
    <s v="Habersham"/>
    <n v="886"/>
    <n v="212"/>
    <n v="92"/>
    <n v="121"/>
    <n v="242"/>
    <n v="219"/>
    <n v="193"/>
    <n v="231"/>
    <n v="462"/>
    <n v="820"/>
    <n v="65"/>
    <x v="456"/>
    <x v="0"/>
  </r>
  <r>
    <n v="13139"/>
    <x v="10"/>
    <s v="Hall"/>
    <n v="3165"/>
    <n v="688"/>
    <n v="369"/>
    <n v="367"/>
    <n v="920"/>
    <n v="821"/>
    <n v="802"/>
    <n v="898"/>
    <n v="1465"/>
    <n v="2883"/>
    <n v="281"/>
    <x v="457"/>
    <x v="0"/>
  </r>
  <r>
    <n v="13141"/>
    <x v="10"/>
    <s v="Hancock"/>
    <n v="217"/>
    <n v="36"/>
    <n v="24"/>
    <n v="20"/>
    <n v="76"/>
    <n v="61"/>
    <n v="44"/>
    <n v="69"/>
    <n v="104"/>
    <n v="181"/>
    <n v="36"/>
    <x v="458"/>
    <x v="0"/>
  </r>
  <r>
    <n v="13143"/>
    <x v="10"/>
    <s v="Haralson"/>
    <n v="543"/>
    <n v="118"/>
    <n v="47"/>
    <n v="68"/>
    <n v="158"/>
    <n v="152"/>
    <n v="154"/>
    <n v="194"/>
    <n v="195"/>
    <n v="489"/>
    <n v="54"/>
    <x v="459"/>
    <x v="0"/>
  </r>
  <r>
    <n v="13145"/>
    <x v="10"/>
    <s v="Harris"/>
    <n v="2498"/>
    <n v="220"/>
    <n v="174"/>
    <n v="180"/>
    <n v="602"/>
    <n v="1322"/>
    <n v="567"/>
    <n v="1171"/>
    <n v="760"/>
    <n v="2135"/>
    <n v="362"/>
    <x v="460"/>
    <x v="0"/>
  </r>
  <r>
    <n v="13147"/>
    <x v="10"/>
    <s v="Hart"/>
    <n v="504"/>
    <n v="102"/>
    <n v="54"/>
    <n v="49"/>
    <n v="156"/>
    <n v="143"/>
    <n v="107"/>
    <n v="139"/>
    <n v="258"/>
    <n v="464"/>
    <n v="40"/>
    <x v="461"/>
    <x v="0"/>
  </r>
  <r>
    <n v="13149"/>
    <x v="10"/>
    <s v="Heard"/>
    <n v="206"/>
    <n v="46"/>
    <n v="16"/>
    <n v="30"/>
    <n v="51"/>
    <n v="63"/>
    <n v="56"/>
    <n v="66"/>
    <n v="84"/>
    <n v="183"/>
    <n v="23"/>
    <x v="462"/>
    <x v="0"/>
  </r>
  <r>
    <n v="13151"/>
    <x v="10"/>
    <s v="Henry"/>
    <n v="10929"/>
    <n v="1318"/>
    <n v="755"/>
    <n v="938"/>
    <n v="3257"/>
    <n v="4661"/>
    <n v="2884"/>
    <n v="5198"/>
    <n v="2847"/>
    <n v="8148"/>
    <n v="2781"/>
    <x v="463"/>
    <x v="0"/>
  </r>
  <r>
    <n v="13153"/>
    <x v="10"/>
    <s v="Houston"/>
    <n v="12356"/>
    <n v="1596"/>
    <n v="988"/>
    <n v="1277"/>
    <n v="3729"/>
    <n v="4766"/>
    <n v="3282"/>
    <n v="5571"/>
    <n v="3503"/>
    <n v="9780"/>
    <n v="2576"/>
    <x v="464"/>
    <x v="0"/>
  </r>
  <r>
    <n v="13155"/>
    <x v="10"/>
    <s v="Irwin"/>
    <n v="175"/>
    <n v="36"/>
    <n v="16"/>
    <n v="15"/>
    <n v="64"/>
    <n v="44"/>
    <n v="39"/>
    <n v="66"/>
    <n v="70"/>
    <n v="158"/>
    <n v="17"/>
    <x v="465"/>
    <x v="0"/>
  </r>
  <r>
    <n v="13157"/>
    <x v="10"/>
    <s v="Jackson"/>
    <n v="1742"/>
    <n v="336"/>
    <n v="187"/>
    <n v="181"/>
    <n v="514"/>
    <n v="524"/>
    <n v="611"/>
    <n v="543"/>
    <n v="588"/>
    <n v="1554"/>
    <n v="188"/>
    <x v="466"/>
    <x v="0"/>
  </r>
  <r>
    <n v="13159"/>
    <x v="10"/>
    <s v="Jasper"/>
    <n v="311"/>
    <n v="70"/>
    <n v="24"/>
    <n v="29"/>
    <n v="107"/>
    <n v="81"/>
    <n v="77"/>
    <n v="95"/>
    <n v="139"/>
    <n v="278"/>
    <n v="33"/>
    <x v="467"/>
    <x v="0"/>
  </r>
  <r>
    <n v="13161"/>
    <x v="10"/>
    <s v="Jeff Davis"/>
    <n v="221"/>
    <n v="39"/>
    <n v="24"/>
    <n v="26"/>
    <n v="70"/>
    <n v="62"/>
    <n v="50"/>
    <n v="82"/>
    <n v="89"/>
    <n v="201"/>
    <n v="20"/>
    <x v="468"/>
    <x v="0"/>
  </r>
  <r>
    <n v="13163"/>
    <x v="10"/>
    <s v="Jefferson"/>
    <n v="394"/>
    <n v="59"/>
    <n v="29"/>
    <n v="46"/>
    <n v="138"/>
    <n v="122"/>
    <n v="83"/>
    <n v="153"/>
    <n v="158"/>
    <n v="332"/>
    <n v="62"/>
    <x v="469"/>
    <x v="0"/>
  </r>
  <r>
    <n v="13165"/>
    <x v="10"/>
    <s v="Jenkins"/>
    <n v="150"/>
    <n v="23"/>
    <n v="15"/>
    <n v="16"/>
    <n v="49"/>
    <n v="47"/>
    <n v="38"/>
    <n v="48"/>
    <n v="64"/>
    <n v="131"/>
    <n v="19"/>
    <x v="470"/>
    <x v="0"/>
  </r>
  <r>
    <n v="13167"/>
    <x v="10"/>
    <s v="Johnson"/>
    <n v="160"/>
    <n v="29"/>
    <n v="20"/>
    <n v="16"/>
    <n v="61"/>
    <n v="34"/>
    <n v="36"/>
    <n v="56"/>
    <n v="68"/>
    <n v="139"/>
    <n v="21"/>
    <x v="471"/>
    <x v="0"/>
  </r>
  <r>
    <n v="13169"/>
    <x v="10"/>
    <s v="Jones"/>
    <n v="791"/>
    <n v="130"/>
    <n v="69"/>
    <n v="86"/>
    <n v="256"/>
    <n v="250"/>
    <n v="195"/>
    <n v="308"/>
    <n v="288"/>
    <n v="669"/>
    <n v="122"/>
    <x v="472"/>
    <x v="0"/>
  </r>
  <r>
    <n v="13171"/>
    <x v="10"/>
    <s v="Lamar"/>
    <n v="490"/>
    <n v="87"/>
    <n v="57"/>
    <n v="57"/>
    <n v="138"/>
    <n v="151"/>
    <n v="142"/>
    <n v="156"/>
    <n v="192"/>
    <n v="427"/>
    <n v="63"/>
    <x v="473"/>
    <x v="0"/>
  </r>
  <r>
    <n v="13173"/>
    <x v="10"/>
    <s v="Lanier"/>
    <n v="390"/>
    <n v="46"/>
    <n v="34"/>
    <n v="44"/>
    <n v="138"/>
    <n v="128"/>
    <n v="137"/>
    <n v="153"/>
    <n v="100"/>
    <n v="326"/>
    <n v="64"/>
    <x v="474"/>
    <x v="0"/>
  </r>
  <r>
    <n v="13175"/>
    <x v="10"/>
    <s v="Laurens"/>
    <n v="1546"/>
    <n v="214"/>
    <n v="127"/>
    <n v="174"/>
    <n v="514"/>
    <n v="517"/>
    <n v="309"/>
    <n v="565"/>
    <n v="672"/>
    <n v="1331"/>
    <n v="215"/>
    <x v="475"/>
    <x v="0"/>
  </r>
  <r>
    <n v="13177"/>
    <x v="10"/>
    <s v="Lee"/>
    <n v="1342"/>
    <n v="154"/>
    <n v="86"/>
    <n v="125"/>
    <n v="401"/>
    <n v="576"/>
    <n v="385"/>
    <n v="628"/>
    <n v="329"/>
    <n v="1137"/>
    <n v="205"/>
    <x v="476"/>
    <x v="0"/>
  </r>
  <r>
    <n v="13179"/>
    <x v="10"/>
    <s v="Liberty"/>
    <n v="7306"/>
    <n v="609"/>
    <n v="505"/>
    <n v="636"/>
    <n v="2426"/>
    <n v="3130"/>
    <n v="2804"/>
    <n v="2863"/>
    <n v="1639"/>
    <n v="5468"/>
    <n v="1837"/>
    <x v="477"/>
    <x v="0"/>
  </r>
  <r>
    <n v="13181"/>
    <x v="10"/>
    <s v="Lincoln"/>
    <n v="262"/>
    <n v="46"/>
    <n v="28"/>
    <n v="27"/>
    <n v="76"/>
    <n v="85"/>
    <n v="53"/>
    <n v="90"/>
    <n v="119"/>
    <n v="235"/>
    <n v="27"/>
    <x v="478"/>
    <x v="0"/>
  </r>
  <r>
    <n v="13183"/>
    <x v="10"/>
    <s v="Long"/>
    <n v="2161"/>
    <n v="116"/>
    <n v="109"/>
    <n v="154"/>
    <n v="659"/>
    <n v="1123"/>
    <n v="1054"/>
    <n v="829"/>
    <n v="278"/>
    <n v="1629"/>
    <n v="532"/>
    <x v="479"/>
    <x v="0"/>
  </r>
  <r>
    <n v="13185"/>
    <x v="10"/>
    <s v="Lowndes"/>
    <n v="4519"/>
    <n v="619"/>
    <n v="452"/>
    <n v="571"/>
    <n v="1405"/>
    <n v="1472"/>
    <n v="1430"/>
    <n v="1761"/>
    <n v="1328"/>
    <n v="3664"/>
    <n v="854"/>
    <x v="480"/>
    <x v="0"/>
  </r>
  <r>
    <n v="13187"/>
    <x v="10"/>
    <s v="Lumpkin"/>
    <n v="825"/>
    <n v="140"/>
    <n v="92"/>
    <n v="99"/>
    <n v="241"/>
    <n v="253"/>
    <n v="210"/>
    <n v="261"/>
    <n v="354"/>
    <n v="771"/>
    <n v="54"/>
    <x v="481"/>
    <x v="0"/>
  </r>
  <r>
    <n v="13189"/>
    <x v="10"/>
    <s v="McDuffie"/>
    <n v="699"/>
    <n v="89"/>
    <n v="70"/>
    <n v="72"/>
    <n v="210"/>
    <n v="258"/>
    <n v="169"/>
    <n v="249"/>
    <n v="281"/>
    <n v="583"/>
    <n v="116"/>
    <x v="482"/>
    <x v="0"/>
  </r>
  <r>
    <n v="13191"/>
    <x v="10"/>
    <s v="McIntosh"/>
    <n v="425"/>
    <n v="79"/>
    <n v="47"/>
    <n v="36"/>
    <n v="142"/>
    <n v="121"/>
    <n v="79"/>
    <n v="164"/>
    <n v="182"/>
    <n v="377"/>
    <n v="48"/>
    <x v="483"/>
    <x v="0"/>
  </r>
  <r>
    <n v="13193"/>
    <x v="10"/>
    <s v="Macon"/>
    <n v="255"/>
    <n v="41"/>
    <n v="24"/>
    <n v="19"/>
    <n v="98"/>
    <n v="73"/>
    <n v="46"/>
    <n v="95"/>
    <n v="114"/>
    <n v="225"/>
    <n v="30"/>
    <x v="484"/>
    <x v="0"/>
  </r>
  <r>
    <n v="13195"/>
    <x v="10"/>
    <s v="Madison"/>
    <n v="621"/>
    <n v="138"/>
    <n v="56"/>
    <n v="87"/>
    <n v="179"/>
    <n v="161"/>
    <n v="192"/>
    <n v="160"/>
    <n v="269"/>
    <n v="559"/>
    <n v="62"/>
    <x v="485"/>
    <x v="0"/>
  </r>
  <r>
    <n v="13197"/>
    <x v="10"/>
    <s v="Marion"/>
    <n v="288"/>
    <n v="45"/>
    <n v="24"/>
    <n v="24"/>
    <n v="87"/>
    <n v="108"/>
    <n v="86"/>
    <n v="92"/>
    <n v="110"/>
    <n v="243"/>
    <n v="45"/>
    <x v="486"/>
    <x v="0"/>
  </r>
  <r>
    <n v="13199"/>
    <x v="10"/>
    <s v="Meriwether"/>
    <n v="568"/>
    <n v="112"/>
    <n v="56"/>
    <n v="63"/>
    <n v="171"/>
    <n v="166"/>
    <n v="135"/>
    <n v="194"/>
    <n v="239"/>
    <n v="494"/>
    <n v="74"/>
    <x v="487"/>
    <x v="0"/>
  </r>
  <r>
    <n v="13201"/>
    <x v="10"/>
    <s v="Miller"/>
    <n v="103"/>
    <n v="15"/>
    <m/>
    <m/>
    <n v="35"/>
    <n v="35"/>
    <n v="24"/>
    <n v="27"/>
    <n v="52"/>
    <m/>
    <m/>
    <x v="488"/>
    <x v="0"/>
  </r>
  <r>
    <n v="13205"/>
    <x v="10"/>
    <s v="Mitchell"/>
    <n v="422"/>
    <n v="60"/>
    <n v="38"/>
    <n v="54"/>
    <n v="136"/>
    <n v="134"/>
    <n v="119"/>
    <n v="145"/>
    <n v="158"/>
    <n v="356"/>
    <n v="66"/>
    <x v="489"/>
    <x v="0"/>
  </r>
  <r>
    <n v="13207"/>
    <x v="10"/>
    <s v="Monroe"/>
    <n v="767"/>
    <n v="123"/>
    <n v="75"/>
    <n v="91"/>
    <n v="245"/>
    <n v="233"/>
    <n v="197"/>
    <n v="268"/>
    <n v="302"/>
    <n v="674"/>
    <n v="93"/>
    <x v="490"/>
    <x v="0"/>
  </r>
  <r>
    <n v="13209"/>
    <x v="10"/>
    <s v="Montgomery"/>
    <n v="158"/>
    <n v="29"/>
    <n v="14"/>
    <n v="18"/>
    <n v="50"/>
    <n v="47"/>
    <n v="45"/>
    <n v="50"/>
    <n v="63"/>
    <n v="140"/>
    <n v="18"/>
    <x v="491"/>
    <x v="0"/>
  </r>
  <r>
    <n v="13211"/>
    <x v="10"/>
    <s v="Morgan"/>
    <n v="392"/>
    <n v="87"/>
    <n v="47"/>
    <n v="37"/>
    <n v="117"/>
    <n v="104"/>
    <n v="82"/>
    <n v="121"/>
    <n v="189"/>
    <n v="362"/>
    <n v="30"/>
    <x v="492"/>
    <x v="0"/>
  </r>
  <r>
    <n v="13213"/>
    <x v="10"/>
    <s v="Murray"/>
    <n v="564"/>
    <n v="154"/>
    <n v="49"/>
    <n v="71"/>
    <n v="144"/>
    <n v="146"/>
    <n v="158"/>
    <n v="149"/>
    <n v="257"/>
    <n v="517"/>
    <n v="47"/>
    <x v="493"/>
    <x v="0"/>
  </r>
  <r>
    <n v="13215"/>
    <x v="10"/>
    <s v="Muscogee"/>
    <n v="11800"/>
    <n v="1280"/>
    <n v="806"/>
    <n v="1020"/>
    <n v="3440"/>
    <n v="5254"/>
    <n v="3096"/>
    <n v="4585"/>
    <n v="4119"/>
    <n v="9371"/>
    <n v="2427"/>
    <x v="494"/>
    <x v="0"/>
  </r>
  <r>
    <n v="13217"/>
    <x v="10"/>
    <s v="Newton"/>
    <n v="3443"/>
    <n v="520"/>
    <n v="286"/>
    <n v="326"/>
    <n v="1070"/>
    <n v="1241"/>
    <n v="961"/>
    <n v="1436"/>
    <n v="1046"/>
    <n v="2744"/>
    <n v="699"/>
    <x v="495"/>
    <x v="0"/>
  </r>
  <r>
    <n v="13219"/>
    <x v="10"/>
    <s v="Oconee"/>
    <n v="611"/>
    <n v="128"/>
    <n v="73"/>
    <n v="88"/>
    <n v="169"/>
    <n v="153"/>
    <n v="149"/>
    <n v="199"/>
    <n v="263"/>
    <n v="564"/>
    <n v="47"/>
    <x v="496"/>
    <x v="0"/>
  </r>
  <r>
    <n v="13221"/>
    <x v="10"/>
    <s v="Oglethorpe"/>
    <n v="356"/>
    <n v="67"/>
    <n v="32"/>
    <n v="48"/>
    <n v="109"/>
    <n v="100"/>
    <n v="81"/>
    <n v="109"/>
    <n v="166"/>
    <n v="323"/>
    <n v="33"/>
    <x v="497"/>
    <x v="0"/>
  </r>
  <r>
    <n v="13223"/>
    <x v="10"/>
    <s v="Paulding"/>
    <n v="4695"/>
    <n v="710"/>
    <n v="420"/>
    <n v="577"/>
    <n v="1477"/>
    <n v="1511"/>
    <n v="1626"/>
    <n v="1839"/>
    <n v="1230"/>
    <n v="3907"/>
    <n v="787"/>
    <x v="498"/>
    <x v="0"/>
  </r>
  <r>
    <n v="13225"/>
    <x v="10"/>
    <s v="Peach"/>
    <n v="1296"/>
    <n v="187"/>
    <n v="112"/>
    <n v="118"/>
    <n v="379"/>
    <n v="500"/>
    <n v="293"/>
    <n v="544"/>
    <n v="459"/>
    <n v="1076"/>
    <n v="220"/>
    <x v="499"/>
    <x v="0"/>
  </r>
  <r>
    <n v="13227"/>
    <x v="10"/>
    <s v="Pickens"/>
    <n v="777"/>
    <n v="172"/>
    <n v="104"/>
    <n v="88"/>
    <n v="217"/>
    <n v="196"/>
    <n v="175"/>
    <n v="242"/>
    <n v="360"/>
    <n v="731"/>
    <n v="46"/>
    <x v="500"/>
    <x v="0"/>
  </r>
  <r>
    <n v="13229"/>
    <x v="10"/>
    <s v="Pierce"/>
    <n v="470"/>
    <n v="67"/>
    <n v="41"/>
    <n v="57"/>
    <n v="165"/>
    <n v="140"/>
    <n v="122"/>
    <n v="165"/>
    <n v="183"/>
    <n v="423"/>
    <n v="47"/>
    <x v="501"/>
    <x v="0"/>
  </r>
  <r>
    <n v="13231"/>
    <x v="10"/>
    <s v="Pike"/>
    <n v="497"/>
    <n v="105"/>
    <n v="71"/>
    <n v="75"/>
    <n v="137"/>
    <n v="109"/>
    <n v="137"/>
    <n v="167"/>
    <n v="193"/>
    <n v="454"/>
    <n v="43"/>
    <x v="502"/>
    <x v="0"/>
  </r>
  <r>
    <n v="13233"/>
    <x v="10"/>
    <s v="Polk"/>
    <n v="750"/>
    <n v="170"/>
    <n v="64"/>
    <n v="88"/>
    <n v="240"/>
    <n v="188"/>
    <n v="182"/>
    <n v="222"/>
    <n v="346"/>
    <n v="702"/>
    <n v="48"/>
    <x v="503"/>
    <x v="0"/>
  </r>
  <r>
    <n v="13235"/>
    <x v="10"/>
    <s v="Pulaski"/>
    <n v="286"/>
    <n v="46"/>
    <n v="25"/>
    <n v="29"/>
    <n v="92"/>
    <n v="94"/>
    <n v="63"/>
    <n v="113"/>
    <n v="110"/>
    <n v="247"/>
    <n v="39"/>
    <x v="504"/>
    <x v="0"/>
  </r>
  <r>
    <n v="13237"/>
    <x v="10"/>
    <s v="Putnam"/>
    <n v="507"/>
    <n v="106"/>
    <n v="45"/>
    <n v="57"/>
    <n v="150"/>
    <n v="149"/>
    <n v="96"/>
    <n v="154"/>
    <n v="257"/>
    <n v="447"/>
    <n v="60"/>
    <x v="505"/>
    <x v="0"/>
  </r>
  <r>
    <n v="13239"/>
    <x v="10"/>
    <s v="Quitman"/>
    <n v="76"/>
    <n v="17"/>
    <m/>
    <m/>
    <n v="21"/>
    <n v="20"/>
    <n v="16"/>
    <n v="17"/>
    <n v="43"/>
    <m/>
    <m/>
    <x v="506"/>
    <x v="0"/>
  </r>
  <r>
    <n v="13241"/>
    <x v="10"/>
    <s v="Rabun"/>
    <n v="353"/>
    <n v="78"/>
    <n v="34"/>
    <n v="36"/>
    <n v="113"/>
    <n v="92"/>
    <n v="57"/>
    <n v="83"/>
    <n v="213"/>
    <n v="331"/>
    <n v="22"/>
    <x v="507"/>
    <x v="0"/>
  </r>
  <r>
    <n v="13243"/>
    <x v="10"/>
    <s v="Randolph"/>
    <n v="129"/>
    <n v="20"/>
    <n v="10"/>
    <n v="14"/>
    <n v="42"/>
    <n v="43"/>
    <n v="30"/>
    <n v="42"/>
    <n v="57"/>
    <n v="111"/>
    <n v="18"/>
    <x v="508"/>
    <x v="0"/>
  </r>
  <r>
    <n v="13245"/>
    <x v="10"/>
    <s v="Richmond"/>
    <n v="10530"/>
    <n v="1157"/>
    <n v="906"/>
    <n v="1050"/>
    <n v="3451"/>
    <n v="3966"/>
    <n v="2781"/>
    <n v="3753"/>
    <n v="3996"/>
    <n v="7867"/>
    <n v="2663"/>
    <x v="509"/>
    <x v="0"/>
  </r>
  <r>
    <n v="13247"/>
    <x v="10"/>
    <s v="Rockdale"/>
    <n v="3141"/>
    <n v="426"/>
    <n v="231"/>
    <n v="271"/>
    <n v="993"/>
    <n v="1220"/>
    <n v="697"/>
    <n v="1342"/>
    <n v="1102"/>
    <n v="2442"/>
    <n v="698"/>
    <x v="510"/>
    <x v="0"/>
  </r>
  <r>
    <n v="13249"/>
    <x v="10"/>
    <s v="Schley"/>
    <n v="90"/>
    <n v="11"/>
    <n v="11"/>
    <n v="13"/>
    <n v="29"/>
    <n v="26"/>
    <n v="22"/>
    <n v="34"/>
    <n v="34"/>
    <n v="80"/>
    <n v="10"/>
    <x v="511"/>
    <x v="0"/>
  </r>
  <r>
    <n v="13251"/>
    <x v="10"/>
    <s v="Screven"/>
    <n v="322"/>
    <n v="50"/>
    <n v="38"/>
    <n v="37"/>
    <n v="105"/>
    <n v="92"/>
    <n v="87"/>
    <n v="113"/>
    <n v="122"/>
    <n v="279"/>
    <n v="43"/>
    <x v="512"/>
    <x v="0"/>
  </r>
  <r>
    <n v="13253"/>
    <x v="10"/>
    <s v="Seminole"/>
    <n v="173"/>
    <n v="39"/>
    <n v="19"/>
    <n v="19"/>
    <n v="51"/>
    <n v="45"/>
    <n v="36"/>
    <n v="55"/>
    <n v="82"/>
    <n v="155"/>
    <n v="18"/>
    <x v="513"/>
    <x v="0"/>
  </r>
  <r>
    <n v="13255"/>
    <x v="10"/>
    <s v="Spalding"/>
    <n v="1713"/>
    <n v="326"/>
    <n v="179"/>
    <n v="194"/>
    <n v="486"/>
    <n v="528"/>
    <n v="382"/>
    <n v="542"/>
    <n v="789"/>
    <n v="1451"/>
    <n v="262"/>
    <x v="514"/>
    <x v="0"/>
  </r>
  <r>
    <n v="13257"/>
    <x v="10"/>
    <s v="Stephens"/>
    <n v="528"/>
    <n v="130"/>
    <n v="63"/>
    <n v="56"/>
    <n v="156"/>
    <n v="123"/>
    <n v="125"/>
    <n v="132"/>
    <n v="271"/>
    <n v="482"/>
    <n v="46"/>
    <x v="515"/>
    <x v="0"/>
  </r>
  <r>
    <n v="13259"/>
    <x v="10"/>
    <s v="Stewart"/>
    <n v="126"/>
    <n v="18"/>
    <m/>
    <m/>
    <n v="33"/>
    <n v="57"/>
    <n v="21"/>
    <n v="53"/>
    <n v="52"/>
    <n v="109"/>
    <n v="17"/>
    <x v="516"/>
    <x v="0"/>
  </r>
  <r>
    <n v="13261"/>
    <x v="10"/>
    <s v="Sumter"/>
    <n v="539"/>
    <n v="82"/>
    <n v="52"/>
    <n v="66"/>
    <n v="171"/>
    <n v="168"/>
    <n v="100"/>
    <n v="217"/>
    <n v="222"/>
    <n v="478"/>
    <n v="61"/>
    <x v="517"/>
    <x v="0"/>
  </r>
  <r>
    <n v="13263"/>
    <x v="10"/>
    <s v="Talbot"/>
    <n v="237"/>
    <n v="42"/>
    <n v="28"/>
    <n v="17"/>
    <n v="59"/>
    <n v="91"/>
    <n v="34"/>
    <n v="83"/>
    <n v="120"/>
    <n v="209"/>
    <n v="28"/>
    <x v="518"/>
    <x v="0"/>
  </r>
  <r>
    <n v="13265"/>
    <x v="10"/>
    <s v="Taliaferro"/>
    <n v="47"/>
    <m/>
    <m/>
    <m/>
    <n v="10"/>
    <n v="19"/>
    <m/>
    <m/>
    <n v="22"/>
    <m/>
    <m/>
    <x v="519"/>
    <x v="0"/>
  </r>
  <r>
    <n v="13267"/>
    <x v="10"/>
    <s v="Tattnall"/>
    <n v="575"/>
    <n v="68"/>
    <n v="69"/>
    <n v="72"/>
    <n v="195"/>
    <n v="171"/>
    <n v="142"/>
    <n v="231"/>
    <n v="202"/>
    <n v="483"/>
    <n v="92"/>
    <x v="520"/>
    <x v="0"/>
  </r>
  <r>
    <n v="13269"/>
    <x v="10"/>
    <s v="Taylor"/>
    <n v="172"/>
    <n v="27"/>
    <n v="18"/>
    <n v="22"/>
    <n v="53"/>
    <n v="52"/>
    <n v="29"/>
    <n v="60"/>
    <n v="83"/>
    <n v="158"/>
    <n v="14"/>
    <x v="521"/>
    <x v="0"/>
  </r>
  <r>
    <n v="13271"/>
    <x v="10"/>
    <s v="Telfair"/>
    <n v="166"/>
    <n v="19"/>
    <n v="18"/>
    <n v="19"/>
    <n v="64"/>
    <n v="46"/>
    <n v="24"/>
    <n v="52"/>
    <n v="90"/>
    <n v="153"/>
    <n v="13"/>
    <x v="522"/>
    <x v="0"/>
  </r>
  <r>
    <n v="13273"/>
    <x v="10"/>
    <s v="Terrell"/>
    <n v="211"/>
    <n v="32"/>
    <n v="19"/>
    <n v="24"/>
    <n v="69"/>
    <n v="67"/>
    <n v="48"/>
    <n v="86"/>
    <n v="77"/>
    <n v="183"/>
    <n v="28"/>
    <x v="523"/>
    <x v="0"/>
  </r>
  <r>
    <n v="13275"/>
    <x v="10"/>
    <s v="Thomas"/>
    <n v="991"/>
    <n v="157"/>
    <n v="112"/>
    <n v="117"/>
    <n v="319"/>
    <n v="286"/>
    <n v="253"/>
    <n v="339"/>
    <n v="399"/>
    <n v="850"/>
    <n v="141"/>
    <x v="524"/>
    <x v="0"/>
  </r>
  <r>
    <n v="13277"/>
    <x v="10"/>
    <s v="Tift"/>
    <n v="804"/>
    <n v="114"/>
    <n v="73"/>
    <n v="90"/>
    <n v="260"/>
    <n v="267"/>
    <n v="224"/>
    <n v="286"/>
    <n v="294"/>
    <n v="671"/>
    <n v="133"/>
    <x v="525"/>
    <x v="0"/>
  </r>
  <r>
    <n v="13279"/>
    <x v="10"/>
    <s v="Toombs"/>
    <n v="479"/>
    <n v="77"/>
    <n v="40"/>
    <n v="57"/>
    <n v="162"/>
    <n v="143"/>
    <n v="127"/>
    <n v="175"/>
    <n v="177"/>
    <n v="423"/>
    <n v="56"/>
    <x v="526"/>
    <x v="0"/>
  </r>
  <r>
    <n v="13281"/>
    <x v="10"/>
    <s v="Towns"/>
    <n v="392"/>
    <n v="100"/>
    <n v="33"/>
    <n v="42"/>
    <n v="106"/>
    <n v="111"/>
    <n v="38"/>
    <n v="91"/>
    <n v="263"/>
    <n v="369"/>
    <n v="23"/>
    <x v="527"/>
    <x v="0"/>
  </r>
  <r>
    <n v="13283"/>
    <x v="10"/>
    <s v="Treutlen"/>
    <n v="114"/>
    <n v="25"/>
    <m/>
    <m/>
    <n v="34"/>
    <n v="29"/>
    <n v="27"/>
    <n v="43"/>
    <n v="44"/>
    <m/>
    <m/>
    <x v="528"/>
    <x v="0"/>
  </r>
  <r>
    <n v="13285"/>
    <x v="10"/>
    <s v="Troup"/>
    <n v="1583"/>
    <n v="340"/>
    <n v="151"/>
    <n v="176"/>
    <n v="472"/>
    <n v="444"/>
    <n v="360"/>
    <n v="566"/>
    <n v="657"/>
    <n v="1388"/>
    <n v="194"/>
    <x v="529"/>
    <x v="0"/>
  </r>
  <r>
    <n v="13287"/>
    <x v="10"/>
    <s v="Turner"/>
    <n v="185"/>
    <n v="31"/>
    <n v="17"/>
    <n v="19"/>
    <n v="61"/>
    <n v="57"/>
    <n v="53"/>
    <n v="62"/>
    <n v="70"/>
    <n v="157"/>
    <n v="28"/>
    <x v="530"/>
    <x v="0"/>
  </r>
  <r>
    <n v="13289"/>
    <x v="10"/>
    <s v="Twiggs"/>
    <n v="219"/>
    <n v="29"/>
    <n v="29"/>
    <n v="27"/>
    <n v="69"/>
    <n v="65"/>
    <n v="45"/>
    <n v="81"/>
    <n v="93"/>
    <n v="187"/>
    <n v="32"/>
    <x v="531"/>
    <x v="0"/>
  </r>
  <r>
    <n v="13291"/>
    <x v="10"/>
    <s v="Union"/>
    <n v="967"/>
    <n v="235"/>
    <n v="105"/>
    <n v="113"/>
    <n v="260"/>
    <n v="254"/>
    <n v="130"/>
    <n v="239"/>
    <n v="598"/>
    <n v="900"/>
    <n v="67"/>
    <x v="532"/>
    <x v="0"/>
  </r>
  <r>
    <n v="13293"/>
    <x v="10"/>
    <s v="Upson"/>
    <n v="583"/>
    <n v="118"/>
    <n v="62"/>
    <n v="63"/>
    <n v="190"/>
    <n v="150"/>
    <n v="119"/>
    <n v="191"/>
    <n v="273"/>
    <n v="532"/>
    <n v="51"/>
    <x v="533"/>
    <x v="0"/>
  </r>
  <r>
    <n v="13295"/>
    <x v="10"/>
    <s v="Walker"/>
    <n v="1342"/>
    <n v="309"/>
    <n v="149"/>
    <n v="133"/>
    <n v="384"/>
    <n v="367"/>
    <n v="321"/>
    <n v="389"/>
    <n v="632"/>
    <n v="1223"/>
    <n v="119"/>
    <x v="534"/>
    <x v="0"/>
  </r>
  <r>
    <n v="13297"/>
    <x v="10"/>
    <s v="Walton"/>
    <n v="2270"/>
    <n v="381"/>
    <n v="239"/>
    <n v="264"/>
    <n v="691"/>
    <n v="695"/>
    <n v="728"/>
    <n v="794"/>
    <n v="748"/>
    <n v="1912"/>
    <n v="358"/>
    <x v="535"/>
    <x v="0"/>
  </r>
  <r>
    <n v="13299"/>
    <x v="10"/>
    <s v="Ware"/>
    <n v="823"/>
    <n v="140"/>
    <n v="70"/>
    <n v="100"/>
    <n v="257"/>
    <n v="256"/>
    <n v="191"/>
    <n v="286"/>
    <n v="346"/>
    <n v="734"/>
    <n v="89"/>
    <x v="536"/>
    <x v="0"/>
  </r>
  <r>
    <n v="13301"/>
    <x v="10"/>
    <s v="Warren"/>
    <n v="105"/>
    <n v="20"/>
    <m/>
    <m/>
    <n v="36"/>
    <n v="26"/>
    <n v="25"/>
    <n v="32"/>
    <n v="48"/>
    <n v="94"/>
    <n v="11"/>
    <x v="537"/>
    <x v="0"/>
  </r>
  <r>
    <n v="13303"/>
    <x v="10"/>
    <s v="Washington"/>
    <n v="420"/>
    <n v="71"/>
    <n v="40"/>
    <n v="48"/>
    <n v="145"/>
    <n v="116"/>
    <n v="105"/>
    <n v="135"/>
    <n v="180"/>
    <n v="352"/>
    <n v="68"/>
    <x v="538"/>
    <x v="0"/>
  </r>
  <r>
    <n v="13305"/>
    <x v="10"/>
    <s v="Wayne"/>
    <n v="919"/>
    <n v="122"/>
    <n v="80"/>
    <n v="96"/>
    <n v="306"/>
    <n v="315"/>
    <n v="256"/>
    <n v="358"/>
    <n v="305"/>
    <n v="800"/>
    <n v="119"/>
    <x v="539"/>
    <x v="0"/>
  </r>
  <r>
    <n v="13307"/>
    <x v="10"/>
    <s v="Webster"/>
    <n v="47"/>
    <m/>
    <m/>
    <m/>
    <n v="20"/>
    <n v="13"/>
    <n v="12"/>
    <n v="14"/>
    <n v="21"/>
    <m/>
    <m/>
    <x v="540"/>
    <x v="0"/>
  </r>
  <r>
    <n v="13309"/>
    <x v="10"/>
    <s v="Wheeler"/>
    <n v="112"/>
    <n v="12"/>
    <n v="13"/>
    <n v="11"/>
    <n v="46"/>
    <n v="30"/>
    <n v="17"/>
    <n v="47"/>
    <n v="48"/>
    <n v="98"/>
    <n v="14"/>
    <x v="541"/>
    <x v="0"/>
  </r>
  <r>
    <n v="13311"/>
    <x v="10"/>
    <s v="White"/>
    <n v="695"/>
    <n v="158"/>
    <n v="70"/>
    <n v="85"/>
    <n v="199"/>
    <n v="183"/>
    <n v="128"/>
    <n v="207"/>
    <n v="360"/>
    <n v="643"/>
    <n v="52"/>
    <x v="542"/>
    <x v="0"/>
  </r>
  <r>
    <n v="13313"/>
    <x v="10"/>
    <s v="Whitfield"/>
    <n v="1125"/>
    <n v="268"/>
    <n v="115"/>
    <n v="166"/>
    <n v="310"/>
    <n v="266"/>
    <n v="342"/>
    <n v="278"/>
    <n v="505"/>
    <n v="1040"/>
    <n v="85"/>
    <x v="543"/>
    <x v="0"/>
  </r>
  <r>
    <n v="13315"/>
    <x v="10"/>
    <s v="Wilcox"/>
    <n v="125"/>
    <n v="23"/>
    <n v="13"/>
    <n v="12"/>
    <n v="44"/>
    <n v="33"/>
    <n v="24"/>
    <n v="42"/>
    <n v="59"/>
    <n v="113"/>
    <n v="12"/>
    <x v="544"/>
    <x v="0"/>
  </r>
  <r>
    <n v="13317"/>
    <x v="10"/>
    <s v="Wilkes"/>
    <n v="242"/>
    <n v="37"/>
    <n v="37"/>
    <n v="30"/>
    <n v="66"/>
    <n v="72"/>
    <n v="56"/>
    <n v="71"/>
    <n v="115"/>
    <n v="215"/>
    <n v="27"/>
    <x v="545"/>
    <x v="0"/>
  </r>
  <r>
    <n v="13319"/>
    <x v="10"/>
    <s v="Wilkinson"/>
    <n v="227"/>
    <n v="33"/>
    <n v="21"/>
    <n v="29"/>
    <n v="78"/>
    <n v="66"/>
    <n v="51"/>
    <n v="81"/>
    <n v="95"/>
    <n v="202"/>
    <n v="25"/>
    <x v="546"/>
    <x v="0"/>
  </r>
  <r>
    <n v="13321"/>
    <x v="10"/>
    <s v="Worth"/>
    <n v="462"/>
    <n v="67"/>
    <n v="47"/>
    <n v="60"/>
    <n v="154"/>
    <n v="134"/>
    <n v="103"/>
    <n v="157"/>
    <n v="202"/>
    <n v="420"/>
    <n v="42"/>
    <x v="547"/>
    <x v="0"/>
  </r>
  <r>
    <n v="15001"/>
    <x v="11"/>
    <s v="Hawaii"/>
    <n v="4368"/>
    <n v="924"/>
    <n v="463"/>
    <n v="475"/>
    <n v="1153"/>
    <n v="1353"/>
    <n v="868"/>
    <n v="1146"/>
    <n v="2354"/>
    <n v="3943"/>
    <n v="425"/>
    <x v="548"/>
    <x v="0"/>
  </r>
  <r>
    <n v="15003"/>
    <x v="11"/>
    <s v="Honolulu"/>
    <n v="31679"/>
    <n v="5877"/>
    <n v="3393"/>
    <n v="3857"/>
    <n v="8933"/>
    <n v="9619"/>
    <n v="9968"/>
    <n v="11553"/>
    <n v="10158"/>
    <n v="27028"/>
    <n v="4647"/>
    <x v="549"/>
    <x v="0"/>
  </r>
  <r>
    <n v="15005"/>
    <x v="11"/>
    <s v="Kalawao"/>
    <m/>
    <m/>
    <m/>
    <m/>
    <m/>
    <m/>
    <m/>
    <m/>
    <m/>
    <m/>
    <m/>
    <x v="550"/>
    <x v="0"/>
  </r>
  <r>
    <n v="15007"/>
    <x v="11"/>
    <s v="Kauai"/>
    <n v="1351"/>
    <n v="377"/>
    <n v="180"/>
    <n v="156"/>
    <n v="363"/>
    <n v="275"/>
    <n v="240"/>
    <n v="345"/>
    <n v="766"/>
    <n v="1251"/>
    <n v="100"/>
    <x v="551"/>
    <x v="0"/>
  </r>
  <r>
    <n v="15009"/>
    <x v="11"/>
    <s v="Maui"/>
    <n v="2128"/>
    <n v="534"/>
    <n v="200"/>
    <n v="234"/>
    <n v="634"/>
    <n v="526"/>
    <n v="429"/>
    <n v="510"/>
    <n v="1189"/>
    <n v="1957"/>
    <n v="171"/>
    <x v="552"/>
    <x v="0"/>
  </r>
  <r>
    <n v="16001"/>
    <x v="12"/>
    <s v="Ada"/>
    <n v="13151"/>
    <n v="2830"/>
    <n v="1666"/>
    <n v="1798"/>
    <n v="3942"/>
    <n v="2915"/>
    <n v="4267"/>
    <n v="4305"/>
    <n v="4579"/>
    <n v="11656"/>
    <n v="1492"/>
    <x v="553"/>
    <x v="0"/>
  </r>
  <r>
    <n v="16003"/>
    <x v="12"/>
    <s v="Adams"/>
    <n v="158"/>
    <n v="38"/>
    <n v="26"/>
    <n v="20"/>
    <n v="46"/>
    <n v="28"/>
    <n v="30"/>
    <n v="46"/>
    <n v="82"/>
    <n v="140"/>
    <n v="18"/>
    <x v="554"/>
    <x v="0"/>
  </r>
  <r>
    <n v="16005"/>
    <x v="12"/>
    <s v="Bannock"/>
    <n v="1890"/>
    <n v="431"/>
    <n v="230"/>
    <n v="227"/>
    <n v="572"/>
    <n v="430"/>
    <n v="567"/>
    <n v="573"/>
    <n v="750"/>
    <n v="1719"/>
    <n v="171"/>
    <x v="555"/>
    <x v="0"/>
  </r>
  <r>
    <n v="16007"/>
    <x v="12"/>
    <s v="Bear Lake"/>
    <n v="102"/>
    <n v="27"/>
    <n v="12"/>
    <n v="10"/>
    <n v="24"/>
    <n v="29"/>
    <n v="13"/>
    <n v="30"/>
    <n v="59"/>
    <m/>
    <m/>
    <x v="556"/>
    <x v="0"/>
  </r>
  <r>
    <n v="16009"/>
    <x v="12"/>
    <s v="Benewah"/>
    <n v="320"/>
    <n v="88"/>
    <n v="41"/>
    <n v="31"/>
    <n v="94"/>
    <n v="66"/>
    <n v="48"/>
    <n v="98"/>
    <n v="174"/>
    <n v="287"/>
    <n v="32"/>
    <x v="557"/>
    <x v="0"/>
  </r>
  <r>
    <n v="16011"/>
    <x v="12"/>
    <s v="Bingham"/>
    <n v="799"/>
    <n v="174"/>
    <n v="115"/>
    <n v="93"/>
    <n v="248"/>
    <n v="169"/>
    <n v="236"/>
    <n v="244"/>
    <n v="319"/>
    <n v="730"/>
    <n v="69"/>
    <x v="558"/>
    <x v="0"/>
  </r>
  <r>
    <n v="16013"/>
    <x v="12"/>
    <s v="Blaine"/>
    <n v="188"/>
    <n v="50"/>
    <n v="27"/>
    <n v="22"/>
    <n v="49"/>
    <n v="40"/>
    <n v="49"/>
    <n v="51"/>
    <n v="88"/>
    <n v="174"/>
    <n v="14"/>
    <x v="559"/>
    <x v="0"/>
  </r>
  <r>
    <n v="16015"/>
    <x v="12"/>
    <s v="Boise"/>
    <n v="393"/>
    <n v="93"/>
    <n v="50"/>
    <n v="49"/>
    <n v="106"/>
    <n v="95"/>
    <n v="80"/>
    <n v="129"/>
    <n v="184"/>
    <n v="359"/>
    <n v="34"/>
    <x v="560"/>
    <x v="0"/>
  </r>
  <r>
    <n v="16017"/>
    <x v="12"/>
    <s v="Bonner"/>
    <n v="1672"/>
    <n v="437"/>
    <n v="211"/>
    <n v="174"/>
    <n v="460"/>
    <n v="390"/>
    <n v="349"/>
    <n v="514"/>
    <n v="809"/>
    <n v="1520"/>
    <n v="152"/>
    <x v="561"/>
    <x v="0"/>
  </r>
  <r>
    <n v="16019"/>
    <x v="12"/>
    <s v="Bonneville"/>
    <n v="2301"/>
    <n v="559"/>
    <n v="264"/>
    <n v="265"/>
    <n v="664"/>
    <n v="549"/>
    <n v="769"/>
    <n v="708"/>
    <n v="824"/>
    <n v="2093"/>
    <n v="208"/>
    <x v="562"/>
    <x v="0"/>
  </r>
  <r>
    <n v="16021"/>
    <x v="12"/>
    <s v="Boundary"/>
    <n v="485"/>
    <n v="115"/>
    <n v="60"/>
    <n v="64"/>
    <n v="133"/>
    <n v="113"/>
    <n v="95"/>
    <n v="163"/>
    <n v="227"/>
    <n v="448"/>
    <n v="37"/>
    <x v="563"/>
    <x v="0"/>
  </r>
  <r>
    <n v="16023"/>
    <x v="12"/>
    <s v="Butte"/>
    <n v="62"/>
    <n v="23"/>
    <m/>
    <m/>
    <n v="14"/>
    <n v="10"/>
    <m/>
    <m/>
    <n v="35"/>
    <m/>
    <m/>
    <x v="564"/>
    <x v="0"/>
  </r>
  <r>
    <n v="16025"/>
    <x v="12"/>
    <s v="Camas"/>
    <n v="24"/>
    <m/>
    <m/>
    <m/>
    <m/>
    <m/>
    <m/>
    <m/>
    <n v="10"/>
    <m/>
    <m/>
    <x v="565"/>
    <x v="0"/>
  </r>
  <r>
    <n v="16027"/>
    <x v="12"/>
    <s v="Canyon"/>
    <n v="6107"/>
    <n v="1253"/>
    <n v="761"/>
    <n v="802"/>
    <n v="1847"/>
    <n v="1444"/>
    <n v="2092"/>
    <n v="1840"/>
    <n v="2174"/>
    <n v="5498"/>
    <n v="609"/>
    <x v="566"/>
    <x v="0"/>
  </r>
  <r>
    <n v="16029"/>
    <x v="12"/>
    <s v="Caribou"/>
    <n v="114"/>
    <n v="36"/>
    <n v="16"/>
    <n v="15"/>
    <n v="24"/>
    <n v="23"/>
    <n v="27"/>
    <n v="14"/>
    <n v="73"/>
    <m/>
    <m/>
    <x v="567"/>
    <x v="0"/>
  </r>
  <r>
    <n v="16031"/>
    <x v="12"/>
    <s v="Cassia"/>
    <n v="268"/>
    <n v="65"/>
    <n v="39"/>
    <n v="32"/>
    <n v="74"/>
    <n v="58"/>
    <n v="72"/>
    <n v="75"/>
    <n v="121"/>
    <n v="248"/>
    <n v="20"/>
    <x v="568"/>
    <x v="0"/>
  </r>
  <r>
    <n v="16033"/>
    <x v="12"/>
    <s v="Clark"/>
    <m/>
    <m/>
    <m/>
    <m/>
    <m/>
    <m/>
    <m/>
    <m/>
    <m/>
    <m/>
    <m/>
    <x v="569"/>
    <x v="0"/>
  </r>
  <r>
    <n v="16035"/>
    <x v="12"/>
    <s v="Clearwater"/>
    <n v="355"/>
    <n v="94"/>
    <n v="36"/>
    <n v="55"/>
    <n v="89"/>
    <n v="81"/>
    <n v="55"/>
    <n v="93"/>
    <n v="207"/>
    <n v="335"/>
    <n v="20"/>
    <x v="570"/>
    <x v="0"/>
  </r>
  <r>
    <n v="16037"/>
    <x v="12"/>
    <s v="Custer"/>
    <n v="131"/>
    <n v="34"/>
    <n v="19"/>
    <n v="15"/>
    <n v="41"/>
    <n v="22"/>
    <n v="25"/>
    <n v="35"/>
    <n v="71"/>
    <m/>
    <m/>
    <x v="571"/>
    <x v="0"/>
  </r>
  <r>
    <n v="16039"/>
    <x v="12"/>
    <s v="Elmore"/>
    <n v="2462"/>
    <n v="391"/>
    <n v="318"/>
    <n v="360"/>
    <n v="806"/>
    <n v="587"/>
    <n v="735"/>
    <n v="1004"/>
    <n v="723"/>
    <n v="2051"/>
    <n v="411"/>
    <x v="572"/>
    <x v="0"/>
  </r>
  <r>
    <n v="16041"/>
    <x v="12"/>
    <s v="Franklin"/>
    <n v="178"/>
    <n v="40"/>
    <n v="21"/>
    <n v="31"/>
    <n v="47"/>
    <n v="39"/>
    <n v="40"/>
    <n v="54"/>
    <n v="84"/>
    <n v="168"/>
    <n v="10"/>
    <x v="573"/>
    <x v="0"/>
  </r>
  <r>
    <n v="16043"/>
    <x v="12"/>
    <s v="Fremont"/>
    <n v="262"/>
    <n v="67"/>
    <n v="32"/>
    <n v="36"/>
    <n v="68"/>
    <n v="59"/>
    <n v="48"/>
    <n v="59"/>
    <n v="155"/>
    <n v="246"/>
    <n v="16"/>
    <x v="574"/>
    <x v="0"/>
  </r>
  <r>
    <n v="16045"/>
    <x v="12"/>
    <s v="Gem"/>
    <n v="670"/>
    <n v="145"/>
    <n v="78"/>
    <n v="92"/>
    <n v="212"/>
    <n v="143"/>
    <n v="162"/>
    <n v="201"/>
    <n v="307"/>
    <n v="610"/>
    <n v="60"/>
    <x v="575"/>
    <x v="0"/>
  </r>
  <r>
    <n v="16047"/>
    <x v="12"/>
    <s v="Gooding"/>
    <n v="262"/>
    <n v="73"/>
    <n v="34"/>
    <n v="38"/>
    <n v="59"/>
    <n v="58"/>
    <n v="53"/>
    <n v="67"/>
    <n v="142"/>
    <n v="248"/>
    <n v="14"/>
    <x v="576"/>
    <x v="0"/>
  </r>
  <r>
    <n v="16049"/>
    <x v="12"/>
    <s v="Idaho"/>
    <n v="613"/>
    <n v="138"/>
    <n v="63"/>
    <n v="74"/>
    <n v="198"/>
    <n v="140"/>
    <n v="71"/>
    <n v="146"/>
    <n v="396"/>
    <n v="573"/>
    <n v="40"/>
    <x v="577"/>
    <x v="0"/>
  </r>
  <r>
    <n v="16051"/>
    <x v="12"/>
    <s v="Jefferson"/>
    <n v="537"/>
    <n v="120"/>
    <n v="63"/>
    <n v="64"/>
    <n v="146"/>
    <n v="144"/>
    <n v="146"/>
    <n v="186"/>
    <n v="205"/>
    <n v="489"/>
    <n v="48"/>
    <x v="578"/>
    <x v="0"/>
  </r>
  <r>
    <n v="16053"/>
    <x v="12"/>
    <s v="Jerome"/>
    <n v="334"/>
    <n v="74"/>
    <n v="53"/>
    <n v="40"/>
    <n v="88"/>
    <n v="79"/>
    <n v="96"/>
    <n v="96"/>
    <n v="142"/>
    <n v="307"/>
    <n v="27"/>
    <x v="579"/>
    <x v="0"/>
  </r>
  <r>
    <n v="16055"/>
    <x v="12"/>
    <s v="Kootenai"/>
    <n v="5716"/>
    <n v="1364"/>
    <n v="690"/>
    <n v="702"/>
    <n v="1556"/>
    <n v="1404"/>
    <n v="1605"/>
    <n v="1674"/>
    <n v="2437"/>
    <n v="5189"/>
    <n v="525"/>
    <x v="580"/>
    <x v="0"/>
  </r>
  <r>
    <n v="16057"/>
    <x v="12"/>
    <s v="Latah"/>
    <n v="695"/>
    <n v="157"/>
    <n v="101"/>
    <n v="77"/>
    <n v="211"/>
    <n v="149"/>
    <n v="226"/>
    <n v="208"/>
    <n v="261"/>
    <n v="641"/>
    <n v="54"/>
    <x v="581"/>
    <x v="0"/>
  </r>
  <r>
    <n v="16059"/>
    <x v="12"/>
    <s v="Lemhi"/>
    <n v="267"/>
    <n v="47"/>
    <n v="40"/>
    <n v="36"/>
    <n v="76"/>
    <n v="68"/>
    <n v="34"/>
    <n v="87"/>
    <n v="146"/>
    <n v="246"/>
    <n v="21"/>
    <x v="582"/>
    <x v="0"/>
  </r>
  <r>
    <n v="16061"/>
    <x v="12"/>
    <s v="Lewis"/>
    <n v="147"/>
    <n v="31"/>
    <n v="20"/>
    <n v="18"/>
    <n v="42"/>
    <n v="36"/>
    <n v="25"/>
    <n v="39"/>
    <n v="83"/>
    <n v="129"/>
    <n v="18"/>
    <x v="583"/>
    <x v="0"/>
  </r>
  <r>
    <n v="16063"/>
    <x v="12"/>
    <s v="Lincoln"/>
    <n v="67"/>
    <n v="22"/>
    <n v="10"/>
    <n v="12"/>
    <n v="10"/>
    <n v="13"/>
    <n v="15"/>
    <n v="20"/>
    <n v="32"/>
    <m/>
    <m/>
    <x v="584"/>
    <x v="0"/>
  </r>
  <r>
    <n v="16065"/>
    <x v="12"/>
    <s v="Madison"/>
    <n v="322"/>
    <n v="74"/>
    <n v="46"/>
    <n v="40"/>
    <n v="93"/>
    <n v="69"/>
    <n v="102"/>
    <n v="88"/>
    <n v="132"/>
    <n v="298"/>
    <n v="24"/>
    <x v="585"/>
    <x v="0"/>
  </r>
  <r>
    <n v="16067"/>
    <x v="12"/>
    <s v="Minidoka"/>
    <n v="258"/>
    <n v="56"/>
    <n v="42"/>
    <n v="34"/>
    <n v="69"/>
    <n v="57"/>
    <n v="69"/>
    <n v="78"/>
    <n v="111"/>
    <n v="233"/>
    <n v="25"/>
    <x v="586"/>
    <x v="0"/>
  </r>
  <r>
    <n v="16069"/>
    <x v="12"/>
    <s v="Nez Perce"/>
    <n v="1259"/>
    <n v="275"/>
    <n v="143"/>
    <n v="176"/>
    <n v="385"/>
    <n v="280"/>
    <n v="288"/>
    <n v="414"/>
    <n v="557"/>
    <n v="1164"/>
    <n v="94"/>
    <x v="587"/>
    <x v="0"/>
  </r>
  <r>
    <n v="16071"/>
    <x v="12"/>
    <s v="Oneida"/>
    <n v="91"/>
    <n v="18"/>
    <n v="11"/>
    <n v="18"/>
    <n v="27"/>
    <n v="17"/>
    <n v="20"/>
    <n v="26"/>
    <n v="45"/>
    <m/>
    <m/>
    <x v="588"/>
    <x v="0"/>
  </r>
  <r>
    <n v="16073"/>
    <x v="12"/>
    <s v="Owyhee"/>
    <n v="244"/>
    <n v="66"/>
    <n v="29"/>
    <n v="22"/>
    <n v="80"/>
    <n v="47"/>
    <n v="63"/>
    <n v="83"/>
    <n v="98"/>
    <n v="213"/>
    <n v="31"/>
    <x v="589"/>
    <x v="0"/>
  </r>
  <r>
    <n v="16075"/>
    <x v="12"/>
    <s v="Payette"/>
    <n v="718"/>
    <n v="149"/>
    <n v="122"/>
    <n v="81"/>
    <n v="213"/>
    <n v="153"/>
    <n v="192"/>
    <n v="216"/>
    <n v="310"/>
    <n v="671"/>
    <n v="47"/>
    <x v="590"/>
    <x v="0"/>
  </r>
  <r>
    <n v="16077"/>
    <x v="12"/>
    <s v="Power"/>
    <n v="113"/>
    <n v="36"/>
    <m/>
    <m/>
    <n v="29"/>
    <n v="27"/>
    <n v="28"/>
    <n v="29"/>
    <n v="56"/>
    <n v="97"/>
    <n v="16"/>
    <x v="591"/>
    <x v="0"/>
  </r>
  <r>
    <n v="16079"/>
    <x v="12"/>
    <s v="Shoshone"/>
    <n v="377"/>
    <n v="102"/>
    <n v="51"/>
    <n v="45"/>
    <n v="113"/>
    <n v="66"/>
    <n v="68"/>
    <n v="117"/>
    <n v="192"/>
    <n v="353"/>
    <n v="24"/>
    <x v="592"/>
    <x v="0"/>
  </r>
  <r>
    <n v="16081"/>
    <x v="12"/>
    <s v="Teton"/>
    <n v="121"/>
    <n v="31"/>
    <n v="14"/>
    <n v="16"/>
    <n v="35"/>
    <n v="25"/>
    <n v="38"/>
    <n v="36"/>
    <n v="47"/>
    <n v="108"/>
    <n v="13"/>
    <x v="593"/>
    <x v="0"/>
  </r>
  <r>
    <n v="16083"/>
    <x v="12"/>
    <s v="Twin Falls"/>
    <n v="1689"/>
    <n v="347"/>
    <n v="196"/>
    <n v="221"/>
    <n v="498"/>
    <n v="427"/>
    <n v="549"/>
    <n v="445"/>
    <n v="695"/>
    <n v="1526"/>
    <n v="161"/>
    <x v="594"/>
    <x v="0"/>
  </r>
  <r>
    <n v="16085"/>
    <x v="12"/>
    <s v="Valley"/>
    <n v="322"/>
    <n v="85"/>
    <n v="40"/>
    <n v="47"/>
    <n v="85"/>
    <n v="65"/>
    <n v="68"/>
    <n v="119"/>
    <n v="135"/>
    <n v="281"/>
    <n v="41"/>
    <x v="595"/>
    <x v="0"/>
  </r>
  <r>
    <n v="16087"/>
    <x v="12"/>
    <s v="Washington"/>
    <n v="287"/>
    <n v="74"/>
    <n v="32"/>
    <n v="40"/>
    <n v="83"/>
    <n v="58"/>
    <n v="62"/>
    <n v="76"/>
    <n v="149"/>
    <n v="261"/>
    <n v="26"/>
    <x v="596"/>
    <x v="0"/>
  </r>
  <r>
    <n v="17001"/>
    <x v="13"/>
    <s v="Adams"/>
    <n v="1297"/>
    <n v="283"/>
    <n v="132"/>
    <n v="148"/>
    <n v="372"/>
    <n v="362"/>
    <n v="352"/>
    <n v="334"/>
    <n v="611"/>
    <n v="1204"/>
    <n v="93"/>
    <x v="597"/>
    <x v="0"/>
  </r>
  <r>
    <n v="17003"/>
    <x v="13"/>
    <s v="Alexander"/>
    <n v="125"/>
    <n v="22"/>
    <n v="16"/>
    <n v="16"/>
    <n v="42"/>
    <n v="29"/>
    <n v="12"/>
    <n v="40"/>
    <n v="73"/>
    <n v="114"/>
    <n v="11"/>
    <x v="598"/>
    <x v="0"/>
  </r>
  <r>
    <n v="17005"/>
    <x v="13"/>
    <s v="Bond"/>
    <n v="274"/>
    <n v="47"/>
    <n v="29"/>
    <n v="20"/>
    <n v="97"/>
    <n v="81"/>
    <n v="74"/>
    <n v="81"/>
    <n v="119"/>
    <n v="252"/>
    <n v="22"/>
    <x v="599"/>
    <x v="0"/>
  </r>
  <r>
    <n v="17007"/>
    <x v="13"/>
    <s v="Boone"/>
    <n v="629"/>
    <n v="123"/>
    <n v="73"/>
    <n v="67"/>
    <n v="224"/>
    <n v="142"/>
    <n v="191"/>
    <n v="174"/>
    <n v="264"/>
    <n v="577"/>
    <n v="52"/>
    <x v="600"/>
    <x v="0"/>
  </r>
  <r>
    <n v="17009"/>
    <x v="13"/>
    <s v="Brown"/>
    <n v="81"/>
    <n v="19"/>
    <m/>
    <m/>
    <n v="24"/>
    <n v="24"/>
    <n v="17"/>
    <n v="33"/>
    <n v="31"/>
    <m/>
    <m/>
    <x v="601"/>
    <x v="0"/>
  </r>
  <r>
    <n v="17011"/>
    <x v="13"/>
    <s v="Bureau"/>
    <n v="454"/>
    <n v="95"/>
    <n v="52"/>
    <n v="55"/>
    <n v="147"/>
    <n v="105"/>
    <n v="109"/>
    <n v="139"/>
    <n v="206"/>
    <n v="413"/>
    <n v="41"/>
    <x v="602"/>
    <x v="0"/>
  </r>
  <r>
    <n v="17013"/>
    <x v="13"/>
    <s v="Calhoun"/>
    <n v="71"/>
    <n v="19"/>
    <m/>
    <m/>
    <n v="17"/>
    <n v="18"/>
    <m/>
    <m/>
    <n v="45"/>
    <m/>
    <m/>
    <x v="603"/>
    <x v="0"/>
  </r>
  <r>
    <n v="17015"/>
    <x v="13"/>
    <s v="Carroll"/>
    <n v="307"/>
    <n v="95"/>
    <n v="33"/>
    <n v="34"/>
    <n v="74"/>
    <n v="71"/>
    <n v="65"/>
    <n v="90"/>
    <n v="152"/>
    <n v="287"/>
    <n v="20"/>
    <x v="604"/>
    <x v="0"/>
  </r>
  <r>
    <n v="17017"/>
    <x v="13"/>
    <s v="Cass"/>
    <n v="161"/>
    <n v="28"/>
    <n v="13"/>
    <n v="22"/>
    <n v="49"/>
    <n v="49"/>
    <n v="39"/>
    <n v="45"/>
    <n v="77"/>
    <m/>
    <m/>
    <x v="605"/>
    <x v="0"/>
  </r>
  <r>
    <n v="17019"/>
    <x v="13"/>
    <s v="Champaign"/>
    <n v="1893"/>
    <n v="357"/>
    <n v="233"/>
    <n v="216"/>
    <n v="575"/>
    <n v="512"/>
    <n v="639"/>
    <n v="580"/>
    <n v="674"/>
    <n v="1640"/>
    <n v="253"/>
    <x v="606"/>
    <x v="0"/>
  </r>
  <r>
    <n v="17021"/>
    <x v="13"/>
    <s v="Christian"/>
    <n v="570"/>
    <n v="109"/>
    <n v="57"/>
    <n v="62"/>
    <n v="174"/>
    <n v="168"/>
    <n v="172"/>
    <n v="155"/>
    <n v="243"/>
    <n v="526"/>
    <n v="44"/>
    <x v="607"/>
    <x v="0"/>
  </r>
  <r>
    <n v="17023"/>
    <x v="13"/>
    <s v="Clark"/>
    <n v="278"/>
    <n v="45"/>
    <n v="39"/>
    <n v="34"/>
    <n v="93"/>
    <n v="67"/>
    <n v="74"/>
    <n v="81"/>
    <n v="123"/>
    <n v="252"/>
    <n v="26"/>
    <x v="608"/>
    <x v="0"/>
  </r>
  <r>
    <n v="17025"/>
    <x v="13"/>
    <s v="Clay"/>
    <n v="216"/>
    <n v="39"/>
    <n v="27"/>
    <n v="26"/>
    <n v="82"/>
    <n v="42"/>
    <n v="49"/>
    <n v="64"/>
    <n v="103"/>
    <n v="204"/>
    <n v="12"/>
    <x v="609"/>
    <x v="0"/>
  </r>
  <r>
    <n v="17027"/>
    <x v="13"/>
    <s v="Clinton"/>
    <n v="846"/>
    <n v="159"/>
    <n v="92"/>
    <n v="91"/>
    <n v="268"/>
    <n v="236"/>
    <n v="213"/>
    <n v="317"/>
    <n v="316"/>
    <n v="731"/>
    <n v="115"/>
    <x v="610"/>
    <x v="0"/>
  </r>
  <r>
    <n v="17029"/>
    <x v="13"/>
    <s v="Coles"/>
    <n v="714"/>
    <n v="131"/>
    <n v="79"/>
    <n v="96"/>
    <n v="193"/>
    <n v="215"/>
    <n v="197"/>
    <n v="186"/>
    <n v="331"/>
    <n v="652"/>
    <n v="62"/>
    <x v="611"/>
    <x v="0"/>
  </r>
  <r>
    <n v="17031"/>
    <x v="13"/>
    <s v="Cook"/>
    <n v="32786"/>
    <n v="5790"/>
    <n v="3320"/>
    <n v="3635"/>
    <n v="10907"/>
    <n v="9134"/>
    <n v="10928"/>
    <n v="9573"/>
    <n v="12284"/>
    <n v="28585"/>
    <n v="4198"/>
    <x v="612"/>
    <x v="0"/>
  </r>
  <r>
    <n v="17033"/>
    <x v="13"/>
    <s v="Crawford"/>
    <n v="306"/>
    <n v="77"/>
    <n v="36"/>
    <n v="40"/>
    <n v="84"/>
    <n v="69"/>
    <n v="76"/>
    <n v="78"/>
    <n v="152"/>
    <n v="279"/>
    <n v="27"/>
    <x v="613"/>
    <x v="0"/>
  </r>
  <r>
    <n v="17035"/>
    <x v="13"/>
    <s v="Cumberland"/>
    <n v="167"/>
    <n v="35"/>
    <n v="20"/>
    <n v="21"/>
    <n v="52"/>
    <n v="39"/>
    <n v="52"/>
    <n v="44"/>
    <n v="71"/>
    <n v="155"/>
    <n v="12"/>
    <x v="614"/>
    <x v="0"/>
  </r>
  <r>
    <n v="17037"/>
    <x v="13"/>
    <s v="DeKalb"/>
    <n v="1092"/>
    <n v="215"/>
    <n v="119"/>
    <n v="123"/>
    <n v="334"/>
    <n v="301"/>
    <n v="431"/>
    <n v="274"/>
    <n v="387"/>
    <n v="984"/>
    <n v="108"/>
    <x v="615"/>
    <x v="0"/>
  </r>
  <r>
    <n v="17039"/>
    <x v="13"/>
    <s v="De Witt"/>
    <n v="236"/>
    <n v="49"/>
    <n v="29"/>
    <n v="24"/>
    <n v="82"/>
    <n v="52"/>
    <n v="82"/>
    <n v="61"/>
    <n v="93"/>
    <n v="212"/>
    <n v="24"/>
    <x v="616"/>
    <x v="0"/>
  </r>
  <r>
    <n v="17041"/>
    <x v="13"/>
    <s v="Douglas"/>
    <n v="238"/>
    <n v="33"/>
    <n v="22"/>
    <n v="27"/>
    <n v="84"/>
    <n v="72"/>
    <n v="75"/>
    <n v="69"/>
    <n v="94"/>
    <n v="219"/>
    <n v="19"/>
    <x v="617"/>
    <x v="0"/>
  </r>
  <r>
    <n v="17043"/>
    <x v="13"/>
    <s v="DuPage"/>
    <n v="5369"/>
    <n v="1100"/>
    <n v="614"/>
    <n v="632"/>
    <n v="1707"/>
    <n v="1316"/>
    <n v="1905"/>
    <n v="1326"/>
    <n v="2138"/>
    <n v="4837"/>
    <n v="532"/>
    <x v="618"/>
    <x v="0"/>
  </r>
  <r>
    <n v="17045"/>
    <x v="13"/>
    <s v="Edgar"/>
    <n v="261"/>
    <n v="48"/>
    <n v="32"/>
    <n v="35"/>
    <n v="79"/>
    <n v="67"/>
    <n v="52"/>
    <n v="87"/>
    <n v="122"/>
    <n v="237"/>
    <n v="24"/>
    <x v="619"/>
    <x v="0"/>
  </r>
  <r>
    <n v="17047"/>
    <x v="13"/>
    <s v="Edwards"/>
    <n v="100"/>
    <n v="24"/>
    <n v="14"/>
    <n v="18"/>
    <n v="19"/>
    <n v="25"/>
    <n v="12"/>
    <n v="31"/>
    <n v="57"/>
    <m/>
    <m/>
    <x v="620"/>
    <x v="0"/>
  </r>
  <r>
    <n v="17049"/>
    <x v="13"/>
    <s v="Effingham"/>
    <n v="495"/>
    <n v="105"/>
    <n v="61"/>
    <n v="61"/>
    <n v="155"/>
    <n v="113"/>
    <n v="174"/>
    <n v="123"/>
    <n v="198"/>
    <n v="462"/>
    <n v="33"/>
    <x v="621"/>
    <x v="0"/>
  </r>
  <r>
    <n v="17051"/>
    <x v="13"/>
    <s v="Fayette"/>
    <n v="293"/>
    <n v="55"/>
    <n v="39"/>
    <n v="45"/>
    <n v="98"/>
    <n v="56"/>
    <n v="81"/>
    <n v="101"/>
    <n v="111"/>
    <n v="279"/>
    <n v="14"/>
    <x v="622"/>
    <x v="0"/>
  </r>
  <r>
    <n v="17053"/>
    <x v="13"/>
    <s v="Ford"/>
    <n v="158"/>
    <n v="29"/>
    <n v="25"/>
    <n v="22"/>
    <n v="44"/>
    <n v="38"/>
    <n v="43"/>
    <n v="37"/>
    <n v="78"/>
    <n v="147"/>
    <n v="10"/>
    <x v="623"/>
    <x v="0"/>
  </r>
  <r>
    <n v="17055"/>
    <x v="13"/>
    <s v="Franklin"/>
    <n v="825"/>
    <n v="176"/>
    <n v="91"/>
    <n v="100"/>
    <n v="251"/>
    <n v="207"/>
    <n v="211"/>
    <n v="237"/>
    <n v="377"/>
    <n v="765"/>
    <n v="60"/>
    <x v="624"/>
    <x v="0"/>
  </r>
  <r>
    <n v="17057"/>
    <x v="13"/>
    <s v="Fulton"/>
    <n v="530"/>
    <n v="105"/>
    <n v="36"/>
    <n v="60"/>
    <n v="164"/>
    <n v="165"/>
    <n v="127"/>
    <n v="187"/>
    <n v="216"/>
    <n v="490"/>
    <n v="40"/>
    <x v="625"/>
    <x v="0"/>
  </r>
  <r>
    <n v="17059"/>
    <x v="13"/>
    <s v="Gallatin"/>
    <n v="104"/>
    <n v="17"/>
    <n v="13"/>
    <n v="12"/>
    <n v="31"/>
    <n v="31"/>
    <n v="16"/>
    <n v="25"/>
    <n v="63"/>
    <m/>
    <m/>
    <x v="626"/>
    <x v="0"/>
  </r>
  <r>
    <n v="17061"/>
    <x v="13"/>
    <s v="Greene"/>
    <n v="186"/>
    <n v="38"/>
    <n v="16"/>
    <n v="22"/>
    <n v="69"/>
    <n v="41"/>
    <n v="49"/>
    <n v="52"/>
    <n v="85"/>
    <n v="173"/>
    <n v="13"/>
    <x v="627"/>
    <x v="0"/>
  </r>
  <r>
    <n v="17063"/>
    <x v="13"/>
    <s v="Grundy"/>
    <n v="690"/>
    <n v="137"/>
    <n v="95"/>
    <n v="92"/>
    <n v="215"/>
    <n v="151"/>
    <n v="267"/>
    <n v="188"/>
    <n v="235"/>
    <n v="627"/>
    <n v="63"/>
    <x v="628"/>
    <x v="0"/>
  </r>
  <r>
    <n v="17065"/>
    <x v="13"/>
    <s v="Hamilton"/>
    <n v="130"/>
    <n v="28"/>
    <n v="18"/>
    <n v="10"/>
    <n v="35"/>
    <n v="39"/>
    <n v="24"/>
    <n v="30"/>
    <n v="76"/>
    <m/>
    <m/>
    <x v="629"/>
    <x v="0"/>
  </r>
  <r>
    <n v="17067"/>
    <x v="13"/>
    <s v="Hancock"/>
    <n v="329"/>
    <n v="58"/>
    <n v="40"/>
    <n v="33"/>
    <n v="108"/>
    <n v="90"/>
    <n v="77"/>
    <n v="93"/>
    <n v="159"/>
    <n v="300"/>
    <n v="29"/>
    <x v="630"/>
    <x v="0"/>
  </r>
  <r>
    <n v="17069"/>
    <x v="13"/>
    <s v="Hardin"/>
    <n v="81"/>
    <n v="26"/>
    <n v="14"/>
    <m/>
    <n v="22"/>
    <m/>
    <m/>
    <m/>
    <n v="50"/>
    <m/>
    <m/>
    <x v="631"/>
    <x v="0"/>
  </r>
  <r>
    <n v="17071"/>
    <x v="13"/>
    <s v="Henderson"/>
    <n v="134"/>
    <n v="24"/>
    <n v="14"/>
    <n v="17"/>
    <n v="46"/>
    <n v="33"/>
    <n v="26"/>
    <n v="44"/>
    <n v="64"/>
    <n v="123"/>
    <n v="11"/>
    <x v="632"/>
    <x v="0"/>
  </r>
  <r>
    <n v="17073"/>
    <x v="13"/>
    <s v="Henry"/>
    <n v="775"/>
    <n v="146"/>
    <n v="102"/>
    <n v="115"/>
    <n v="228"/>
    <n v="184"/>
    <n v="194"/>
    <n v="245"/>
    <n v="336"/>
    <n v="707"/>
    <n v="68"/>
    <x v="633"/>
    <x v="0"/>
  </r>
  <r>
    <n v="17075"/>
    <x v="13"/>
    <s v="Iroquois"/>
    <n v="433"/>
    <n v="83"/>
    <n v="50"/>
    <n v="57"/>
    <n v="152"/>
    <n v="91"/>
    <n v="128"/>
    <n v="97"/>
    <n v="208"/>
    <n v="400"/>
    <n v="33"/>
    <x v="634"/>
    <x v="0"/>
  </r>
  <r>
    <n v="17077"/>
    <x v="13"/>
    <s v="Jackson"/>
    <n v="1021"/>
    <n v="220"/>
    <n v="107"/>
    <n v="130"/>
    <n v="340"/>
    <n v="224"/>
    <n v="305"/>
    <n v="330"/>
    <n v="386"/>
    <n v="898"/>
    <n v="123"/>
    <x v="635"/>
    <x v="0"/>
  </r>
  <r>
    <n v="17079"/>
    <x v="13"/>
    <s v="Jasper"/>
    <n v="112"/>
    <n v="22"/>
    <n v="13"/>
    <n v="16"/>
    <n v="40"/>
    <n v="21"/>
    <n v="33"/>
    <n v="26"/>
    <n v="53"/>
    <m/>
    <m/>
    <x v="636"/>
    <x v="0"/>
  </r>
  <r>
    <n v="17081"/>
    <x v="13"/>
    <s v="Jefferson"/>
    <n v="718"/>
    <n v="146"/>
    <n v="75"/>
    <n v="91"/>
    <n v="219"/>
    <n v="187"/>
    <n v="173"/>
    <n v="218"/>
    <n v="327"/>
    <n v="655"/>
    <n v="63"/>
    <x v="637"/>
    <x v="0"/>
  </r>
  <r>
    <n v="17083"/>
    <x v="13"/>
    <s v="Jersey"/>
    <n v="390"/>
    <n v="63"/>
    <n v="55"/>
    <n v="41"/>
    <n v="121"/>
    <n v="110"/>
    <n v="102"/>
    <n v="114"/>
    <n v="174"/>
    <n v="358"/>
    <n v="32"/>
    <x v="638"/>
    <x v="0"/>
  </r>
  <r>
    <n v="17085"/>
    <x v="13"/>
    <s v="Jo Daviess"/>
    <n v="356"/>
    <n v="93"/>
    <n v="53"/>
    <n v="47"/>
    <n v="92"/>
    <n v="71"/>
    <n v="64"/>
    <n v="105"/>
    <n v="187"/>
    <n v="328"/>
    <n v="28"/>
    <x v="639"/>
    <x v="0"/>
  </r>
  <r>
    <n v="17087"/>
    <x v="13"/>
    <s v="Johnson"/>
    <n v="330"/>
    <n v="64"/>
    <n v="31"/>
    <n v="43"/>
    <n v="111"/>
    <n v="81"/>
    <n v="82"/>
    <n v="83"/>
    <n v="165"/>
    <n v="305"/>
    <n v="25"/>
    <x v="640"/>
    <x v="0"/>
  </r>
  <r>
    <n v="17089"/>
    <x v="13"/>
    <s v="Kane"/>
    <n v="4140"/>
    <n v="855"/>
    <n v="455"/>
    <n v="438"/>
    <n v="1308"/>
    <n v="1084"/>
    <n v="1461"/>
    <n v="1064"/>
    <n v="1615"/>
    <n v="3773"/>
    <n v="367"/>
    <x v="641"/>
    <x v="0"/>
  </r>
  <r>
    <n v="17091"/>
    <x v="13"/>
    <s v="Kankakee"/>
    <n v="1416"/>
    <n v="276"/>
    <n v="163"/>
    <n v="161"/>
    <n v="437"/>
    <n v="379"/>
    <n v="388"/>
    <n v="375"/>
    <n v="653"/>
    <n v="1290"/>
    <n v="126"/>
    <x v="642"/>
    <x v="0"/>
  </r>
  <r>
    <n v="17093"/>
    <x v="13"/>
    <s v="Kendall"/>
    <n v="1600"/>
    <n v="232"/>
    <n v="155"/>
    <n v="176"/>
    <n v="561"/>
    <n v="476"/>
    <n v="729"/>
    <n v="498"/>
    <n v="373"/>
    <n v="1393"/>
    <n v="207"/>
    <x v="643"/>
    <x v="0"/>
  </r>
  <r>
    <n v="17095"/>
    <x v="13"/>
    <s v="Knox"/>
    <n v="778"/>
    <n v="129"/>
    <n v="86"/>
    <n v="109"/>
    <n v="256"/>
    <n v="198"/>
    <n v="179"/>
    <n v="237"/>
    <n v="362"/>
    <n v="721"/>
    <n v="57"/>
    <x v="644"/>
    <x v="0"/>
  </r>
  <r>
    <n v="17097"/>
    <x v="13"/>
    <s v="Lake"/>
    <n v="9623"/>
    <n v="1588"/>
    <n v="1002"/>
    <n v="1074"/>
    <n v="3172"/>
    <n v="2787"/>
    <n v="4187"/>
    <n v="2760"/>
    <n v="2676"/>
    <n v="8092"/>
    <n v="1530"/>
    <x v="645"/>
    <x v="0"/>
  </r>
  <r>
    <n v="17099"/>
    <x v="13"/>
    <s v="LaSalle"/>
    <n v="1441"/>
    <n v="324"/>
    <n v="160"/>
    <n v="158"/>
    <n v="469"/>
    <n v="330"/>
    <n v="400"/>
    <n v="408"/>
    <n v="633"/>
    <n v="1328"/>
    <n v="113"/>
    <x v="646"/>
    <x v="0"/>
  </r>
  <r>
    <n v="17101"/>
    <x v="13"/>
    <s v="Lawrence"/>
    <n v="216"/>
    <n v="51"/>
    <n v="27"/>
    <n v="29"/>
    <n v="54"/>
    <n v="55"/>
    <n v="34"/>
    <n v="74"/>
    <n v="108"/>
    <n v="202"/>
    <n v="14"/>
    <x v="647"/>
    <x v="0"/>
  </r>
  <r>
    <n v="17103"/>
    <x v="13"/>
    <s v="Lee"/>
    <n v="456"/>
    <n v="93"/>
    <n v="52"/>
    <n v="55"/>
    <n v="140"/>
    <n v="116"/>
    <n v="127"/>
    <n v="146"/>
    <n v="183"/>
    <n v="419"/>
    <n v="37"/>
    <x v="648"/>
    <x v="0"/>
  </r>
  <r>
    <n v="17105"/>
    <x v="13"/>
    <s v="Livingston"/>
    <n v="485"/>
    <n v="101"/>
    <n v="48"/>
    <n v="63"/>
    <n v="160"/>
    <n v="113"/>
    <n v="149"/>
    <n v="133"/>
    <n v="203"/>
    <n v="441"/>
    <n v="44"/>
    <x v="649"/>
    <x v="0"/>
  </r>
  <r>
    <n v="17107"/>
    <x v="13"/>
    <s v="Logan"/>
    <n v="417"/>
    <n v="85"/>
    <n v="55"/>
    <n v="41"/>
    <n v="132"/>
    <n v="104"/>
    <n v="138"/>
    <n v="114"/>
    <n v="165"/>
    <n v="377"/>
    <n v="40"/>
    <x v="650"/>
    <x v="0"/>
  </r>
  <r>
    <n v="17109"/>
    <x v="13"/>
    <s v="McDonough"/>
    <n v="461"/>
    <n v="91"/>
    <n v="41"/>
    <n v="62"/>
    <n v="152"/>
    <n v="115"/>
    <n v="141"/>
    <n v="130"/>
    <n v="190"/>
    <n v="416"/>
    <n v="45"/>
    <x v="651"/>
    <x v="0"/>
  </r>
  <r>
    <n v="17111"/>
    <x v="13"/>
    <s v="McHenry"/>
    <n v="3584"/>
    <n v="712"/>
    <n v="341"/>
    <n v="356"/>
    <n v="1163"/>
    <n v="1012"/>
    <n v="1312"/>
    <n v="932"/>
    <n v="1340"/>
    <n v="3231"/>
    <n v="353"/>
    <x v="652"/>
    <x v="0"/>
  </r>
  <r>
    <n v="17113"/>
    <x v="13"/>
    <s v="McLean"/>
    <n v="1898"/>
    <n v="381"/>
    <n v="205"/>
    <n v="239"/>
    <n v="591"/>
    <n v="482"/>
    <n v="639"/>
    <n v="574"/>
    <n v="685"/>
    <n v="1697"/>
    <n v="201"/>
    <x v="653"/>
    <x v="0"/>
  </r>
  <r>
    <n v="17115"/>
    <x v="13"/>
    <s v="Macon"/>
    <n v="1552"/>
    <n v="284"/>
    <n v="171"/>
    <n v="195"/>
    <n v="487"/>
    <n v="415"/>
    <n v="357"/>
    <n v="431"/>
    <n v="764"/>
    <n v="1410"/>
    <n v="142"/>
    <x v="654"/>
    <x v="0"/>
  </r>
  <r>
    <n v="17117"/>
    <x v="13"/>
    <s v="Macoupin"/>
    <n v="861"/>
    <n v="165"/>
    <n v="100"/>
    <n v="103"/>
    <n v="271"/>
    <n v="222"/>
    <n v="216"/>
    <n v="275"/>
    <n v="370"/>
    <n v="797"/>
    <n v="64"/>
    <x v="655"/>
    <x v="0"/>
  </r>
  <r>
    <n v="17119"/>
    <x v="13"/>
    <s v="Madison"/>
    <n v="5757"/>
    <n v="989"/>
    <n v="588"/>
    <n v="682"/>
    <n v="1806"/>
    <n v="1692"/>
    <n v="1667"/>
    <n v="2055"/>
    <n v="2035"/>
    <n v="5033"/>
    <n v="724"/>
    <x v="656"/>
    <x v="0"/>
  </r>
  <r>
    <n v="17121"/>
    <x v="13"/>
    <s v="Marion"/>
    <n v="710"/>
    <n v="121"/>
    <n v="86"/>
    <n v="90"/>
    <n v="215"/>
    <n v="198"/>
    <n v="166"/>
    <n v="197"/>
    <n v="347"/>
    <n v="661"/>
    <n v="48"/>
    <x v="657"/>
    <x v="0"/>
  </r>
  <r>
    <n v="17123"/>
    <x v="13"/>
    <s v="Marshall"/>
    <n v="185"/>
    <n v="35"/>
    <n v="17"/>
    <n v="16"/>
    <n v="59"/>
    <n v="58"/>
    <n v="49"/>
    <n v="61"/>
    <n v="75"/>
    <n v="174"/>
    <n v="11"/>
    <x v="658"/>
    <x v="0"/>
  </r>
  <r>
    <n v="17125"/>
    <x v="13"/>
    <s v="Mason"/>
    <n v="268"/>
    <n v="48"/>
    <n v="37"/>
    <n v="24"/>
    <n v="88"/>
    <n v="71"/>
    <n v="70"/>
    <n v="80"/>
    <n v="118"/>
    <n v="244"/>
    <n v="24"/>
    <x v="659"/>
    <x v="0"/>
  </r>
  <r>
    <n v="17127"/>
    <x v="13"/>
    <s v="Massac"/>
    <n v="311"/>
    <n v="58"/>
    <n v="46"/>
    <n v="39"/>
    <n v="95"/>
    <n v="73"/>
    <n v="75"/>
    <n v="96"/>
    <n v="140"/>
    <n v="285"/>
    <n v="26"/>
    <x v="660"/>
    <x v="0"/>
  </r>
  <r>
    <n v="17129"/>
    <x v="13"/>
    <s v="Menard"/>
    <n v="255"/>
    <n v="35"/>
    <n v="31"/>
    <n v="38"/>
    <n v="71"/>
    <n v="80"/>
    <n v="86"/>
    <n v="97"/>
    <n v="72"/>
    <n v="232"/>
    <n v="23"/>
    <x v="661"/>
    <x v="0"/>
  </r>
  <r>
    <n v="17131"/>
    <x v="13"/>
    <s v="Mercer"/>
    <n v="286"/>
    <n v="65"/>
    <n v="41"/>
    <n v="45"/>
    <n v="84"/>
    <n v="51"/>
    <n v="62"/>
    <n v="91"/>
    <n v="133"/>
    <n v="273"/>
    <n v="13"/>
    <x v="662"/>
    <x v="0"/>
  </r>
  <r>
    <n v="17133"/>
    <x v="13"/>
    <s v="Monroe"/>
    <n v="786"/>
    <n v="128"/>
    <n v="80"/>
    <n v="85"/>
    <n v="254"/>
    <n v="239"/>
    <n v="220"/>
    <n v="273"/>
    <n v="293"/>
    <n v="690"/>
    <n v="96"/>
    <x v="663"/>
    <x v="0"/>
  </r>
  <r>
    <n v="17135"/>
    <x v="13"/>
    <s v="Montgomery"/>
    <n v="480"/>
    <n v="80"/>
    <n v="51"/>
    <n v="67"/>
    <n v="152"/>
    <n v="130"/>
    <n v="130"/>
    <n v="130"/>
    <n v="220"/>
    <n v="437"/>
    <n v="42"/>
    <x v="664"/>
    <x v="0"/>
  </r>
  <r>
    <n v="17137"/>
    <x v="13"/>
    <s v="Morgan"/>
    <n v="519"/>
    <n v="100"/>
    <n v="60"/>
    <n v="60"/>
    <n v="164"/>
    <n v="135"/>
    <n v="130"/>
    <n v="149"/>
    <n v="240"/>
    <n v="476"/>
    <n v="43"/>
    <x v="665"/>
    <x v="0"/>
  </r>
  <r>
    <n v="17139"/>
    <x v="13"/>
    <s v="Moultrie"/>
    <n v="181"/>
    <n v="21"/>
    <n v="15"/>
    <n v="22"/>
    <n v="55"/>
    <n v="68"/>
    <n v="56"/>
    <n v="37"/>
    <n v="88"/>
    <n v="161"/>
    <n v="20"/>
    <x v="666"/>
    <x v="0"/>
  </r>
  <r>
    <n v="17141"/>
    <x v="13"/>
    <s v="Ogle"/>
    <n v="755"/>
    <n v="149"/>
    <n v="80"/>
    <n v="87"/>
    <n v="238"/>
    <n v="201"/>
    <n v="263"/>
    <n v="198"/>
    <n v="294"/>
    <n v="681"/>
    <n v="74"/>
    <x v="667"/>
    <x v="0"/>
  </r>
  <r>
    <n v="17143"/>
    <x v="13"/>
    <s v="Peoria"/>
    <n v="2652"/>
    <n v="400"/>
    <n v="232"/>
    <n v="264"/>
    <n v="883"/>
    <n v="873"/>
    <n v="709"/>
    <n v="913"/>
    <n v="1030"/>
    <n v="2359"/>
    <n v="292"/>
    <x v="668"/>
    <x v="0"/>
  </r>
  <r>
    <n v="17145"/>
    <x v="13"/>
    <s v="Perry"/>
    <n v="348"/>
    <n v="79"/>
    <n v="25"/>
    <n v="35"/>
    <n v="129"/>
    <n v="80"/>
    <n v="94"/>
    <n v="98"/>
    <n v="156"/>
    <n v="317"/>
    <n v="31"/>
    <x v="669"/>
    <x v="0"/>
  </r>
  <r>
    <n v="17147"/>
    <x v="13"/>
    <s v="Piatt"/>
    <n v="250"/>
    <n v="44"/>
    <n v="34"/>
    <n v="30"/>
    <n v="81"/>
    <n v="61"/>
    <n v="97"/>
    <n v="64"/>
    <n v="89"/>
    <n v="233"/>
    <n v="17"/>
    <x v="670"/>
    <x v="0"/>
  </r>
  <r>
    <n v="17149"/>
    <x v="13"/>
    <s v="Pike"/>
    <n v="275"/>
    <n v="61"/>
    <n v="34"/>
    <n v="26"/>
    <n v="94"/>
    <n v="60"/>
    <n v="76"/>
    <n v="75"/>
    <n v="124"/>
    <n v="252"/>
    <n v="23"/>
    <x v="671"/>
    <x v="0"/>
  </r>
  <r>
    <n v="17151"/>
    <x v="13"/>
    <s v="Pope"/>
    <n v="114"/>
    <n v="34"/>
    <n v="13"/>
    <n v="11"/>
    <n v="31"/>
    <n v="25"/>
    <n v="22"/>
    <n v="38"/>
    <n v="54"/>
    <m/>
    <m/>
    <x v="672"/>
    <x v="0"/>
  </r>
  <r>
    <n v="17153"/>
    <x v="13"/>
    <s v="Pulaski"/>
    <n v="117"/>
    <n v="26"/>
    <m/>
    <m/>
    <n v="31"/>
    <n v="31"/>
    <n v="14"/>
    <n v="32"/>
    <n v="71"/>
    <m/>
    <m/>
    <x v="673"/>
    <x v="0"/>
  </r>
  <r>
    <n v="17155"/>
    <x v="13"/>
    <s v="Putnam"/>
    <n v="80"/>
    <n v="17"/>
    <m/>
    <m/>
    <n v="26"/>
    <n v="17"/>
    <n v="22"/>
    <n v="19"/>
    <n v="39"/>
    <m/>
    <m/>
    <x v="674"/>
    <x v="0"/>
  </r>
  <r>
    <n v="17157"/>
    <x v="13"/>
    <s v="Randolph"/>
    <n v="478"/>
    <n v="93"/>
    <n v="56"/>
    <n v="64"/>
    <n v="149"/>
    <n v="116"/>
    <n v="127"/>
    <n v="146"/>
    <n v="205"/>
    <n v="441"/>
    <n v="37"/>
    <x v="675"/>
    <x v="0"/>
  </r>
  <r>
    <n v="17159"/>
    <x v="13"/>
    <s v="Richland"/>
    <n v="227"/>
    <n v="41"/>
    <n v="21"/>
    <n v="26"/>
    <n v="82"/>
    <n v="57"/>
    <n v="61"/>
    <n v="64"/>
    <n v="102"/>
    <n v="213"/>
    <n v="14"/>
    <x v="676"/>
    <x v="0"/>
  </r>
  <r>
    <n v="17161"/>
    <x v="13"/>
    <s v="Rock Island"/>
    <n v="2250"/>
    <n v="418"/>
    <n v="270"/>
    <n v="285"/>
    <n v="713"/>
    <n v="564"/>
    <n v="631"/>
    <n v="745"/>
    <n v="874"/>
    <n v="1988"/>
    <n v="261"/>
    <x v="677"/>
    <x v="0"/>
  </r>
  <r>
    <n v="17163"/>
    <x v="13"/>
    <s v="St. Clair"/>
    <n v="11766"/>
    <n v="1638"/>
    <n v="1133"/>
    <n v="1220"/>
    <n v="3826"/>
    <n v="3949"/>
    <n v="3001"/>
    <n v="5494"/>
    <n v="3271"/>
    <n v="9433"/>
    <n v="2332"/>
    <x v="678"/>
    <x v="0"/>
  </r>
  <r>
    <n v="17165"/>
    <x v="13"/>
    <s v="Saline"/>
    <n v="500"/>
    <n v="101"/>
    <n v="57"/>
    <n v="59"/>
    <n v="158"/>
    <n v="125"/>
    <n v="120"/>
    <n v="130"/>
    <n v="250"/>
    <n v="471"/>
    <n v="29"/>
    <x v="679"/>
    <x v="0"/>
  </r>
  <r>
    <n v="17167"/>
    <x v="13"/>
    <s v="Sangamon"/>
    <n v="3324"/>
    <n v="604"/>
    <n v="363"/>
    <n v="376"/>
    <n v="1018"/>
    <n v="963"/>
    <n v="1053"/>
    <n v="1109"/>
    <n v="1162"/>
    <n v="2969"/>
    <n v="355"/>
    <x v="680"/>
    <x v="0"/>
  </r>
  <r>
    <n v="17169"/>
    <x v="13"/>
    <s v="Schuyler"/>
    <n v="151"/>
    <n v="25"/>
    <n v="13"/>
    <n v="22"/>
    <n v="50"/>
    <n v="41"/>
    <n v="39"/>
    <n v="40"/>
    <n v="72"/>
    <n v="136"/>
    <n v="15"/>
    <x v="681"/>
    <x v="0"/>
  </r>
  <r>
    <n v="17171"/>
    <x v="13"/>
    <s v="Scott"/>
    <n v="92"/>
    <n v="14"/>
    <n v="12"/>
    <n v="14"/>
    <n v="30"/>
    <n v="22"/>
    <n v="23"/>
    <n v="28"/>
    <n v="41"/>
    <m/>
    <m/>
    <x v="682"/>
    <x v="0"/>
  </r>
  <r>
    <n v="17173"/>
    <x v="13"/>
    <s v="Shelby"/>
    <n v="394"/>
    <n v="85"/>
    <n v="46"/>
    <n v="38"/>
    <n v="132"/>
    <n v="93"/>
    <n v="86"/>
    <n v="121"/>
    <n v="187"/>
    <n v="365"/>
    <n v="29"/>
    <x v="683"/>
    <x v="0"/>
  </r>
  <r>
    <n v="17175"/>
    <x v="13"/>
    <s v="Stark"/>
    <n v="75"/>
    <n v="19"/>
    <m/>
    <m/>
    <n v="20"/>
    <n v="22"/>
    <n v="23"/>
    <n v="18"/>
    <n v="34"/>
    <m/>
    <m/>
    <x v="684"/>
    <x v="0"/>
  </r>
  <r>
    <n v="17177"/>
    <x v="13"/>
    <s v="Stephenson"/>
    <n v="575"/>
    <n v="145"/>
    <n v="93"/>
    <n v="64"/>
    <n v="154"/>
    <n v="119"/>
    <n v="144"/>
    <n v="141"/>
    <n v="290"/>
    <n v="521"/>
    <n v="54"/>
    <x v="685"/>
    <x v="0"/>
  </r>
  <r>
    <n v="17179"/>
    <x v="13"/>
    <s v="Tazewell"/>
    <n v="2234"/>
    <n v="360"/>
    <n v="238"/>
    <n v="212"/>
    <n v="707"/>
    <n v="717"/>
    <n v="646"/>
    <n v="704"/>
    <n v="884"/>
    <n v="2037"/>
    <n v="197"/>
    <x v="686"/>
    <x v="0"/>
  </r>
  <r>
    <n v="17181"/>
    <x v="13"/>
    <s v="Union"/>
    <n v="375"/>
    <n v="81"/>
    <n v="57"/>
    <n v="41"/>
    <n v="108"/>
    <n v="88"/>
    <n v="83"/>
    <n v="115"/>
    <n v="177"/>
    <n v="350"/>
    <n v="25"/>
    <x v="687"/>
    <x v="0"/>
  </r>
  <r>
    <n v="17183"/>
    <x v="13"/>
    <s v="Vermilion"/>
    <n v="1422"/>
    <n v="219"/>
    <n v="174"/>
    <n v="193"/>
    <n v="463"/>
    <n v="373"/>
    <n v="315"/>
    <n v="473"/>
    <n v="634"/>
    <n v="1281"/>
    <n v="141"/>
    <x v="688"/>
    <x v="0"/>
  </r>
  <r>
    <n v="17185"/>
    <x v="13"/>
    <s v="Wabash"/>
    <n v="154"/>
    <n v="29"/>
    <n v="27"/>
    <n v="24"/>
    <n v="38"/>
    <n v="36"/>
    <n v="38"/>
    <n v="35"/>
    <n v="81"/>
    <m/>
    <m/>
    <x v="689"/>
    <x v="0"/>
  </r>
  <r>
    <n v="17187"/>
    <x v="13"/>
    <s v="Warren"/>
    <n v="244"/>
    <n v="32"/>
    <n v="33"/>
    <n v="41"/>
    <n v="73"/>
    <n v="65"/>
    <n v="65"/>
    <n v="75"/>
    <n v="104"/>
    <n v="231"/>
    <n v="13"/>
    <x v="690"/>
    <x v="0"/>
  </r>
  <r>
    <n v="17189"/>
    <x v="13"/>
    <s v="Washington"/>
    <n v="286"/>
    <n v="54"/>
    <n v="28"/>
    <n v="31"/>
    <n v="98"/>
    <n v="75"/>
    <n v="68"/>
    <n v="94"/>
    <n v="124"/>
    <n v="250"/>
    <n v="36"/>
    <x v="691"/>
    <x v="0"/>
  </r>
  <r>
    <n v="17191"/>
    <x v="13"/>
    <s v="Wayne"/>
    <n v="248"/>
    <n v="55"/>
    <n v="27"/>
    <n v="32"/>
    <n v="74"/>
    <n v="60"/>
    <n v="62"/>
    <n v="65"/>
    <n v="121"/>
    <n v="231"/>
    <n v="17"/>
    <x v="692"/>
    <x v="0"/>
  </r>
  <r>
    <n v="17193"/>
    <x v="13"/>
    <s v="White"/>
    <n v="240"/>
    <n v="53"/>
    <n v="24"/>
    <n v="25"/>
    <n v="66"/>
    <n v="72"/>
    <n v="52"/>
    <n v="52"/>
    <n v="136"/>
    <n v="223"/>
    <n v="17"/>
    <x v="693"/>
    <x v="0"/>
  </r>
  <r>
    <n v="17195"/>
    <x v="13"/>
    <s v="Whiteside"/>
    <n v="795"/>
    <n v="169"/>
    <n v="92"/>
    <n v="90"/>
    <n v="258"/>
    <n v="186"/>
    <n v="206"/>
    <n v="250"/>
    <n v="339"/>
    <n v="730"/>
    <n v="65"/>
    <x v="694"/>
    <x v="0"/>
  </r>
  <r>
    <n v="17197"/>
    <x v="13"/>
    <s v="Will"/>
    <n v="7061"/>
    <n v="1231"/>
    <n v="685"/>
    <n v="777"/>
    <n v="2302"/>
    <n v="2066"/>
    <n v="2279"/>
    <n v="2231"/>
    <n v="2551"/>
    <n v="6287"/>
    <n v="774"/>
    <x v="695"/>
    <x v="0"/>
  </r>
  <r>
    <n v="17199"/>
    <x v="13"/>
    <s v="Williamson"/>
    <n v="1841"/>
    <n v="403"/>
    <n v="205"/>
    <n v="218"/>
    <n v="558"/>
    <n v="457"/>
    <n v="523"/>
    <n v="594"/>
    <n v="724"/>
    <n v="1664"/>
    <n v="177"/>
    <x v="696"/>
    <x v="0"/>
  </r>
  <r>
    <n v="17201"/>
    <x v="13"/>
    <s v="Winnebago"/>
    <n v="3312"/>
    <n v="698"/>
    <n v="408"/>
    <n v="374"/>
    <n v="1010"/>
    <n v="822"/>
    <n v="959"/>
    <n v="889"/>
    <n v="1464"/>
    <n v="2928"/>
    <n v="384"/>
    <x v="697"/>
    <x v="0"/>
  </r>
  <r>
    <n v="17203"/>
    <x v="13"/>
    <s v="Woodford"/>
    <n v="585"/>
    <n v="94"/>
    <n v="60"/>
    <n v="66"/>
    <n v="171"/>
    <n v="194"/>
    <n v="165"/>
    <n v="212"/>
    <n v="208"/>
    <n v="538"/>
    <n v="47"/>
    <x v="698"/>
    <x v="0"/>
  </r>
  <r>
    <n v="18001"/>
    <x v="14"/>
    <s v="Adams"/>
    <n v="407"/>
    <n v="147"/>
    <n v="75"/>
    <n v="54"/>
    <n v="89"/>
    <n v="42"/>
    <n v="85"/>
    <n v="97"/>
    <n v="225"/>
    <n v="380"/>
    <n v="27"/>
    <x v="699"/>
    <x v="0"/>
  </r>
  <r>
    <n v="18003"/>
    <x v="14"/>
    <s v="Allen"/>
    <n v="6550"/>
    <n v="2073"/>
    <n v="825"/>
    <n v="883"/>
    <n v="1526"/>
    <n v="1243"/>
    <n v="1894"/>
    <n v="1936"/>
    <n v="2720"/>
    <n v="5937"/>
    <n v="609"/>
    <x v="700"/>
    <x v="0"/>
  </r>
  <r>
    <n v="18005"/>
    <x v="14"/>
    <s v="Bartholomew"/>
    <n v="1465"/>
    <n v="446"/>
    <n v="191"/>
    <n v="191"/>
    <n v="334"/>
    <n v="303"/>
    <n v="372"/>
    <n v="436"/>
    <n v="657"/>
    <n v="1346"/>
    <n v="119"/>
    <x v="701"/>
    <x v="0"/>
  </r>
  <r>
    <n v="18007"/>
    <x v="14"/>
    <s v="Benton"/>
    <n v="127"/>
    <n v="23"/>
    <n v="21"/>
    <n v="10"/>
    <n v="50"/>
    <n v="23"/>
    <n v="46"/>
    <n v="40"/>
    <n v="41"/>
    <m/>
    <m/>
    <x v="702"/>
    <x v="0"/>
  </r>
  <r>
    <n v="18009"/>
    <x v="14"/>
    <s v="Blackford"/>
    <n v="327"/>
    <n v="102"/>
    <n v="44"/>
    <n v="42"/>
    <n v="93"/>
    <n v="46"/>
    <n v="86"/>
    <n v="91"/>
    <n v="150"/>
    <n v="307"/>
    <n v="20"/>
    <x v="703"/>
    <x v="0"/>
  </r>
  <r>
    <n v="18011"/>
    <x v="14"/>
    <s v="Boone"/>
    <n v="1024"/>
    <n v="277"/>
    <n v="153"/>
    <n v="146"/>
    <n v="259"/>
    <n v="189"/>
    <n v="347"/>
    <n v="320"/>
    <n v="357"/>
    <n v="933"/>
    <n v="91"/>
    <x v="704"/>
    <x v="0"/>
  </r>
  <r>
    <n v="18013"/>
    <x v="14"/>
    <s v="Brown"/>
    <n v="478"/>
    <n v="154"/>
    <n v="53"/>
    <n v="49"/>
    <n v="124"/>
    <n v="98"/>
    <n v="79"/>
    <n v="152"/>
    <n v="247"/>
    <n v="441"/>
    <n v="37"/>
    <x v="705"/>
    <x v="0"/>
  </r>
  <r>
    <n v="18015"/>
    <x v="14"/>
    <s v="Carroll"/>
    <n v="384"/>
    <n v="122"/>
    <n v="42"/>
    <n v="53"/>
    <n v="102"/>
    <n v="65"/>
    <n v="104"/>
    <n v="109"/>
    <n v="171"/>
    <n v="358"/>
    <n v="25"/>
    <x v="706"/>
    <x v="0"/>
  </r>
  <r>
    <n v="18017"/>
    <x v="14"/>
    <s v="Cass"/>
    <n v="819"/>
    <n v="313"/>
    <n v="103"/>
    <n v="114"/>
    <n v="170"/>
    <n v="119"/>
    <n v="166"/>
    <n v="219"/>
    <n v="434"/>
    <n v="756"/>
    <n v="63"/>
    <x v="707"/>
    <x v="0"/>
  </r>
  <r>
    <n v="18019"/>
    <x v="14"/>
    <s v="Clark"/>
    <n v="2978"/>
    <n v="876"/>
    <n v="325"/>
    <n v="324"/>
    <n v="821"/>
    <n v="632"/>
    <n v="753"/>
    <n v="1094"/>
    <n v="1131"/>
    <n v="2652"/>
    <n v="326"/>
    <x v="708"/>
    <x v="0"/>
  </r>
  <r>
    <n v="18021"/>
    <x v="14"/>
    <s v="Clay"/>
    <n v="572"/>
    <n v="130"/>
    <n v="73"/>
    <n v="88"/>
    <n v="165"/>
    <n v="116"/>
    <n v="128"/>
    <n v="217"/>
    <n v="227"/>
    <n v="518"/>
    <n v="54"/>
    <x v="709"/>
    <x v="0"/>
  </r>
  <r>
    <n v="18023"/>
    <x v="14"/>
    <s v="Clinton"/>
    <n v="420"/>
    <n v="135"/>
    <n v="53"/>
    <n v="63"/>
    <n v="91"/>
    <n v="78"/>
    <n v="125"/>
    <n v="103"/>
    <n v="192"/>
    <n v="392"/>
    <n v="28"/>
    <x v="710"/>
    <x v="0"/>
  </r>
  <r>
    <n v="18025"/>
    <x v="14"/>
    <s v="Crawford"/>
    <n v="312"/>
    <n v="94"/>
    <n v="45"/>
    <n v="30"/>
    <n v="74"/>
    <n v="69"/>
    <n v="54"/>
    <n v="108"/>
    <n v="150"/>
    <n v="297"/>
    <n v="15"/>
    <x v="711"/>
    <x v="0"/>
  </r>
  <r>
    <n v="18027"/>
    <x v="14"/>
    <s v="Daviess"/>
    <n v="478"/>
    <n v="134"/>
    <n v="58"/>
    <n v="52"/>
    <n v="120"/>
    <n v="114"/>
    <n v="126"/>
    <n v="151"/>
    <n v="201"/>
    <n v="444"/>
    <n v="34"/>
    <x v="712"/>
    <x v="0"/>
  </r>
  <r>
    <n v="18029"/>
    <x v="14"/>
    <s v="Dearborn"/>
    <n v="1083"/>
    <n v="322"/>
    <n v="179"/>
    <n v="155"/>
    <n v="247"/>
    <n v="180"/>
    <n v="289"/>
    <n v="292"/>
    <n v="502"/>
    <n v="997"/>
    <n v="86"/>
    <x v="713"/>
    <x v="0"/>
  </r>
  <r>
    <n v="18031"/>
    <x v="14"/>
    <s v="Decatur"/>
    <n v="374"/>
    <n v="115"/>
    <n v="54"/>
    <n v="57"/>
    <n v="94"/>
    <n v="54"/>
    <n v="88"/>
    <n v="107"/>
    <n v="179"/>
    <n v="353"/>
    <n v="21"/>
    <x v="714"/>
    <x v="0"/>
  </r>
  <r>
    <n v="18033"/>
    <x v="14"/>
    <s v="DeKalb"/>
    <n v="960"/>
    <n v="351"/>
    <n v="128"/>
    <n v="130"/>
    <n v="217"/>
    <n v="134"/>
    <n v="218"/>
    <n v="248"/>
    <n v="494"/>
    <n v="892"/>
    <n v="68"/>
    <x v="715"/>
    <x v="0"/>
  </r>
  <r>
    <n v="18035"/>
    <x v="14"/>
    <s v="Delaware"/>
    <n v="1992"/>
    <n v="606"/>
    <n v="281"/>
    <n v="273"/>
    <n v="493"/>
    <n v="339"/>
    <n v="495"/>
    <n v="555"/>
    <n v="942"/>
    <n v="1836"/>
    <n v="156"/>
    <x v="716"/>
    <x v="0"/>
  </r>
  <r>
    <n v="18037"/>
    <x v="14"/>
    <s v="Dubois"/>
    <n v="765"/>
    <n v="226"/>
    <n v="91"/>
    <n v="89"/>
    <n v="191"/>
    <n v="168"/>
    <n v="185"/>
    <n v="190"/>
    <n v="390"/>
    <n v="715"/>
    <n v="49"/>
    <x v="717"/>
    <x v="0"/>
  </r>
  <r>
    <n v="18039"/>
    <x v="14"/>
    <s v="Elkhart"/>
    <n v="2094"/>
    <n v="677"/>
    <n v="301"/>
    <n v="272"/>
    <n v="479"/>
    <n v="365"/>
    <n v="533"/>
    <n v="559"/>
    <n v="1002"/>
    <n v="1949"/>
    <n v="145"/>
    <x v="718"/>
    <x v="0"/>
  </r>
  <r>
    <n v="18041"/>
    <x v="14"/>
    <s v="Fayette"/>
    <n v="416"/>
    <n v="105"/>
    <n v="51"/>
    <n v="58"/>
    <n v="118"/>
    <n v="84"/>
    <n v="93"/>
    <n v="120"/>
    <n v="203"/>
    <n v="399"/>
    <n v="17"/>
    <x v="719"/>
    <x v="0"/>
  </r>
  <r>
    <n v="18043"/>
    <x v="14"/>
    <s v="Floyd"/>
    <n v="1817"/>
    <n v="641"/>
    <n v="266"/>
    <n v="213"/>
    <n v="386"/>
    <n v="311"/>
    <n v="406"/>
    <n v="643"/>
    <n v="768"/>
    <n v="1655"/>
    <n v="162"/>
    <x v="720"/>
    <x v="0"/>
  </r>
  <r>
    <n v="18045"/>
    <x v="14"/>
    <s v="Fountain"/>
    <n v="304"/>
    <n v="64"/>
    <n v="32"/>
    <n v="39"/>
    <n v="101"/>
    <n v="68"/>
    <n v="96"/>
    <n v="79"/>
    <n v="129"/>
    <n v="286"/>
    <n v="18"/>
    <x v="721"/>
    <x v="0"/>
  </r>
  <r>
    <n v="18047"/>
    <x v="14"/>
    <s v="Franklin"/>
    <n v="414"/>
    <n v="119"/>
    <n v="62"/>
    <n v="57"/>
    <n v="86"/>
    <n v="90"/>
    <n v="110"/>
    <n v="102"/>
    <n v="202"/>
    <n v="389"/>
    <n v="25"/>
    <x v="722"/>
    <x v="0"/>
  </r>
  <r>
    <n v="18049"/>
    <x v="14"/>
    <s v="Fulton"/>
    <n v="490"/>
    <n v="203"/>
    <n v="59"/>
    <n v="64"/>
    <n v="105"/>
    <n v="59"/>
    <n v="74"/>
    <n v="122"/>
    <n v="294"/>
    <n v="465"/>
    <n v="24"/>
    <x v="723"/>
    <x v="0"/>
  </r>
  <r>
    <n v="18051"/>
    <x v="14"/>
    <s v="Gibson"/>
    <n v="497"/>
    <n v="140"/>
    <n v="66"/>
    <n v="54"/>
    <n v="122"/>
    <n v="115"/>
    <n v="117"/>
    <n v="155"/>
    <n v="225"/>
    <n v="460"/>
    <n v="37"/>
    <x v="724"/>
    <x v="0"/>
  </r>
  <r>
    <n v="18053"/>
    <x v="14"/>
    <s v="Grant"/>
    <n v="1928"/>
    <n v="633"/>
    <n v="273"/>
    <n v="218"/>
    <n v="459"/>
    <n v="345"/>
    <n v="327"/>
    <n v="564"/>
    <n v="1037"/>
    <n v="1802"/>
    <n v="126"/>
    <x v="725"/>
    <x v="0"/>
  </r>
  <r>
    <n v="18055"/>
    <x v="14"/>
    <s v="Greene"/>
    <n v="857"/>
    <n v="235"/>
    <n v="116"/>
    <n v="110"/>
    <n v="231"/>
    <n v="165"/>
    <n v="206"/>
    <n v="316"/>
    <n v="335"/>
    <n v="786"/>
    <n v="71"/>
    <x v="726"/>
    <x v="0"/>
  </r>
  <r>
    <n v="18057"/>
    <x v="14"/>
    <s v="Hamilton"/>
    <n v="5002"/>
    <n v="1210"/>
    <n v="646"/>
    <n v="664"/>
    <n v="1324"/>
    <n v="1158"/>
    <n v="1505"/>
    <n v="1890"/>
    <n v="1607"/>
    <n v="4410"/>
    <n v="592"/>
    <x v="727"/>
    <x v="0"/>
  </r>
  <r>
    <n v="18059"/>
    <x v="14"/>
    <s v="Hancock"/>
    <n v="2133"/>
    <n v="481"/>
    <n v="268"/>
    <n v="270"/>
    <n v="595"/>
    <n v="519"/>
    <n v="656"/>
    <n v="725"/>
    <n v="752"/>
    <n v="1892"/>
    <n v="241"/>
    <x v="728"/>
    <x v="0"/>
  </r>
  <r>
    <n v="18061"/>
    <x v="14"/>
    <s v="Harrison"/>
    <n v="1074"/>
    <n v="348"/>
    <n v="129"/>
    <n v="127"/>
    <n v="280"/>
    <n v="190"/>
    <n v="241"/>
    <n v="350"/>
    <n v="483"/>
    <n v="985"/>
    <n v="89"/>
    <x v="729"/>
    <x v="0"/>
  </r>
  <r>
    <n v="18063"/>
    <x v="14"/>
    <s v="Hendricks"/>
    <n v="3872"/>
    <n v="1096"/>
    <n v="512"/>
    <n v="532"/>
    <n v="995"/>
    <n v="737"/>
    <n v="1148"/>
    <n v="1326"/>
    <n v="1398"/>
    <n v="3510"/>
    <n v="362"/>
    <x v="730"/>
    <x v="0"/>
  </r>
  <r>
    <n v="18065"/>
    <x v="14"/>
    <s v="Henry"/>
    <n v="932"/>
    <n v="302"/>
    <n v="142"/>
    <n v="133"/>
    <n v="201"/>
    <n v="154"/>
    <n v="193"/>
    <n v="293"/>
    <n v="446"/>
    <n v="876"/>
    <n v="55"/>
    <x v="731"/>
    <x v="0"/>
  </r>
  <r>
    <n v="18067"/>
    <x v="14"/>
    <s v="Howard"/>
    <n v="2481"/>
    <n v="1005"/>
    <n v="328"/>
    <n v="297"/>
    <n v="506"/>
    <n v="345"/>
    <n v="492"/>
    <n v="757"/>
    <n v="1232"/>
    <n v="2299"/>
    <n v="182"/>
    <x v="732"/>
    <x v="0"/>
  </r>
  <r>
    <n v="18069"/>
    <x v="14"/>
    <s v="Huntington"/>
    <n v="885"/>
    <n v="323"/>
    <n v="123"/>
    <n v="119"/>
    <n v="190"/>
    <n v="130"/>
    <n v="210"/>
    <n v="257"/>
    <n v="418"/>
    <n v="825"/>
    <n v="60"/>
    <x v="733"/>
    <x v="0"/>
  </r>
  <r>
    <n v="18071"/>
    <x v="14"/>
    <s v="Jackson"/>
    <n v="631"/>
    <n v="189"/>
    <n v="89"/>
    <n v="86"/>
    <n v="167"/>
    <n v="100"/>
    <n v="145"/>
    <n v="217"/>
    <n v="269"/>
    <n v="597"/>
    <n v="34"/>
    <x v="734"/>
    <x v="0"/>
  </r>
  <r>
    <n v="18073"/>
    <x v="14"/>
    <s v="Jasper"/>
    <n v="579"/>
    <n v="169"/>
    <n v="67"/>
    <n v="75"/>
    <n v="153"/>
    <n v="115"/>
    <n v="142"/>
    <n v="163"/>
    <n v="274"/>
    <n v="545"/>
    <n v="34"/>
    <x v="735"/>
    <x v="0"/>
  </r>
  <r>
    <n v="18075"/>
    <x v="14"/>
    <s v="Jay"/>
    <n v="412"/>
    <n v="176"/>
    <n v="63"/>
    <n v="50"/>
    <n v="79"/>
    <n v="44"/>
    <n v="70"/>
    <n v="106"/>
    <n v="236"/>
    <n v="386"/>
    <n v="26"/>
    <x v="736"/>
    <x v="0"/>
  </r>
  <r>
    <n v="18077"/>
    <x v="14"/>
    <s v="Jefferson"/>
    <n v="676"/>
    <n v="276"/>
    <n v="79"/>
    <n v="67"/>
    <n v="149"/>
    <n v="105"/>
    <n v="127"/>
    <n v="215"/>
    <n v="334"/>
    <n v="616"/>
    <n v="60"/>
    <x v="737"/>
    <x v="0"/>
  </r>
  <r>
    <n v="18079"/>
    <x v="14"/>
    <s v="Jennings"/>
    <n v="548"/>
    <n v="193"/>
    <n v="79"/>
    <n v="61"/>
    <n v="146"/>
    <n v="69"/>
    <n v="103"/>
    <n v="188"/>
    <n v="257"/>
    <n v="521"/>
    <n v="27"/>
    <x v="738"/>
    <x v="0"/>
  </r>
  <r>
    <n v="18081"/>
    <x v="14"/>
    <s v="Johnson"/>
    <n v="3544"/>
    <n v="870"/>
    <n v="434"/>
    <n v="489"/>
    <n v="950"/>
    <n v="801"/>
    <n v="1024"/>
    <n v="1210"/>
    <n v="1310"/>
    <n v="3173"/>
    <n v="370"/>
    <x v="739"/>
    <x v="0"/>
  </r>
  <r>
    <n v="18083"/>
    <x v="14"/>
    <s v="Knox"/>
    <n v="647"/>
    <n v="179"/>
    <n v="74"/>
    <n v="93"/>
    <n v="161"/>
    <n v="140"/>
    <n v="137"/>
    <n v="180"/>
    <n v="330"/>
    <n v="606"/>
    <n v="41"/>
    <x v="740"/>
    <x v="0"/>
  </r>
  <r>
    <n v="18085"/>
    <x v="14"/>
    <s v="Kosciusko"/>
    <n v="1009"/>
    <n v="349"/>
    <n v="137"/>
    <n v="126"/>
    <n v="247"/>
    <n v="150"/>
    <n v="236"/>
    <n v="254"/>
    <n v="519"/>
    <n v="945"/>
    <n v="64"/>
    <x v="741"/>
    <x v="0"/>
  </r>
  <r>
    <n v="18087"/>
    <x v="14"/>
    <s v="Lagrange"/>
    <n v="305"/>
    <n v="99"/>
    <n v="34"/>
    <n v="41"/>
    <n v="77"/>
    <n v="54"/>
    <n v="60"/>
    <n v="58"/>
    <n v="187"/>
    <n v="287"/>
    <n v="18"/>
    <x v="742"/>
    <x v="0"/>
  </r>
  <r>
    <n v="18089"/>
    <x v="14"/>
    <s v="Lake"/>
    <n v="6346"/>
    <n v="1216"/>
    <n v="739"/>
    <n v="768"/>
    <n v="2024"/>
    <n v="1599"/>
    <n v="1648"/>
    <n v="2075"/>
    <n v="2623"/>
    <n v="5695"/>
    <n v="650"/>
    <x v="743"/>
    <x v="0"/>
  </r>
  <r>
    <n v="18091"/>
    <x v="14"/>
    <s v="LaPorte"/>
    <n v="1619"/>
    <n v="388"/>
    <n v="187"/>
    <n v="204"/>
    <n v="447"/>
    <n v="393"/>
    <n v="408"/>
    <n v="485"/>
    <n v="726"/>
    <n v="1501"/>
    <n v="118"/>
    <x v="744"/>
    <x v="0"/>
  </r>
  <r>
    <n v="18093"/>
    <x v="14"/>
    <s v="Lawrence"/>
    <n v="1228"/>
    <n v="359"/>
    <n v="153"/>
    <n v="154"/>
    <n v="341"/>
    <n v="221"/>
    <n v="313"/>
    <n v="443"/>
    <n v="472"/>
    <n v="1132"/>
    <n v="95"/>
    <x v="745"/>
    <x v="0"/>
  </r>
  <r>
    <n v="18095"/>
    <x v="14"/>
    <s v="Madison"/>
    <n v="2619"/>
    <n v="826"/>
    <n v="348"/>
    <n v="357"/>
    <n v="649"/>
    <n v="439"/>
    <n v="616"/>
    <n v="770"/>
    <n v="1233"/>
    <n v="2413"/>
    <n v="206"/>
    <x v="746"/>
    <x v="0"/>
  </r>
  <r>
    <n v="18097"/>
    <x v="14"/>
    <s v="Marion"/>
    <n v="13033"/>
    <n v="3464"/>
    <n v="1722"/>
    <n v="1646"/>
    <n v="3591"/>
    <n v="2610"/>
    <n v="3510"/>
    <n v="4256"/>
    <n v="5267"/>
    <n v="11309"/>
    <n v="1724"/>
    <x v="747"/>
    <x v="0"/>
  </r>
  <r>
    <n v="18099"/>
    <x v="14"/>
    <s v="Marshall"/>
    <n v="719"/>
    <n v="240"/>
    <n v="91"/>
    <n v="95"/>
    <n v="175"/>
    <n v="118"/>
    <n v="156"/>
    <n v="205"/>
    <n v="358"/>
    <n v="666"/>
    <n v="52"/>
    <x v="748"/>
    <x v="0"/>
  </r>
  <r>
    <n v="18101"/>
    <x v="14"/>
    <s v="Martin"/>
    <n v="280"/>
    <n v="76"/>
    <n v="32"/>
    <n v="32"/>
    <n v="66"/>
    <n v="74"/>
    <n v="59"/>
    <n v="90"/>
    <n v="131"/>
    <n v="255"/>
    <n v="25"/>
    <x v="749"/>
    <x v="0"/>
  </r>
  <r>
    <n v="18103"/>
    <x v="14"/>
    <s v="Miami"/>
    <n v="1468"/>
    <n v="646"/>
    <n v="177"/>
    <n v="192"/>
    <n v="285"/>
    <n v="168"/>
    <n v="256"/>
    <n v="451"/>
    <n v="761"/>
    <n v="1333"/>
    <n v="134"/>
    <x v="750"/>
    <x v="0"/>
  </r>
  <r>
    <n v="18105"/>
    <x v="14"/>
    <s v="Monroe"/>
    <n v="1886"/>
    <n v="537"/>
    <n v="214"/>
    <n v="276"/>
    <n v="477"/>
    <n v="382"/>
    <n v="557"/>
    <n v="626"/>
    <n v="703"/>
    <n v="1704"/>
    <n v="181"/>
    <x v="751"/>
    <x v="0"/>
  </r>
  <r>
    <n v="18107"/>
    <x v="14"/>
    <s v="Montgomery"/>
    <n v="555"/>
    <n v="159"/>
    <n v="84"/>
    <n v="94"/>
    <n v="130"/>
    <n v="88"/>
    <n v="143"/>
    <n v="158"/>
    <n v="254"/>
    <n v="518"/>
    <n v="37"/>
    <x v="752"/>
    <x v="0"/>
  </r>
  <r>
    <n v="18109"/>
    <x v="14"/>
    <s v="Morgan"/>
    <n v="1755"/>
    <n v="507"/>
    <n v="236"/>
    <n v="201"/>
    <n v="448"/>
    <n v="363"/>
    <n v="445"/>
    <n v="579"/>
    <n v="731"/>
    <n v="1620"/>
    <n v="135"/>
    <x v="753"/>
    <x v="0"/>
  </r>
  <r>
    <n v="18111"/>
    <x v="14"/>
    <s v="Newton"/>
    <n v="246"/>
    <n v="59"/>
    <n v="29"/>
    <n v="28"/>
    <n v="70"/>
    <n v="60"/>
    <n v="60"/>
    <n v="78"/>
    <n v="108"/>
    <n v="236"/>
    <n v="10"/>
    <x v="754"/>
    <x v="0"/>
  </r>
  <r>
    <n v="18113"/>
    <x v="14"/>
    <s v="Noble"/>
    <n v="855"/>
    <n v="279"/>
    <n v="110"/>
    <n v="131"/>
    <n v="189"/>
    <n v="146"/>
    <n v="186"/>
    <n v="218"/>
    <n v="451"/>
    <n v="807"/>
    <n v="48"/>
    <x v="755"/>
    <x v="0"/>
  </r>
  <r>
    <n v="18115"/>
    <x v="14"/>
    <s v="Ohio"/>
    <n v="155"/>
    <n v="55"/>
    <n v="21"/>
    <n v="18"/>
    <n v="40"/>
    <n v="21"/>
    <n v="37"/>
    <n v="43"/>
    <n v="75"/>
    <n v="145"/>
    <n v="10"/>
    <x v="756"/>
    <x v="0"/>
  </r>
  <r>
    <n v="18117"/>
    <x v="14"/>
    <s v="Orange"/>
    <n v="396"/>
    <n v="133"/>
    <n v="52"/>
    <n v="57"/>
    <n v="85"/>
    <n v="69"/>
    <n v="89"/>
    <n v="108"/>
    <n v="199"/>
    <n v="372"/>
    <n v="24"/>
    <x v="757"/>
    <x v="0"/>
  </r>
  <r>
    <n v="18119"/>
    <x v="14"/>
    <s v="Owen"/>
    <n v="493"/>
    <n v="119"/>
    <n v="59"/>
    <n v="65"/>
    <n v="150"/>
    <n v="100"/>
    <n v="113"/>
    <n v="143"/>
    <n v="237"/>
    <n v="463"/>
    <n v="30"/>
    <x v="758"/>
    <x v="0"/>
  </r>
  <r>
    <n v="18121"/>
    <x v="14"/>
    <s v="Parke"/>
    <n v="357"/>
    <n v="110"/>
    <n v="42"/>
    <n v="48"/>
    <n v="75"/>
    <n v="82"/>
    <n v="72"/>
    <n v="110"/>
    <n v="175"/>
    <n v="338"/>
    <n v="19"/>
    <x v="759"/>
    <x v="0"/>
  </r>
  <r>
    <n v="18123"/>
    <x v="14"/>
    <s v="Perry"/>
    <n v="486"/>
    <n v="171"/>
    <n v="75"/>
    <n v="61"/>
    <n v="109"/>
    <n v="70"/>
    <n v="77"/>
    <n v="152"/>
    <n v="257"/>
    <n v="450"/>
    <n v="36"/>
    <x v="760"/>
    <x v="0"/>
  </r>
  <r>
    <n v="18125"/>
    <x v="14"/>
    <s v="Pike"/>
    <n v="231"/>
    <n v="53"/>
    <n v="32"/>
    <n v="34"/>
    <n v="61"/>
    <n v="51"/>
    <n v="57"/>
    <n v="70"/>
    <n v="104"/>
    <n v="220"/>
    <n v="11"/>
    <x v="761"/>
    <x v="0"/>
  </r>
  <r>
    <n v="18127"/>
    <x v="14"/>
    <s v="Porter"/>
    <n v="2781"/>
    <n v="627"/>
    <n v="292"/>
    <n v="302"/>
    <n v="874"/>
    <n v="686"/>
    <n v="836"/>
    <n v="899"/>
    <n v="1046"/>
    <n v="2553"/>
    <n v="228"/>
    <x v="762"/>
    <x v="0"/>
  </r>
  <r>
    <n v="18129"/>
    <x v="14"/>
    <s v="Posey"/>
    <n v="453"/>
    <n v="94"/>
    <n v="49"/>
    <n v="44"/>
    <n v="156"/>
    <n v="110"/>
    <n v="111"/>
    <n v="136"/>
    <n v="206"/>
    <n v="429"/>
    <n v="24"/>
    <x v="763"/>
    <x v="0"/>
  </r>
  <r>
    <n v="18131"/>
    <x v="14"/>
    <s v="Pulaski"/>
    <n v="212"/>
    <n v="54"/>
    <n v="35"/>
    <n v="26"/>
    <n v="51"/>
    <n v="46"/>
    <n v="41"/>
    <n v="59"/>
    <n v="112"/>
    <n v="201"/>
    <n v="11"/>
    <x v="764"/>
    <x v="0"/>
  </r>
  <r>
    <n v="18133"/>
    <x v="14"/>
    <s v="Putnam"/>
    <n v="775"/>
    <n v="226"/>
    <n v="94"/>
    <n v="94"/>
    <n v="200"/>
    <n v="161"/>
    <n v="209"/>
    <n v="230"/>
    <n v="336"/>
    <n v="708"/>
    <n v="67"/>
    <x v="765"/>
    <x v="0"/>
  </r>
  <r>
    <n v="18135"/>
    <x v="14"/>
    <s v="Randolph"/>
    <n v="412"/>
    <n v="118"/>
    <n v="60"/>
    <n v="59"/>
    <n v="109"/>
    <n v="66"/>
    <n v="82"/>
    <n v="126"/>
    <n v="204"/>
    <n v="385"/>
    <n v="27"/>
    <x v="766"/>
    <x v="0"/>
  </r>
  <r>
    <n v="18137"/>
    <x v="14"/>
    <s v="Ripley"/>
    <n v="606"/>
    <n v="228"/>
    <n v="62"/>
    <n v="80"/>
    <n v="145"/>
    <n v="91"/>
    <n v="102"/>
    <n v="171"/>
    <n v="333"/>
    <n v="568"/>
    <n v="37"/>
    <x v="767"/>
    <x v="0"/>
  </r>
  <r>
    <n v="18139"/>
    <x v="14"/>
    <s v="Rush"/>
    <n v="245"/>
    <n v="57"/>
    <n v="40"/>
    <n v="36"/>
    <n v="67"/>
    <n v="45"/>
    <n v="65"/>
    <n v="82"/>
    <n v="98"/>
    <n v="223"/>
    <n v="22"/>
    <x v="768"/>
    <x v="0"/>
  </r>
  <r>
    <n v="18141"/>
    <x v="14"/>
    <s v="St. Joseph"/>
    <n v="3646"/>
    <n v="1161"/>
    <n v="470"/>
    <n v="443"/>
    <n v="853"/>
    <n v="719"/>
    <n v="965"/>
    <n v="955"/>
    <n v="1726"/>
    <n v="3336"/>
    <n v="309"/>
    <x v="769"/>
    <x v="0"/>
  </r>
  <r>
    <n v="18143"/>
    <x v="14"/>
    <s v="Scott"/>
    <n v="539"/>
    <n v="138"/>
    <n v="74"/>
    <n v="74"/>
    <n v="156"/>
    <n v="97"/>
    <n v="130"/>
    <n v="181"/>
    <n v="228"/>
    <n v="502"/>
    <n v="37"/>
    <x v="770"/>
    <x v="0"/>
  </r>
  <r>
    <n v="18145"/>
    <x v="14"/>
    <s v="Shelby"/>
    <n v="871"/>
    <n v="239"/>
    <n v="111"/>
    <n v="125"/>
    <n v="223"/>
    <n v="173"/>
    <n v="239"/>
    <n v="281"/>
    <n v="351"/>
    <n v="779"/>
    <n v="92"/>
    <x v="771"/>
    <x v="0"/>
  </r>
  <r>
    <n v="18147"/>
    <x v="14"/>
    <s v="Spencer"/>
    <n v="518"/>
    <n v="199"/>
    <n v="55"/>
    <n v="62"/>
    <n v="122"/>
    <n v="80"/>
    <n v="86"/>
    <n v="144"/>
    <n v="288"/>
    <n v="482"/>
    <n v="36"/>
    <x v="772"/>
    <x v="0"/>
  </r>
  <r>
    <n v="18149"/>
    <x v="14"/>
    <s v="Starke"/>
    <n v="398"/>
    <n v="95"/>
    <n v="48"/>
    <n v="55"/>
    <n v="113"/>
    <n v="87"/>
    <n v="96"/>
    <n v="100"/>
    <n v="202"/>
    <n v="370"/>
    <n v="28"/>
    <x v="773"/>
    <x v="0"/>
  </r>
  <r>
    <n v="18151"/>
    <x v="14"/>
    <s v="Steuben"/>
    <n v="685"/>
    <n v="211"/>
    <n v="84"/>
    <n v="100"/>
    <n v="156"/>
    <n v="134"/>
    <n v="154"/>
    <n v="177"/>
    <n v="354"/>
    <n v="643"/>
    <n v="42"/>
    <x v="774"/>
    <x v="0"/>
  </r>
  <r>
    <n v="18153"/>
    <x v="14"/>
    <s v="Sullivan"/>
    <n v="429"/>
    <n v="134"/>
    <n v="48"/>
    <n v="63"/>
    <n v="104"/>
    <n v="80"/>
    <n v="95"/>
    <n v="136"/>
    <n v="198"/>
    <n v="408"/>
    <n v="21"/>
    <x v="775"/>
    <x v="0"/>
  </r>
  <r>
    <n v="18155"/>
    <x v="14"/>
    <s v="Switzerland"/>
    <n v="207"/>
    <n v="67"/>
    <n v="31"/>
    <n v="22"/>
    <n v="46"/>
    <n v="41"/>
    <n v="40"/>
    <n v="64"/>
    <n v="103"/>
    <n v="190"/>
    <n v="17"/>
    <x v="776"/>
    <x v="0"/>
  </r>
  <r>
    <n v="18157"/>
    <x v="14"/>
    <s v="Tippecanoe"/>
    <n v="2088"/>
    <n v="515"/>
    <n v="277"/>
    <n v="285"/>
    <n v="639"/>
    <n v="372"/>
    <n v="741"/>
    <n v="640"/>
    <n v="707"/>
    <n v="1892"/>
    <n v="196"/>
    <x v="777"/>
    <x v="0"/>
  </r>
  <r>
    <n v="18159"/>
    <x v="14"/>
    <s v="Tipton"/>
    <n v="352"/>
    <n v="147"/>
    <n v="48"/>
    <n v="42"/>
    <n v="68"/>
    <n v="47"/>
    <n v="48"/>
    <n v="115"/>
    <n v="189"/>
    <n v="334"/>
    <n v="18"/>
    <x v="778"/>
    <x v="0"/>
  </r>
  <r>
    <n v="18161"/>
    <x v="14"/>
    <s v="Union"/>
    <n v="127"/>
    <n v="31"/>
    <n v="21"/>
    <n v="10"/>
    <n v="36"/>
    <n v="29"/>
    <n v="35"/>
    <n v="37"/>
    <n v="55"/>
    <m/>
    <m/>
    <x v="779"/>
    <x v="0"/>
  </r>
  <r>
    <n v="18163"/>
    <x v="14"/>
    <s v="Vanderburgh"/>
    <n v="2916"/>
    <n v="734"/>
    <n v="333"/>
    <n v="329"/>
    <n v="893"/>
    <n v="627"/>
    <n v="844"/>
    <n v="880"/>
    <n v="1192"/>
    <n v="2629"/>
    <n v="287"/>
    <x v="780"/>
    <x v="0"/>
  </r>
  <r>
    <n v="18165"/>
    <x v="14"/>
    <s v="Vermillion"/>
    <n v="317"/>
    <n v="75"/>
    <n v="35"/>
    <n v="54"/>
    <n v="96"/>
    <n v="57"/>
    <n v="83"/>
    <n v="102"/>
    <n v="132"/>
    <n v="291"/>
    <n v="26"/>
    <x v="781"/>
    <x v="0"/>
  </r>
  <r>
    <n v="18167"/>
    <x v="14"/>
    <s v="Vigo"/>
    <n v="2029"/>
    <n v="539"/>
    <n v="284"/>
    <n v="284"/>
    <n v="537"/>
    <n v="385"/>
    <n v="551"/>
    <n v="647"/>
    <n v="831"/>
    <n v="1852"/>
    <n v="176"/>
    <x v="782"/>
    <x v="0"/>
  </r>
  <r>
    <n v="18169"/>
    <x v="14"/>
    <s v="Wabash"/>
    <n v="707"/>
    <n v="272"/>
    <n v="106"/>
    <n v="87"/>
    <n v="132"/>
    <n v="110"/>
    <n v="104"/>
    <n v="165"/>
    <n v="438"/>
    <n v="679"/>
    <n v="28"/>
    <x v="783"/>
    <x v="0"/>
  </r>
  <r>
    <n v="18171"/>
    <x v="14"/>
    <s v="Warren"/>
    <n v="148"/>
    <n v="26"/>
    <n v="27"/>
    <n v="18"/>
    <n v="39"/>
    <n v="38"/>
    <n v="42"/>
    <n v="55"/>
    <n v="51"/>
    <m/>
    <m/>
    <x v="784"/>
    <x v="0"/>
  </r>
  <r>
    <n v="18173"/>
    <x v="14"/>
    <s v="Warrick"/>
    <n v="1332"/>
    <n v="321"/>
    <n v="153"/>
    <n v="172"/>
    <n v="399"/>
    <n v="287"/>
    <n v="345"/>
    <n v="440"/>
    <n v="547"/>
    <n v="1235"/>
    <n v="97"/>
    <x v="785"/>
    <x v="0"/>
  </r>
  <r>
    <n v="18175"/>
    <x v="14"/>
    <s v="Washington"/>
    <n v="617"/>
    <n v="199"/>
    <n v="84"/>
    <n v="72"/>
    <n v="147"/>
    <n v="115"/>
    <n v="134"/>
    <n v="204"/>
    <n v="279"/>
    <n v="570"/>
    <n v="46"/>
    <x v="786"/>
    <x v="0"/>
  </r>
  <r>
    <n v="18177"/>
    <x v="14"/>
    <s v="Wayne"/>
    <n v="1148"/>
    <n v="257"/>
    <n v="162"/>
    <n v="161"/>
    <n v="320"/>
    <n v="248"/>
    <n v="271"/>
    <n v="363"/>
    <n v="514"/>
    <n v="1057"/>
    <n v="91"/>
    <x v="787"/>
    <x v="0"/>
  </r>
  <r>
    <n v="18179"/>
    <x v="14"/>
    <s v="Wells"/>
    <n v="595"/>
    <n v="217"/>
    <n v="82"/>
    <n v="83"/>
    <n v="138"/>
    <n v="75"/>
    <n v="153"/>
    <n v="149"/>
    <n v="293"/>
    <n v="562"/>
    <n v="33"/>
    <x v="788"/>
    <x v="0"/>
  </r>
  <r>
    <n v="18181"/>
    <x v="14"/>
    <s v="White"/>
    <n v="519"/>
    <n v="161"/>
    <n v="61"/>
    <n v="63"/>
    <n v="133"/>
    <n v="101"/>
    <n v="98"/>
    <n v="150"/>
    <n v="271"/>
    <n v="483"/>
    <n v="36"/>
    <x v="789"/>
    <x v="0"/>
  </r>
  <r>
    <n v="18183"/>
    <x v="14"/>
    <s v="Whitley"/>
    <n v="716"/>
    <n v="254"/>
    <n v="108"/>
    <n v="84"/>
    <n v="169"/>
    <n v="101"/>
    <n v="158"/>
    <n v="212"/>
    <n v="346"/>
    <n v="667"/>
    <n v="49"/>
    <x v="790"/>
    <x v="0"/>
  </r>
  <r>
    <n v="19001"/>
    <x v="15"/>
    <s v="Adair"/>
    <n v="148"/>
    <n v="37"/>
    <n v="23"/>
    <n v="13"/>
    <n v="49"/>
    <n v="26"/>
    <n v="27"/>
    <n v="37"/>
    <n v="84"/>
    <m/>
    <m/>
    <x v="791"/>
    <x v="0"/>
  </r>
  <r>
    <n v="19003"/>
    <x v="15"/>
    <s v="Adams"/>
    <n v="59"/>
    <n v="17"/>
    <m/>
    <n v="15"/>
    <m/>
    <n v="12"/>
    <n v="10"/>
    <n v="17"/>
    <n v="32"/>
    <m/>
    <m/>
    <x v="792"/>
    <x v="0"/>
  </r>
  <r>
    <n v="19005"/>
    <x v="15"/>
    <s v="Allamakee"/>
    <n v="222"/>
    <n v="55"/>
    <n v="32"/>
    <n v="26"/>
    <n v="55"/>
    <n v="54"/>
    <n v="46"/>
    <n v="56"/>
    <n v="120"/>
    <n v="203"/>
    <n v="19"/>
    <x v="793"/>
    <x v="0"/>
  </r>
  <r>
    <n v="19007"/>
    <x v="15"/>
    <s v="Appanoose"/>
    <n v="248"/>
    <n v="79"/>
    <n v="35"/>
    <n v="35"/>
    <n v="55"/>
    <n v="44"/>
    <n v="30"/>
    <n v="80"/>
    <n v="138"/>
    <n v="230"/>
    <n v="18"/>
    <x v="794"/>
    <x v="0"/>
  </r>
  <r>
    <n v="19009"/>
    <x v="15"/>
    <s v="Audubon"/>
    <n v="111"/>
    <n v="31"/>
    <n v="11"/>
    <n v="20"/>
    <n v="33"/>
    <n v="16"/>
    <n v="26"/>
    <n v="35"/>
    <n v="50"/>
    <n v="96"/>
    <n v="15"/>
    <x v="795"/>
    <x v="0"/>
  </r>
  <r>
    <n v="19011"/>
    <x v="15"/>
    <s v="Benton"/>
    <n v="430"/>
    <n v="105"/>
    <n v="60"/>
    <n v="51"/>
    <n v="107"/>
    <n v="107"/>
    <n v="129"/>
    <n v="124"/>
    <n v="177"/>
    <n v="388"/>
    <n v="42"/>
    <x v="796"/>
    <x v="0"/>
  </r>
  <r>
    <n v="19013"/>
    <x v="15"/>
    <s v="Black Hawk"/>
    <n v="1789"/>
    <n v="441"/>
    <n v="244"/>
    <n v="280"/>
    <n v="468"/>
    <n v="356"/>
    <n v="415"/>
    <n v="549"/>
    <n v="825"/>
    <n v="1617"/>
    <n v="172"/>
    <x v="797"/>
    <x v="0"/>
  </r>
  <r>
    <n v="19015"/>
    <x v="15"/>
    <s v="Boone"/>
    <n v="627"/>
    <n v="184"/>
    <n v="76"/>
    <n v="82"/>
    <n v="151"/>
    <n v="134"/>
    <n v="142"/>
    <n v="198"/>
    <n v="287"/>
    <n v="583"/>
    <n v="44"/>
    <x v="798"/>
    <x v="0"/>
  </r>
  <r>
    <n v="19017"/>
    <x v="15"/>
    <s v="Bremer"/>
    <n v="402"/>
    <n v="83"/>
    <n v="49"/>
    <n v="49"/>
    <n v="110"/>
    <n v="111"/>
    <n v="102"/>
    <n v="120"/>
    <n v="180"/>
    <n v="380"/>
    <n v="22"/>
    <x v="799"/>
    <x v="0"/>
  </r>
  <r>
    <n v="19019"/>
    <x v="15"/>
    <s v="Buchanan"/>
    <n v="294"/>
    <n v="59"/>
    <n v="41"/>
    <n v="37"/>
    <n v="78"/>
    <n v="79"/>
    <n v="71"/>
    <n v="87"/>
    <n v="136"/>
    <n v="274"/>
    <n v="20"/>
    <x v="800"/>
    <x v="0"/>
  </r>
  <r>
    <n v="19021"/>
    <x v="15"/>
    <s v="Buena Vista"/>
    <n v="262"/>
    <n v="67"/>
    <n v="37"/>
    <n v="45"/>
    <n v="53"/>
    <n v="60"/>
    <n v="42"/>
    <n v="59"/>
    <n v="161"/>
    <n v="248"/>
    <n v="14"/>
    <x v="801"/>
    <x v="0"/>
  </r>
  <r>
    <n v="19023"/>
    <x v="15"/>
    <s v="Butler"/>
    <n v="226"/>
    <n v="57"/>
    <n v="26"/>
    <n v="25"/>
    <n v="71"/>
    <n v="47"/>
    <n v="52"/>
    <n v="48"/>
    <n v="126"/>
    <n v="207"/>
    <n v="19"/>
    <x v="802"/>
    <x v="0"/>
  </r>
  <r>
    <n v="19025"/>
    <x v="15"/>
    <s v="Calhoun"/>
    <n v="168"/>
    <n v="57"/>
    <n v="17"/>
    <n v="24"/>
    <n v="39"/>
    <n v="31"/>
    <n v="26"/>
    <n v="47"/>
    <n v="95"/>
    <m/>
    <m/>
    <x v="803"/>
    <x v="0"/>
  </r>
  <r>
    <n v="19027"/>
    <x v="15"/>
    <s v="Carroll"/>
    <n v="382"/>
    <n v="129"/>
    <n v="58"/>
    <n v="37"/>
    <n v="81"/>
    <n v="77"/>
    <n v="57"/>
    <n v="90"/>
    <n v="235"/>
    <n v="357"/>
    <n v="25"/>
    <x v="804"/>
    <x v="0"/>
  </r>
  <r>
    <n v="19029"/>
    <x v="15"/>
    <s v="Cass"/>
    <n v="249"/>
    <n v="79"/>
    <n v="32"/>
    <n v="38"/>
    <n v="62"/>
    <n v="38"/>
    <n v="55"/>
    <n v="71"/>
    <n v="123"/>
    <n v="226"/>
    <n v="23"/>
    <x v="805"/>
    <x v="0"/>
  </r>
  <r>
    <n v="19031"/>
    <x v="15"/>
    <s v="Cedar"/>
    <n v="323"/>
    <n v="81"/>
    <n v="44"/>
    <n v="35"/>
    <n v="90"/>
    <n v="73"/>
    <n v="86"/>
    <n v="104"/>
    <n v="133"/>
    <n v="293"/>
    <n v="30"/>
    <x v="806"/>
    <x v="0"/>
  </r>
  <r>
    <n v="19033"/>
    <x v="15"/>
    <s v="Cerro Gordo"/>
    <n v="850"/>
    <n v="283"/>
    <n v="126"/>
    <n v="103"/>
    <n v="185"/>
    <n v="153"/>
    <n v="145"/>
    <n v="210"/>
    <n v="495"/>
    <n v="798"/>
    <n v="52"/>
    <x v="807"/>
    <x v="0"/>
  </r>
  <r>
    <n v="19035"/>
    <x v="15"/>
    <s v="Cherokee"/>
    <n v="242"/>
    <n v="93"/>
    <n v="23"/>
    <n v="29"/>
    <n v="51"/>
    <n v="46"/>
    <n v="33"/>
    <n v="61"/>
    <n v="148"/>
    <n v="225"/>
    <n v="17"/>
    <x v="808"/>
    <x v="0"/>
  </r>
  <r>
    <n v="19037"/>
    <x v="15"/>
    <s v="Chickasaw"/>
    <n v="186"/>
    <n v="52"/>
    <n v="20"/>
    <n v="21"/>
    <n v="53"/>
    <n v="40"/>
    <n v="37"/>
    <n v="56"/>
    <n v="93"/>
    <n v="173"/>
    <n v="13"/>
    <x v="809"/>
    <x v="0"/>
  </r>
  <r>
    <n v="19039"/>
    <x v="15"/>
    <s v="Clarke"/>
    <n v="214"/>
    <n v="63"/>
    <n v="26"/>
    <n v="30"/>
    <n v="54"/>
    <n v="41"/>
    <n v="44"/>
    <n v="55"/>
    <n v="115"/>
    <n v="203"/>
    <n v="11"/>
    <x v="810"/>
    <x v="0"/>
  </r>
  <r>
    <n v="19041"/>
    <x v="15"/>
    <s v="Clay"/>
    <n v="253"/>
    <n v="82"/>
    <n v="39"/>
    <n v="44"/>
    <n v="38"/>
    <n v="50"/>
    <n v="61"/>
    <n v="58"/>
    <n v="134"/>
    <n v="236"/>
    <n v="17"/>
    <x v="811"/>
    <x v="0"/>
  </r>
  <r>
    <n v="19043"/>
    <x v="15"/>
    <s v="Clayton"/>
    <n v="322"/>
    <n v="73"/>
    <n v="40"/>
    <n v="47"/>
    <n v="91"/>
    <n v="71"/>
    <n v="63"/>
    <n v="69"/>
    <n v="190"/>
    <n v="300"/>
    <n v="22"/>
    <x v="812"/>
    <x v="0"/>
  </r>
  <r>
    <n v="19045"/>
    <x v="15"/>
    <s v="Clinton"/>
    <n v="728"/>
    <n v="145"/>
    <n v="103"/>
    <n v="124"/>
    <n v="209"/>
    <n v="147"/>
    <n v="190"/>
    <n v="223"/>
    <n v="315"/>
    <n v="666"/>
    <n v="62"/>
    <x v="813"/>
    <x v="0"/>
  </r>
  <r>
    <n v="19047"/>
    <x v="15"/>
    <s v="Crawford"/>
    <n v="238"/>
    <n v="80"/>
    <n v="45"/>
    <n v="39"/>
    <n v="37"/>
    <n v="37"/>
    <n v="32"/>
    <n v="45"/>
    <n v="161"/>
    <n v="220"/>
    <n v="18"/>
    <x v="814"/>
    <x v="0"/>
  </r>
  <r>
    <n v="19049"/>
    <x v="15"/>
    <s v="Dallas"/>
    <n v="1778"/>
    <n v="447"/>
    <n v="214"/>
    <n v="220"/>
    <n v="424"/>
    <n v="473"/>
    <n v="542"/>
    <n v="567"/>
    <n v="669"/>
    <n v="1613"/>
    <n v="163"/>
    <x v="815"/>
    <x v="0"/>
  </r>
  <r>
    <n v="19051"/>
    <x v="15"/>
    <s v="Davis"/>
    <n v="134"/>
    <n v="43"/>
    <n v="23"/>
    <n v="14"/>
    <n v="30"/>
    <n v="24"/>
    <n v="26"/>
    <n v="35"/>
    <n v="73"/>
    <n v="121"/>
    <n v="13"/>
    <x v="816"/>
    <x v="0"/>
  </r>
  <r>
    <n v="19053"/>
    <x v="15"/>
    <s v="Decatur"/>
    <n v="147"/>
    <n v="43"/>
    <n v="26"/>
    <n v="16"/>
    <n v="30"/>
    <n v="32"/>
    <n v="23"/>
    <n v="33"/>
    <n v="91"/>
    <n v="136"/>
    <n v="11"/>
    <x v="817"/>
    <x v="0"/>
  </r>
  <r>
    <n v="19055"/>
    <x v="15"/>
    <s v="Delaware"/>
    <n v="224"/>
    <n v="54"/>
    <n v="30"/>
    <n v="34"/>
    <n v="63"/>
    <n v="43"/>
    <n v="47"/>
    <n v="66"/>
    <n v="111"/>
    <n v="210"/>
    <n v="14"/>
    <x v="818"/>
    <x v="0"/>
  </r>
  <r>
    <n v="19057"/>
    <x v="15"/>
    <s v="Des Moines"/>
    <n v="625"/>
    <n v="122"/>
    <n v="85"/>
    <n v="89"/>
    <n v="192"/>
    <n v="137"/>
    <n v="155"/>
    <n v="199"/>
    <n v="271"/>
    <n v="571"/>
    <n v="54"/>
    <x v="819"/>
    <x v="0"/>
  </r>
  <r>
    <n v="19059"/>
    <x v="15"/>
    <s v="Dickinson"/>
    <n v="318"/>
    <n v="97"/>
    <n v="39"/>
    <n v="29"/>
    <n v="72"/>
    <n v="81"/>
    <n v="56"/>
    <n v="76"/>
    <n v="186"/>
    <n v="301"/>
    <n v="17"/>
    <x v="820"/>
    <x v="0"/>
  </r>
  <r>
    <n v="19061"/>
    <x v="15"/>
    <s v="Dubuque"/>
    <n v="1430"/>
    <n v="339"/>
    <n v="187"/>
    <n v="214"/>
    <n v="402"/>
    <n v="288"/>
    <n v="352"/>
    <n v="407"/>
    <n v="670"/>
    <n v="1307"/>
    <n v="123"/>
    <x v="821"/>
    <x v="0"/>
  </r>
  <r>
    <n v="19063"/>
    <x v="15"/>
    <s v="Emmet"/>
    <n v="211"/>
    <n v="76"/>
    <n v="18"/>
    <n v="26"/>
    <n v="44"/>
    <n v="47"/>
    <n v="43"/>
    <n v="45"/>
    <n v="123"/>
    <n v="198"/>
    <n v="13"/>
    <x v="822"/>
    <x v="0"/>
  </r>
  <r>
    <n v="19065"/>
    <x v="15"/>
    <s v="Fayette"/>
    <n v="278"/>
    <n v="73"/>
    <n v="42"/>
    <n v="39"/>
    <n v="66"/>
    <n v="58"/>
    <n v="63"/>
    <n v="85"/>
    <n v="130"/>
    <n v="251"/>
    <n v="27"/>
    <x v="823"/>
    <x v="0"/>
  </r>
  <r>
    <n v="19067"/>
    <x v="15"/>
    <s v="Floyd"/>
    <n v="323"/>
    <n v="92"/>
    <n v="43"/>
    <n v="38"/>
    <n v="93"/>
    <n v="57"/>
    <n v="52"/>
    <n v="94"/>
    <n v="177"/>
    <n v="305"/>
    <n v="18"/>
    <x v="824"/>
    <x v="0"/>
  </r>
  <r>
    <n v="19069"/>
    <x v="15"/>
    <s v="Franklin"/>
    <n v="159"/>
    <n v="43"/>
    <n v="18"/>
    <n v="19"/>
    <n v="45"/>
    <n v="34"/>
    <n v="25"/>
    <n v="41"/>
    <n v="93"/>
    <m/>
    <m/>
    <x v="825"/>
    <x v="0"/>
  </r>
  <r>
    <n v="19071"/>
    <x v="15"/>
    <s v="Fremont"/>
    <n v="213"/>
    <n v="57"/>
    <n v="24"/>
    <n v="28"/>
    <n v="60"/>
    <n v="44"/>
    <n v="41"/>
    <n v="67"/>
    <n v="105"/>
    <n v="199"/>
    <n v="14"/>
    <x v="826"/>
    <x v="0"/>
  </r>
  <r>
    <n v="19073"/>
    <x v="15"/>
    <s v="Greene"/>
    <n v="178"/>
    <n v="34"/>
    <n v="22"/>
    <n v="37"/>
    <n v="50"/>
    <n v="35"/>
    <n v="31"/>
    <n v="54"/>
    <n v="93"/>
    <n v="164"/>
    <n v="14"/>
    <x v="827"/>
    <x v="0"/>
  </r>
  <r>
    <n v="19075"/>
    <x v="15"/>
    <s v="Grundy"/>
    <n v="202"/>
    <n v="52"/>
    <n v="33"/>
    <n v="28"/>
    <n v="51"/>
    <n v="38"/>
    <n v="48"/>
    <n v="64"/>
    <n v="90"/>
    <n v="185"/>
    <n v="17"/>
    <x v="828"/>
    <x v="0"/>
  </r>
  <r>
    <n v="19077"/>
    <x v="15"/>
    <s v="Guthrie"/>
    <n v="241"/>
    <n v="75"/>
    <n v="35"/>
    <n v="34"/>
    <n v="47"/>
    <n v="50"/>
    <n v="35"/>
    <n v="67"/>
    <n v="139"/>
    <n v="226"/>
    <n v="15"/>
    <x v="829"/>
    <x v="0"/>
  </r>
  <r>
    <n v="19079"/>
    <x v="15"/>
    <s v="Hamilton"/>
    <n v="302"/>
    <n v="96"/>
    <n v="38"/>
    <n v="33"/>
    <n v="76"/>
    <n v="59"/>
    <n v="55"/>
    <n v="67"/>
    <n v="180"/>
    <n v="282"/>
    <n v="20"/>
    <x v="830"/>
    <x v="0"/>
  </r>
  <r>
    <n v="19081"/>
    <x v="15"/>
    <s v="Hancock"/>
    <n v="200"/>
    <n v="64"/>
    <n v="31"/>
    <n v="29"/>
    <n v="45"/>
    <n v="31"/>
    <n v="39"/>
    <n v="39"/>
    <n v="122"/>
    <m/>
    <m/>
    <x v="831"/>
    <x v="0"/>
  </r>
  <r>
    <n v="19083"/>
    <x v="15"/>
    <s v="Hardin"/>
    <n v="293"/>
    <n v="85"/>
    <n v="43"/>
    <n v="41"/>
    <n v="67"/>
    <n v="57"/>
    <n v="83"/>
    <n v="66"/>
    <n v="144"/>
    <n v="279"/>
    <n v="14"/>
    <x v="832"/>
    <x v="0"/>
  </r>
  <r>
    <n v="19085"/>
    <x v="15"/>
    <s v="Harrison"/>
    <n v="417"/>
    <n v="132"/>
    <n v="50"/>
    <n v="58"/>
    <n v="101"/>
    <n v="76"/>
    <n v="81"/>
    <n v="119"/>
    <n v="217"/>
    <n v="393"/>
    <n v="24"/>
    <x v="833"/>
    <x v="0"/>
  </r>
  <r>
    <n v="19087"/>
    <x v="15"/>
    <s v="Henry"/>
    <n v="292"/>
    <n v="58"/>
    <n v="44"/>
    <n v="41"/>
    <n v="84"/>
    <n v="65"/>
    <n v="66"/>
    <n v="96"/>
    <n v="130"/>
    <n v="271"/>
    <n v="21"/>
    <x v="834"/>
    <x v="0"/>
  </r>
  <r>
    <n v="19089"/>
    <x v="15"/>
    <s v="Howard"/>
    <n v="172"/>
    <n v="62"/>
    <n v="30"/>
    <n v="19"/>
    <n v="34"/>
    <n v="27"/>
    <n v="23"/>
    <n v="38"/>
    <n v="111"/>
    <n v="155"/>
    <n v="16"/>
    <x v="835"/>
    <x v="0"/>
  </r>
  <r>
    <n v="19091"/>
    <x v="15"/>
    <s v="Humboldt"/>
    <n v="169"/>
    <n v="55"/>
    <n v="21"/>
    <n v="19"/>
    <n v="42"/>
    <n v="32"/>
    <n v="40"/>
    <n v="40"/>
    <n v="89"/>
    <m/>
    <m/>
    <x v="836"/>
    <x v="0"/>
  </r>
  <r>
    <n v="19093"/>
    <x v="15"/>
    <s v="Ida"/>
    <n v="123"/>
    <n v="30"/>
    <n v="18"/>
    <n v="16"/>
    <n v="35"/>
    <n v="24"/>
    <n v="27"/>
    <n v="31"/>
    <n v="65"/>
    <m/>
    <m/>
    <x v="837"/>
    <x v="0"/>
  </r>
  <r>
    <n v="19095"/>
    <x v="15"/>
    <s v="Iowa"/>
    <n v="259"/>
    <n v="53"/>
    <n v="26"/>
    <n v="40"/>
    <n v="75"/>
    <n v="65"/>
    <n v="72"/>
    <n v="73"/>
    <n v="114"/>
    <n v="238"/>
    <n v="21"/>
    <x v="838"/>
    <x v="0"/>
  </r>
  <r>
    <n v="19097"/>
    <x v="15"/>
    <s v="Jackson"/>
    <n v="372"/>
    <n v="89"/>
    <n v="48"/>
    <n v="56"/>
    <n v="92"/>
    <n v="87"/>
    <n v="68"/>
    <n v="116"/>
    <n v="188"/>
    <n v="352"/>
    <n v="20"/>
    <x v="839"/>
    <x v="0"/>
  </r>
  <r>
    <n v="19099"/>
    <x v="15"/>
    <s v="Jasper"/>
    <n v="750"/>
    <n v="221"/>
    <n v="85"/>
    <n v="118"/>
    <n v="194"/>
    <n v="132"/>
    <n v="162"/>
    <n v="231"/>
    <n v="357"/>
    <n v="685"/>
    <n v="65"/>
    <x v="840"/>
    <x v="0"/>
  </r>
  <r>
    <n v="19101"/>
    <x v="15"/>
    <s v="Jefferson"/>
    <n v="178"/>
    <n v="33"/>
    <n v="21"/>
    <n v="23"/>
    <n v="51"/>
    <n v="50"/>
    <n v="44"/>
    <n v="50"/>
    <n v="84"/>
    <n v="163"/>
    <n v="15"/>
    <x v="841"/>
    <x v="0"/>
  </r>
  <r>
    <n v="19103"/>
    <x v="15"/>
    <s v="Johnson"/>
    <n v="1522"/>
    <n v="333"/>
    <n v="190"/>
    <n v="226"/>
    <n v="424"/>
    <n v="349"/>
    <n v="538"/>
    <n v="445"/>
    <n v="539"/>
    <n v="1346"/>
    <n v="176"/>
    <x v="842"/>
    <x v="0"/>
  </r>
  <r>
    <n v="19105"/>
    <x v="15"/>
    <s v="Jones"/>
    <n v="350"/>
    <n v="79"/>
    <n v="46"/>
    <n v="48"/>
    <n v="75"/>
    <n v="102"/>
    <n v="97"/>
    <n v="90"/>
    <n v="163"/>
    <n v="324"/>
    <n v="26"/>
    <x v="843"/>
    <x v="0"/>
  </r>
  <r>
    <n v="19107"/>
    <x v="15"/>
    <s v="Keokuk"/>
    <n v="148"/>
    <n v="27"/>
    <n v="19"/>
    <n v="20"/>
    <n v="47"/>
    <n v="35"/>
    <n v="28"/>
    <n v="48"/>
    <n v="72"/>
    <n v="131"/>
    <n v="17"/>
    <x v="844"/>
    <x v="0"/>
  </r>
  <r>
    <n v="19109"/>
    <x v="15"/>
    <s v="Kossuth"/>
    <n v="271"/>
    <n v="74"/>
    <n v="40"/>
    <n v="33"/>
    <n v="71"/>
    <n v="53"/>
    <n v="39"/>
    <n v="80"/>
    <n v="152"/>
    <n v="250"/>
    <n v="21"/>
    <x v="845"/>
    <x v="0"/>
  </r>
  <r>
    <n v="19111"/>
    <x v="15"/>
    <s v="Lee"/>
    <n v="562"/>
    <n v="120"/>
    <n v="80"/>
    <n v="73"/>
    <n v="163"/>
    <n v="126"/>
    <n v="150"/>
    <n v="176"/>
    <n v="236"/>
    <n v="526"/>
    <n v="36"/>
    <x v="846"/>
    <x v="0"/>
  </r>
  <r>
    <n v="19113"/>
    <x v="15"/>
    <s v="Linn"/>
    <n v="3187"/>
    <n v="687"/>
    <n v="403"/>
    <n v="451"/>
    <n v="931"/>
    <n v="715"/>
    <n v="969"/>
    <n v="960"/>
    <n v="1258"/>
    <n v="2848"/>
    <n v="339"/>
    <x v="847"/>
    <x v="0"/>
  </r>
  <r>
    <n v="19115"/>
    <x v="15"/>
    <s v="Louisa"/>
    <n v="146"/>
    <n v="26"/>
    <n v="18"/>
    <n v="33"/>
    <n v="43"/>
    <n v="26"/>
    <n v="24"/>
    <n v="42"/>
    <n v="80"/>
    <n v="135"/>
    <n v="11"/>
    <x v="848"/>
    <x v="0"/>
  </r>
  <r>
    <n v="19117"/>
    <x v="15"/>
    <s v="Lucas"/>
    <n v="175"/>
    <n v="51"/>
    <n v="25"/>
    <n v="21"/>
    <n v="46"/>
    <n v="32"/>
    <n v="53"/>
    <n v="45"/>
    <n v="77"/>
    <n v="164"/>
    <n v="11"/>
    <x v="849"/>
    <x v="0"/>
  </r>
  <r>
    <n v="19119"/>
    <x v="15"/>
    <s v="Lyon"/>
    <n v="166"/>
    <n v="57"/>
    <n v="22"/>
    <n v="20"/>
    <n v="43"/>
    <n v="24"/>
    <n v="33"/>
    <n v="41"/>
    <n v="92"/>
    <n v="153"/>
    <n v="13"/>
    <x v="850"/>
    <x v="0"/>
  </r>
  <r>
    <n v="19121"/>
    <x v="15"/>
    <s v="Madison"/>
    <n v="374"/>
    <n v="95"/>
    <n v="49"/>
    <n v="47"/>
    <n v="100"/>
    <n v="83"/>
    <n v="90"/>
    <n v="115"/>
    <n v="169"/>
    <n v="346"/>
    <n v="28"/>
    <x v="851"/>
    <x v="0"/>
  </r>
  <r>
    <n v="19123"/>
    <x v="15"/>
    <s v="Mahaska"/>
    <n v="273"/>
    <n v="63"/>
    <n v="36"/>
    <n v="32"/>
    <n v="68"/>
    <n v="74"/>
    <n v="55"/>
    <n v="84"/>
    <n v="134"/>
    <n v="257"/>
    <n v="16"/>
    <x v="852"/>
    <x v="0"/>
  </r>
  <r>
    <n v="19125"/>
    <x v="15"/>
    <s v="Marion"/>
    <n v="650"/>
    <n v="196"/>
    <n v="75"/>
    <n v="81"/>
    <n v="157"/>
    <n v="141"/>
    <n v="133"/>
    <n v="186"/>
    <n v="331"/>
    <n v="596"/>
    <n v="54"/>
    <x v="853"/>
    <x v="0"/>
  </r>
  <r>
    <n v="19127"/>
    <x v="15"/>
    <s v="Marshall"/>
    <n v="724"/>
    <n v="207"/>
    <n v="109"/>
    <n v="93"/>
    <n v="154"/>
    <n v="161"/>
    <n v="117"/>
    <n v="186"/>
    <n v="421"/>
    <n v="681"/>
    <n v="43"/>
    <x v="854"/>
    <x v="0"/>
  </r>
  <r>
    <n v="19129"/>
    <x v="15"/>
    <s v="Mills"/>
    <n v="594"/>
    <n v="125"/>
    <n v="73"/>
    <n v="86"/>
    <n v="156"/>
    <n v="154"/>
    <n v="136"/>
    <n v="212"/>
    <n v="246"/>
    <n v="529"/>
    <n v="65"/>
    <x v="855"/>
    <x v="0"/>
  </r>
  <r>
    <n v="19131"/>
    <x v="15"/>
    <s v="Mitchell"/>
    <n v="177"/>
    <n v="52"/>
    <n v="20"/>
    <n v="23"/>
    <n v="48"/>
    <n v="34"/>
    <n v="42"/>
    <n v="39"/>
    <n v="96"/>
    <n v="166"/>
    <n v="11"/>
    <x v="856"/>
    <x v="0"/>
  </r>
  <r>
    <n v="19133"/>
    <x v="15"/>
    <s v="Monona"/>
    <n v="190"/>
    <n v="58"/>
    <n v="29"/>
    <n v="31"/>
    <n v="32"/>
    <n v="40"/>
    <n v="45"/>
    <n v="34"/>
    <n v="111"/>
    <n v="174"/>
    <n v="16"/>
    <x v="857"/>
    <x v="0"/>
  </r>
  <r>
    <n v="19135"/>
    <x v="15"/>
    <s v="Monroe"/>
    <n v="179"/>
    <n v="50"/>
    <n v="21"/>
    <n v="31"/>
    <n v="38"/>
    <n v="39"/>
    <n v="23"/>
    <n v="48"/>
    <n v="108"/>
    <m/>
    <m/>
    <x v="858"/>
    <x v="0"/>
  </r>
  <r>
    <n v="19137"/>
    <x v="15"/>
    <s v="Montgomery"/>
    <n v="228"/>
    <n v="73"/>
    <n v="30"/>
    <n v="27"/>
    <n v="52"/>
    <n v="46"/>
    <n v="34"/>
    <n v="75"/>
    <n v="119"/>
    <n v="214"/>
    <n v="14"/>
    <x v="859"/>
    <x v="0"/>
  </r>
  <r>
    <n v="19139"/>
    <x v="15"/>
    <s v="Muscatine"/>
    <n v="567"/>
    <n v="142"/>
    <n v="73"/>
    <n v="68"/>
    <n v="160"/>
    <n v="124"/>
    <n v="140"/>
    <n v="193"/>
    <n v="234"/>
    <n v="528"/>
    <n v="39"/>
    <x v="860"/>
    <x v="0"/>
  </r>
  <r>
    <n v="19141"/>
    <x v="15"/>
    <s v="O'Brien"/>
    <n v="217"/>
    <n v="87"/>
    <n v="27"/>
    <n v="29"/>
    <n v="38"/>
    <n v="36"/>
    <n v="40"/>
    <n v="50"/>
    <n v="127"/>
    <n v="207"/>
    <n v="10"/>
    <x v="861"/>
    <x v="0"/>
  </r>
  <r>
    <n v="19143"/>
    <x v="15"/>
    <s v="Osceola"/>
    <n v="92"/>
    <n v="26"/>
    <n v="20"/>
    <n v="12"/>
    <n v="12"/>
    <n v="22"/>
    <n v="11"/>
    <n v="27"/>
    <n v="54"/>
    <m/>
    <m/>
    <x v="862"/>
    <x v="0"/>
  </r>
  <r>
    <n v="19145"/>
    <x v="15"/>
    <s v="Page"/>
    <n v="306"/>
    <n v="82"/>
    <n v="41"/>
    <n v="45"/>
    <n v="79"/>
    <n v="59"/>
    <n v="60"/>
    <n v="86"/>
    <n v="160"/>
    <n v="276"/>
    <n v="30"/>
    <x v="863"/>
    <x v="0"/>
  </r>
  <r>
    <n v="19147"/>
    <x v="15"/>
    <s v="Palo Alto"/>
    <n v="173"/>
    <n v="55"/>
    <n v="27"/>
    <n v="21"/>
    <n v="44"/>
    <n v="26"/>
    <n v="24"/>
    <n v="38"/>
    <n v="111"/>
    <n v="163"/>
    <n v="10"/>
    <x v="864"/>
    <x v="0"/>
  </r>
  <r>
    <n v="19149"/>
    <x v="15"/>
    <s v="Plymouth"/>
    <n v="425"/>
    <n v="138"/>
    <n v="63"/>
    <n v="53"/>
    <n v="97"/>
    <n v="74"/>
    <n v="93"/>
    <n v="105"/>
    <n v="227"/>
    <n v="390"/>
    <n v="35"/>
    <x v="865"/>
    <x v="0"/>
  </r>
  <r>
    <n v="19151"/>
    <x v="15"/>
    <s v="Pocahontas"/>
    <n v="104"/>
    <n v="26"/>
    <n v="20"/>
    <n v="14"/>
    <n v="26"/>
    <n v="18"/>
    <n v="21"/>
    <n v="32"/>
    <n v="51"/>
    <m/>
    <m/>
    <x v="866"/>
    <x v="0"/>
  </r>
  <r>
    <n v="19153"/>
    <x v="15"/>
    <s v="Polk"/>
    <n v="7965"/>
    <n v="2131"/>
    <n v="1057"/>
    <n v="1037"/>
    <n v="1958"/>
    <n v="1782"/>
    <n v="2212"/>
    <n v="2475"/>
    <n v="3278"/>
    <n v="7175"/>
    <n v="788"/>
    <x v="867"/>
    <x v="0"/>
  </r>
  <r>
    <n v="19155"/>
    <x v="15"/>
    <s v="Pottawattamie"/>
    <n v="2274"/>
    <n v="697"/>
    <n v="298"/>
    <n v="341"/>
    <n v="535"/>
    <n v="403"/>
    <n v="510"/>
    <n v="629"/>
    <n v="1135"/>
    <n v="2097"/>
    <n v="177"/>
    <x v="868"/>
    <x v="0"/>
  </r>
  <r>
    <n v="19157"/>
    <x v="15"/>
    <s v="Poweshiek"/>
    <n v="291"/>
    <n v="80"/>
    <n v="35"/>
    <n v="45"/>
    <n v="80"/>
    <n v="51"/>
    <n v="48"/>
    <n v="78"/>
    <n v="165"/>
    <n v="275"/>
    <n v="16"/>
    <x v="869"/>
    <x v="0"/>
  </r>
  <r>
    <n v="19159"/>
    <x v="15"/>
    <s v="Ringgold"/>
    <n v="106"/>
    <n v="30"/>
    <n v="19"/>
    <n v="11"/>
    <n v="25"/>
    <n v="21"/>
    <n v="13"/>
    <n v="19"/>
    <n v="74"/>
    <n v="95"/>
    <n v="11"/>
    <x v="870"/>
    <x v="0"/>
  </r>
  <r>
    <n v="19161"/>
    <x v="15"/>
    <s v="Sac"/>
    <n v="190"/>
    <n v="72"/>
    <n v="29"/>
    <n v="28"/>
    <n v="32"/>
    <n v="29"/>
    <n v="18"/>
    <n v="39"/>
    <n v="133"/>
    <n v="178"/>
    <n v="12"/>
    <x v="871"/>
    <x v="0"/>
  </r>
  <r>
    <n v="19163"/>
    <x v="15"/>
    <s v="Scott"/>
    <n v="3149"/>
    <n v="646"/>
    <n v="373"/>
    <n v="404"/>
    <n v="941"/>
    <n v="785"/>
    <n v="924"/>
    <n v="1182"/>
    <n v="1043"/>
    <n v="2767"/>
    <n v="381"/>
    <x v="872"/>
    <x v="0"/>
  </r>
  <r>
    <n v="19165"/>
    <x v="15"/>
    <s v="Shelby"/>
    <n v="269"/>
    <n v="72"/>
    <n v="38"/>
    <n v="34"/>
    <n v="72"/>
    <n v="53"/>
    <n v="52"/>
    <n v="82"/>
    <n v="135"/>
    <n v="253"/>
    <n v="16"/>
    <x v="873"/>
    <x v="0"/>
  </r>
  <r>
    <n v="19167"/>
    <x v="15"/>
    <s v="Sioux"/>
    <n v="363"/>
    <n v="109"/>
    <n v="41"/>
    <n v="63"/>
    <n v="78"/>
    <n v="72"/>
    <n v="62"/>
    <n v="59"/>
    <n v="242"/>
    <n v="342"/>
    <n v="21"/>
    <x v="874"/>
    <x v="0"/>
  </r>
  <r>
    <n v="19169"/>
    <x v="15"/>
    <s v="Story"/>
    <n v="1101"/>
    <n v="332"/>
    <n v="156"/>
    <n v="158"/>
    <n v="266"/>
    <n v="189"/>
    <n v="341"/>
    <n v="280"/>
    <n v="480"/>
    <n v="1009"/>
    <n v="92"/>
    <x v="875"/>
    <x v="0"/>
  </r>
  <r>
    <n v="19171"/>
    <x v="15"/>
    <s v="Tama"/>
    <n v="274"/>
    <n v="74"/>
    <n v="37"/>
    <n v="28"/>
    <n v="72"/>
    <n v="63"/>
    <n v="71"/>
    <n v="70"/>
    <n v="133"/>
    <n v="245"/>
    <n v="29"/>
    <x v="876"/>
    <x v="0"/>
  </r>
  <r>
    <n v="19173"/>
    <x v="15"/>
    <s v="Taylor"/>
    <n v="114"/>
    <n v="41"/>
    <n v="15"/>
    <n v="10"/>
    <n v="28"/>
    <n v="20"/>
    <n v="22"/>
    <n v="28"/>
    <n v="64"/>
    <n v="102"/>
    <n v="11"/>
    <x v="877"/>
    <x v="0"/>
  </r>
  <r>
    <n v="19175"/>
    <x v="15"/>
    <s v="Union"/>
    <n v="228"/>
    <n v="65"/>
    <n v="37"/>
    <n v="31"/>
    <n v="52"/>
    <n v="43"/>
    <n v="42"/>
    <n v="65"/>
    <n v="121"/>
    <n v="216"/>
    <n v="12"/>
    <x v="878"/>
    <x v="0"/>
  </r>
  <r>
    <n v="19177"/>
    <x v="15"/>
    <s v="Van Buren"/>
    <n v="138"/>
    <n v="36"/>
    <m/>
    <m/>
    <n v="42"/>
    <n v="36"/>
    <n v="16"/>
    <n v="48"/>
    <n v="74"/>
    <n v="128"/>
    <n v="10"/>
    <x v="879"/>
    <x v="0"/>
  </r>
  <r>
    <n v="19179"/>
    <x v="15"/>
    <s v="Wapello"/>
    <n v="495"/>
    <n v="124"/>
    <n v="58"/>
    <n v="76"/>
    <n v="131"/>
    <n v="106"/>
    <n v="87"/>
    <n v="142"/>
    <n v="266"/>
    <n v="461"/>
    <n v="34"/>
    <x v="880"/>
    <x v="0"/>
  </r>
  <r>
    <n v="19181"/>
    <x v="15"/>
    <s v="Warren"/>
    <n v="1346"/>
    <n v="343"/>
    <n v="169"/>
    <n v="169"/>
    <n v="355"/>
    <n v="310"/>
    <n v="391"/>
    <n v="404"/>
    <n v="551"/>
    <n v="1216"/>
    <n v="129"/>
    <x v="881"/>
    <x v="0"/>
  </r>
  <r>
    <n v="19183"/>
    <x v="15"/>
    <s v="Washington"/>
    <n v="328"/>
    <n v="61"/>
    <n v="40"/>
    <n v="52"/>
    <n v="106"/>
    <n v="69"/>
    <n v="81"/>
    <n v="114"/>
    <n v="133"/>
    <n v="297"/>
    <n v="31"/>
    <x v="882"/>
    <x v="0"/>
  </r>
  <r>
    <n v="19185"/>
    <x v="15"/>
    <s v="Wayne"/>
    <n v="116"/>
    <n v="35"/>
    <n v="16"/>
    <n v="14"/>
    <n v="31"/>
    <n v="20"/>
    <n v="25"/>
    <n v="37"/>
    <n v="54"/>
    <n v="105"/>
    <n v="10"/>
    <x v="883"/>
    <x v="0"/>
  </r>
  <r>
    <n v="19187"/>
    <x v="15"/>
    <s v="Webster"/>
    <n v="731"/>
    <n v="258"/>
    <n v="103"/>
    <n v="94"/>
    <n v="143"/>
    <n v="133"/>
    <n v="132"/>
    <n v="188"/>
    <n v="411"/>
    <n v="697"/>
    <n v="34"/>
    <x v="884"/>
    <x v="0"/>
  </r>
  <r>
    <n v="19189"/>
    <x v="15"/>
    <s v="Winnebago"/>
    <n v="204"/>
    <n v="72"/>
    <n v="33"/>
    <n v="29"/>
    <n v="41"/>
    <n v="29"/>
    <n v="37"/>
    <n v="57"/>
    <n v="110"/>
    <n v="194"/>
    <n v="10"/>
    <x v="885"/>
    <x v="0"/>
  </r>
  <r>
    <n v="19191"/>
    <x v="15"/>
    <s v="Winneshiek"/>
    <n v="307"/>
    <n v="86"/>
    <n v="41"/>
    <n v="38"/>
    <n v="78"/>
    <n v="64"/>
    <n v="53"/>
    <n v="57"/>
    <n v="197"/>
    <n v="285"/>
    <n v="21"/>
    <x v="886"/>
    <x v="0"/>
  </r>
  <r>
    <n v="19193"/>
    <x v="15"/>
    <s v="Woodbury"/>
    <n v="1606"/>
    <n v="501"/>
    <n v="220"/>
    <n v="221"/>
    <n v="360"/>
    <n v="304"/>
    <n v="353"/>
    <n v="466"/>
    <n v="787"/>
    <n v="1460"/>
    <n v="146"/>
    <x v="887"/>
    <x v="0"/>
  </r>
  <r>
    <n v="19195"/>
    <x v="15"/>
    <s v="Worth"/>
    <n v="172"/>
    <n v="58"/>
    <n v="20"/>
    <n v="17"/>
    <n v="45"/>
    <n v="32"/>
    <n v="30"/>
    <n v="44"/>
    <n v="98"/>
    <m/>
    <m/>
    <x v="888"/>
    <x v="0"/>
  </r>
  <r>
    <n v="19197"/>
    <x v="15"/>
    <s v="Wright"/>
    <n v="226"/>
    <n v="92"/>
    <n v="30"/>
    <n v="32"/>
    <n v="46"/>
    <n v="26"/>
    <n v="42"/>
    <n v="50"/>
    <n v="134"/>
    <n v="216"/>
    <n v="10"/>
    <x v="889"/>
    <x v="0"/>
  </r>
  <r>
    <n v="20001"/>
    <x v="16"/>
    <s v="Allen"/>
    <n v="175"/>
    <n v="31"/>
    <n v="20"/>
    <n v="24"/>
    <n v="64"/>
    <n v="36"/>
    <n v="46"/>
    <n v="50"/>
    <n v="79"/>
    <n v="160"/>
    <n v="15"/>
    <x v="890"/>
    <x v="0"/>
  </r>
  <r>
    <n v="20003"/>
    <x v="16"/>
    <s v="Anderson"/>
    <n v="109"/>
    <n v="31"/>
    <m/>
    <m/>
    <n v="30"/>
    <n v="30"/>
    <n v="24"/>
    <n v="31"/>
    <n v="54"/>
    <m/>
    <m/>
    <x v="891"/>
    <x v="0"/>
  </r>
  <r>
    <n v="20005"/>
    <x v="16"/>
    <s v="Atchison"/>
    <n v="278"/>
    <n v="56"/>
    <n v="34"/>
    <n v="34"/>
    <n v="87"/>
    <n v="67"/>
    <n v="53"/>
    <n v="97"/>
    <n v="128"/>
    <n v="260"/>
    <n v="18"/>
    <x v="892"/>
    <x v="0"/>
  </r>
  <r>
    <n v="20007"/>
    <x v="16"/>
    <s v="Barber"/>
    <n v="61"/>
    <m/>
    <n v="16"/>
    <m/>
    <n v="12"/>
    <n v="13"/>
    <n v="11"/>
    <n v="12"/>
    <n v="38"/>
    <m/>
    <m/>
    <x v="893"/>
    <x v="0"/>
  </r>
  <r>
    <n v="20009"/>
    <x v="16"/>
    <s v="Barton"/>
    <n v="324"/>
    <n v="75"/>
    <n v="34"/>
    <n v="42"/>
    <n v="97"/>
    <n v="76"/>
    <n v="66"/>
    <n v="91"/>
    <n v="167"/>
    <n v="301"/>
    <n v="23"/>
    <x v="894"/>
    <x v="0"/>
  </r>
  <r>
    <n v="20011"/>
    <x v="16"/>
    <s v="Bourbon"/>
    <n v="198"/>
    <n v="45"/>
    <n v="29"/>
    <n v="29"/>
    <n v="57"/>
    <n v="38"/>
    <n v="39"/>
    <n v="69"/>
    <n v="90"/>
    <n v="184"/>
    <n v="14"/>
    <x v="895"/>
    <x v="0"/>
  </r>
  <r>
    <n v="20013"/>
    <x v="16"/>
    <s v="Brown"/>
    <n v="167"/>
    <n v="40"/>
    <n v="15"/>
    <n v="15"/>
    <n v="54"/>
    <n v="43"/>
    <n v="36"/>
    <n v="48"/>
    <n v="83"/>
    <m/>
    <m/>
    <x v="896"/>
    <x v="0"/>
  </r>
  <r>
    <n v="20015"/>
    <x v="16"/>
    <s v="Butler"/>
    <n v="1560"/>
    <n v="288"/>
    <n v="172"/>
    <n v="183"/>
    <n v="489"/>
    <n v="428"/>
    <n v="490"/>
    <n v="555"/>
    <n v="515"/>
    <n v="1387"/>
    <n v="173"/>
    <x v="897"/>
    <x v="0"/>
  </r>
  <r>
    <n v="20017"/>
    <x v="16"/>
    <s v="Chase"/>
    <n v="31"/>
    <m/>
    <m/>
    <m/>
    <m/>
    <m/>
    <m/>
    <m/>
    <n v="12"/>
    <m/>
    <m/>
    <x v="898"/>
    <x v="0"/>
  </r>
  <r>
    <n v="20019"/>
    <x v="16"/>
    <s v="Chautauqua"/>
    <n v="62"/>
    <n v="16"/>
    <n v="10"/>
    <n v="13"/>
    <n v="13"/>
    <n v="10"/>
    <n v="10"/>
    <n v="18"/>
    <n v="34"/>
    <m/>
    <m/>
    <x v="899"/>
    <x v="0"/>
  </r>
  <r>
    <n v="20021"/>
    <x v="16"/>
    <s v="Cherokee"/>
    <n v="336"/>
    <n v="71"/>
    <n v="46"/>
    <n v="46"/>
    <n v="100"/>
    <n v="73"/>
    <n v="89"/>
    <n v="102"/>
    <n v="145"/>
    <n v="308"/>
    <n v="28"/>
    <x v="900"/>
    <x v="0"/>
  </r>
  <r>
    <n v="20023"/>
    <x v="16"/>
    <s v="Cheyenne"/>
    <n v="39"/>
    <m/>
    <n v="10"/>
    <m/>
    <n v="12"/>
    <m/>
    <m/>
    <m/>
    <n v="28"/>
    <m/>
    <m/>
    <x v="901"/>
    <x v="0"/>
  </r>
  <r>
    <n v="20025"/>
    <x v="16"/>
    <s v="Clark"/>
    <n v="28"/>
    <m/>
    <m/>
    <m/>
    <m/>
    <m/>
    <m/>
    <m/>
    <n v="14"/>
    <m/>
    <m/>
    <x v="902"/>
    <x v="0"/>
  </r>
  <r>
    <n v="20027"/>
    <x v="16"/>
    <s v="Clay"/>
    <n v="382"/>
    <n v="35"/>
    <n v="40"/>
    <n v="46"/>
    <n v="136"/>
    <n v="125"/>
    <n v="97"/>
    <n v="172"/>
    <n v="113"/>
    <n v="336"/>
    <n v="46"/>
    <x v="903"/>
    <x v="0"/>
  </r>
  <r>
    <n v="20029"/>
    <x v="16"/>
    <s v="Cloud"/>
    <n v="154"/>
    <n v="34"/>
    <n v="16"/>
    <n v="22"/>
    <n v="41"/>
    <n v="41"/>
    <n v="31"/>
    <n v="57"/>
    <n v="66"/>
    <n v="140"/>
    <n v="14"/>
    <x v="904"/>
    <x v="0"/>
  </r>
  <r>
    <n v="20031"/>
    <x v="16"/>
    <s v="Coffey"/>
    <n v="152"/>
    <n v="41"/>
    <n v="27"/>
    <n v="13"/>
    <n v="41"/>
    <n v="30"/>
    <n v="40"/>
    <n v="51"/>
    <n v="61"/>
    <n v="140"/>
    <n v="12"/>
    <x v="905"/>
    <x v="0"/>
  </r>
  <r>
    <n v="20033"/>
    <x v="16"/>
    <s v="Comanche"/>
    <n v="18"/>
    <m/>
    <m/>
    <m/>
    <m/>
    <m/>
    <m/>
    <m/>
    <m/>
    <m/>
    <m/>
    <x v="906"/>
    <x v="0"/>
  </r>
  <r>
    <n v="20035"/>
    <x v="16"/>
    <s v="Cowley"/>
    <n v="583"/>
    <n v="125"/>
    <n v="64"/>
    <n v="72"/>
    <n v="177"/>
    <n v="145"/>
    <n v="151"/>
    <n v="194"/>
    <n v="238"/>
    <n v="538"/>
    <n v="45"/>
    <x v="907"/>
    <x v="0"/>
  </r>
  <r>
    <n v="20037"/>
    <x v="16"/>
    <s v="Crawford"/>
    <n v="452"/>
    <n v="90"/>
    <n v="53"/>
    <n v="58"/>
    <n v="154"/>
    <n v="97"/>
    <n v="128"/>
    <n v="139"/>
    <n v="185"/>
    <n v="417"/>
    <n v="35"/>
    <x v="908"/>
    <x v="0"/>
  </r>
  <r>
    <n v="20039"/>
    <x v="16"/>
    <s v="Decatur"/>
    <n v="43"/>
    <m/>
    <m/>
    <m/>
    <n v="12"/>
    <n v="10"/>
    <m/>
    <m/>
    <n v="27"/>
    <m/>
    <m/>
    <x v="909"/>
    <x v="0"/>
  </r>
  <r>
    <n v="20041"/>
    <x v="16"/>
    <s v="Dickinson"/>
    <n v="956"/>
    <n v="123"/>
    <n v="73"/>
    <n v="104"/>
    <n v="340"/>
    <n v="316"/>
    <n v="273"/>
    <n v="424"/>
    <n v="259"/>
    <n v="849"/>
    <n v="107"/>
    <x v="910"/>
    <x v="0"/>
  </r>
  <r>
    <n v="20043"/>
    <x v="16"/>
    <s v="Doniphan"/>
    <n v="145"/>
    <n v="38"/>
    <n v="13"/>
    <n v="24"/>
    <n v="42"/>
    <n v="28"/>
    <n v="40"/>
    <n v="42"/>
    <n v="63"/>
    <n v="132"/>
    <n v="13"/>
    <x v="911"/>
    <x v="0"/>
  </r>
  <r>
    <n v="20045"/>
    <x v="16"/>
    <s v="Douglas"/>
    <n v="1392"/>
    <n v="274"/>
    <n v="139"/>
    <n v="183"/>
    <n v="448"/>
    <n v="348"/>
    <n v="468"/>
    <n v="424"/>
    <n v="500"/>
    <n v="1238"/>
    <n v="154"/>
    <x v="912"/>
    <x v="0"/>
  </r>
  <r>
    <n v="20047"/>
    <x v="16"/>
    <s v="Edwards"/>
    <n v="32"/>
    <m/>
    <m/>
    <m/>
    <m/>
    <n v="10"/>
    <m/>
    <m/>
    <n v="20"/>
    <m/>
    <m/>
    <x v="913"/>
    <x v="0"/>
  </r>
  <r>
    <n v="20049"/>
    <x v="16"/>
    <s v="Elk"/>
    <n v="64"/>
    <m/>
    <n v="12"/>
    <m/>
    <n v="17"/>
    <n v="17"/>
    <n v="10"/>
    <n v="20"/>
    <n v="34"/>
    <m/>
    <m/>
    <x v="914"/>
    <x v="0"/>
  </r>
  <r>
    <n v="20051"/>
    <x v="16"/>
    <s v="Ellis"/>
    <n v="365"/>
    <n v="90"/>
    <n v="49"/>
    <n v="45"/>
    <n v="107"/>
    <n v="74"/>
    <n v="89"/>
    <n v="83"/>
    <n v="193"/>
    <n v="345"/>
    <n v="20"/>
    <x v="915"/>
    <x v="0"/>
  </r>
  <r>
    <n v="20053"/>
    <x v="16"/>
    <s v="Ellsworth"/>
    <n v="123"/>
    <n v="21"/>
    <n v="19"/>
    <n v="16"/>
    <n v="33"/>
    <n v="34"/>
    <n v="27"/>
    <n v="46"/>
    <n v="50"/>
    <m/>
    <m/>
    <x v="916"/>
    <x v="0"/>
  </r>
  <r>
    <n v="20055"/>
    <x v="16"/>
    <s v="Finney"/>
    <n v="244"/>
    <n v="59"/>
    <n v="34"/>
    <n v="30"/>
    <n v="56"/>
    <n v="65"/>
    <n v="83"/>
    <n v="64"/>
    <n v="97"/>
    <n v="220"/>
    <n v="24"/>
    <x v="917"/>
    <x v="0"/>
  </r>
  <r>
    <n v="20057"/>
    <x v="16"/>
    <s v="Ford"/>
    <n v="232"/>
    <n v="56"/>
    <n v="29"/>
    <n v="17"/>
    <n v="78"/>
    <n v="52"/>
    <n v="68"/>
    <n v="70"/>
    <n v="94"/>
    <n v="211"/>
    <n v="21"/>
    <x v="918"/>
    <x v="0"/>
  </r>
  <r>
    <n v="20059"/>
    <x v="16"/>
    <s v="Franklin"/>
    <n v="441"/>
    <n v="88"/>
    <n v="44"/>
    <n v="56"/>
    <n v="141"/>
    <n v="112"/>
    <n v="129"/>
    <n v="140"/>
    <n v="172"/>
    <n v="405"/>
    <n v="36"/>
    <x v="919"/>
    <x v="0"/>
  </r>
  <r>
    <n v="20061"/>
    <x v="16"/>
    <s v="Geary"/>
    <n v="3306"/>
    <n v="333"/>
    <n v="250"/>
    <n v="365"/>
    <n v="1181"/>
    <n v="1177"/>
    <n v="1429"/>
    <n v="1236"/>
    <n v="641"/>
    <n v="2650"/>
    <n v="656"/>
    <x v="920"/>
    <x v="0"/>
  </r>
  <r>
    <n v="20063"/>
    <x v="16"/>
    <s v="Gove"/>
    <n v="37"/>
    <n v="13"/>
    <m/>
    <m/>
    <m/>
    <m/>
    <m/>
    <m/>
    <n v="27"/>
    <m/>
    <m/>
    <x v="921"/>
    <x v="0"/>
  </r>
  <r>
    <n v="20065"/>
    <x v="16"/>
    <s v="Graham"/>
    <n v="41"/>
    <n v="10"/>
    <m/>
    <m/>
    <n v="12"/>
    <m/>
    <n v="10"/>
    <n v="10"/>
    <n v="21"/>
    <m/>
    <m/>
    <x v="922"/>
    <x v="0"/>
  </r>
  <r>
    <n v="20067"/>
    <x v="16"/>
    <s v="Grant"/>
    <n v="51"/>
    <m/>
    <m/>
    <m/>
    <n v="20"/>
    <n v="12"/>
    <n v="16"/>
    <n v="12"/>
    <n v="23"/>
    <m/>
    <m/>
    <x v="923"/>
    <x v="0"/>
  </r>
  <r>
    <n v="20069"/>
    <x v="16"/>
    <s v="Gray"/>
    <n v="65"/>
    <m/>
    <n v="13"/>
    <m/>
    <n v="12"/>
    <n v="26"/>
    <m/>
    <m/>
    <n v="49"/>
    <m/>
    <m/>
    <x v="924"/>
    <x v="0"/>
  </r>
  <r>
    <n v="20071"/>
    <x v="16"/>
    <s v="Greeley"/>
    <n v="12"/>
    <m/>
    <m/>
    <m/>
    <m/>
    <m/>
    <m/>
    <m/>
    <m/>
    <m/>
    <m/>
    <x v="925"/>
    <x v="0"/>
  </r>
  <r>
    <n v="20073"/>
    <x v="16"/>
    <s v="Greenwood"/>
    <n v="118"/>
    <n v="17"/>
    <n v="18"/>
    <n v="20"/>
    <n v="33"/>
    <n v="30"/>
    <n v="22"/>
    <n v="35"/>
    <n v="61"/>
    <n v="105"/>
    <n v="13"/>
    <x v="926"/>
    <x v="0"/>
  </r>
  <r>
    <n v="20075"/>
    <x v="16"/>
    <s v="Hamilton"/>
    <n v="22"/>
    <m/>
    <m/>
    <m/>
    <m/>
    <m/>
    <m/>
    <m/>
    <n v="11"/>
    <m/>
    <m/>
    <x v="927"/>
    <x v="0"/>
  </r>
  <r>
    <n v="20077"/>
    <x v="16"/>
    <s v="Harper"/>
    <n v="63"/>
    <n v="12"/>
    <m/>
    <m/>
    <n v="28"/>
    <n v="11"/>
    <n v="13"/>
    <n v="17"/>
    <n v="33"/>
    <m/>
    <m/>
    <x v="928"/>
    <x v="0"/>
  </r>
  <r>
    <n v="20079"/>
    <x v="16"/>
    <s v="Harvey"/>
    <n v="522"/>
    <n v="112"/>
    <n v="67"/>
    <n v="69"/>
    <n v="144"/>
    <n v="130"/>
    <n v="174"/>
    <n v="154"/>
    <n v="194"/>
    <n v="470"/>
    <n v="52"/>
    <x v="929"/>
    <x v="0"/>
  </r>
  <r>
    <n v="20081"/>
    <x v="16"/>
    <s v="Haskell"/>
    <n v="22"/>
    <m/>
    <m/>
    <m/>
    <m/>
    <n v="10"/>
    <m/>
    <m/>
    <m/>
    <m/>
    <m/>
    <x v="930"/>
    <x v="0"/>
  </r>
  <r>
    <n v="20083"/>
    <x v="16"/>
    <s v="Hodgeman"/>
    <n v="17"/>
    <m/>
    <m/>
    <m/>
    <m/>
    <m/>
    <m/>
    <m/>
    <m/>
    <m/>
    <m/>
    <x v="931"/>
    <x v="0"/>
  </r>
  <r>
    <n v="20085"/>
    <x v="16"/>
    <s v="Jackson"/>
    <n v="324"/>
    <n v="59"/>
    <n v="42"/>
    <n v="42"/>
    <n v="100"/>
    <n v="81"/>
    <n v="74"/>
    <n v="97"/>
    <n v="153"/>
    <n v="293"/>
    <n v="31"/>
    <x v="932"/>
    <x v="0"/>
  </r>
  <r>
    <n v="20087"/>
    <x v="16"/>
    <s v="Jefferson"/>
    <n v="484"/>
    <n v="70"/>
    <n v="54"/>
    <n v="54"/>
    <n v="160"/>
    <n v="146"/>
    <n v="110"/>
    <n v="168"/>
    <n v="206"/>
    <n v="438"/>
    <n v="46"/>
    <x v="933"/>
    <x v="0"/>
  </r>
  <r>
    <n v="20089"/>
    <x v="16"/>
    <s v="Jewell"/>
    <n v="44"/>
    <n v="12"/>
    <m/>
    <m/>
    <n v="11"/>
    <m/>
    <m/>
    <m/>
    <n v="23"/>
    <m/>
    <m/>
    <x v="934"/>
    <x v="0"/>
  </r>
  <r>
    <n v="20091"/>
    <x v="16"/>
    <s v="Johnson"/>
    <n v="7127"/>
    <n v="1553"/>
    <n v="872"/>
    <n v="884"/>
    <n v="2104"/>
    <n v="1714"/>
    <n v="2312"/>
    <n v="2225"/>
    <n v="2590"/>
    <n v="6419"/>
    <n v="708"/>
    <x v="935"/>
    <x v="0"/>
  </r>
  <r>
    <n v="20093"/>
    <x v="16"/>
    <s v="Kearny"/>
    <n v="36"/>
    <m/>
    <m/>
    <m/>
    <m/>
    <n v="10"/>
    <m/>
    <m/>
    <n v="18"/>
    <m/>
    <m/>
    <x v="936"/>
    <x v="0"/>
  </r>
  <r>
    <n v="20095"/>
    <x v="16"/>
    <s v="Kingman"/>
    <n v="119"/>
    <n v="27"/>
    <n v="18"/>
    <n v="17"/>
    <n v="29"/>
    <n v="28"/>
    <n v="40"/>
    <n v="28"/>
    <n v="51"/>
    <m/>
    <m/>
    <x v="937"/>
    <x v="0"/>
  </r>
  <r>
    <n v="20097"/>
    <x v="16"/>
    <s v="Kiowa"/>
    <n v="26"/>
    <m/>
    <m/>
    <m/>
    <m/>
    <n v="11"/>
    <m/>
    <m/>
    <m/>
    <m/>
    <m/>
    <x v="938"/>
    <x v="0"/>
  </r>
  <r>
    <n v="20099"/>
    <x v="16"/>
    <s v="Labette"/>
    <n v="302"/>
    <n v="63"/>
    <n v="36"/>
    <n v="37"/>
    <n v="94"/>
    <n v="72"/>
    <n v="65"/>
    <n v="99"/>
    <n v="138"/>
    <n v="267"/>
    <n v="35"/>
    <x v="939"/>
    <x v="0"/>
  </r>
  <r>
    <n v="20101"/>
    <x v="16"/>
    <s v="Lane"/>
    <n v="24"/>
    <n v="10"/>
    <m/>
    <m/>
    <m/>
    <m/>
    <m/>
    <m/>
    <m/>
    <m/>
    <m/>
    <x v="940"/>
    <x v="0"/>
  </r>
  <r>
    <n v="20103"/>
    <x v="16"/>
    <s v="Leavenworth"/>
    <n v="4767"/>
    <n v="775"/>
    <n v="522"/>
    <n v="579"/>
    <n v="1412"/>
    <n v="1479"/>
    <n v="1046"/>
    <n v="2106"/>
    <n v="1615"/>
    <n v="4074"/>
    <n v="692"/>
    <x v="941"/>
    <x v="0"/>
  </r>
  <r>
    <n v="20105"/>
    <x v="16"/>
    <s v="Lincoln"/>
    <n v="46"/>
    <m/>
    <m/>
    <m/>
    <n v="20"/>
    <n v="12"/>
    <n v="10"/>
    <n v="14"/>
    <n v="22"/>
    <m/>
    <m/>
    <x v="942"/>
    <x v="0"/>
  </r>
  <r>
    <n v="20107"/>
    <x v="16"/>
    <s v="Linn"/>
    <n v="193"/>
    <n v="44"/>
    <n v="23"/>
    <n v="24"/>
    <n v="65"/>
    <n v="37"/>
    <n v="37"/>
    <n v="62"/>
    <n v="94"/>
    <n v="181"/>
    <n v="12"/>
    <x v="943"/>
    <x v="0"/>
  </r>
  <r>
    <n v="20109"/>
    <x v="16"/>
    <s v="Logan"/>
    <n v="46"/>
    <n v="12"/>
    <m/>
    <m/>
    <n v="14"/>
    <m/>
    <m/>
    <m/>
    <n v="23"/>
    <m/>
    <m/>
    <x v="944"/>
    <x v="0"/>
  </r>
  <r>
    <n v="20111"/>
    <x v="16"/>
    <s v="Lyon"/>
    <n v="419"/>
    <n v="90"/>
    <n v="58"/>
    <n v="62"/>
    <n v="116"/>
    <n v="93"/>
    <n v="112"/>
    <n v="107"/>
    <n v="200"/>
    <n v="381"/>
    <n v="38"/>
    <x v="945"/>
    <x v="0"/>
  </r>
  <r>
    <n v="20113"/>
    <x v="16"/>
    <s v="McPherson"/>
    <n v="417"/>
    <n v="101"/>
    <n v="51"/>
    <n v="47"/>
    <n v="113"/>
    <n v="105"/>
    <n v="110"/>
    <n v="133"/>
    <n v="174"/>
    <n v="378"/>
    <n v="39"/>
    <x v="946"/>
    <x v="0"/>
  </r>
  <r>
    <n v="20115"/>
    <x v="16"/>
    <s v="Marion"/>
    <n v="163"/>
    <n v="41"/>
    <n v="14"/>
    <n v="23"/>
    <n v="44"/>
    <n v="41"/>
    <n v="41"/>
    <n v="50"/>
    <n v="72"/>
    <n v="149"/>
    <n v="14"/>
    <x v="947"/>
    <x v="0"/>
  </r>
  <r>
    <n v="20117"/>
    <x v="16"/>
    <s v="Marshall"/>
    <n v="209"/>
    <n v="51"/>
    <n v="32"/>
    <n v="31"/>
    <n v="52"/>
    <n v="43"/>
    <n v="50"/>
    <n v="59"/>
    <n v="100"/>
    <n v="194"/>
    <n v="15"/>
    <x v="948"/>
    <x v="0"/>
  </r>
  <r>
    <n v="20119"/>
    <x v="16"/>
    <s v="Meade"/>
    <n v="46"/>
    <n v="11"/>
    <m/>
    <m/>
    <n v="12"/>
    <n v="11"/>
    <m/>
    <m/>
    <n v="22"/>
    <m/>
    <m/>
    <x v="949"/>
    <x v="0"/>
  </r>
  <r>
    <n v="20121"/>
    <x v="16"/>
    <s v="Miami"/>
    <n v="584"/>
    <n v="129"/>
    <n v="70"/>
    <n v="61"/>
    <n v="191"/>
    <n v="133"/>
    <n v="187"/>
    <n v="160"/>
    <n v="236"/>
    <n v="542"/>
    <n v="42"/>
    <x v="950"/>
    <x v="0"/>
  </r>
  <r>
    <n v="20123"/>
    <x v="16"/>
    <s v="Mitchell"/>
    <n v="98"/>
    <n v="32"/>
    <m/>
    <m/>
    <n v="24"/>
    <n v="20"/>
    <n v="28"/>
    <n v="17"/>
    <n v="53"/>
    <m/>
    <m/>
    <x v="951"/>
    <x v="0"/>
  </r>
  <r>
    <n v="20125"/>
    <x v="16"/>
    <s v="Montgomery"/>
    <n v="569"/>
    <n v="132"/>
    <n v="68"/>
    <n v="65"/>
    <n v="170"/>
    <n v="134"/>
    <n v="131"/>
    <n v="171"/>
    <n v="267"/>
    <n v="529"/>
    <n v="40"/>
    <x v="952"/>
    <x v="0"/>
  </r>
  <r>
    <n v="20127"/>
    <x v="16"/>
    <s v="Morris"/>
    <n v="191"/>
    <n v="28"/>
    <n v="20"/>
    <n v="24"/>
    <n v="65"/>
    <n v="54"/>
    <n v="46"/>
    <n v="69"/>
    <n v="76"/>
    <n v="167"/>
    <n v="24"/>
    <x v="953"/>
    <x v="0"/>
  </r>
  <r>
    <n v="20129"/>
    <x v="16"/>
    <s v="Morton"/>
    <n v="27"/>
    <m/>
    <m/>
    <m/>
    <m/>
    <m/>
    <m/>
    <m/>
    <n v="15"/>
    <m/>
    <m/>
    <x v="954"/>
    <x v="0"/>
  </r>
  <r>
    <n v="20131"/>
    <x v="16"/>
    <s v="Nemaha"/>
    <n v="129"/>
    <n v="32"/>
    <n v="19"/>
    <n v="14"/>
    <n v="40"/>
    <n v="24"/>
    <n v="22"/>
    <n v="31"/>
    <n v="76"/>
    <m/>
    <m/>
    <x v="955"/>
    <x v="0"/>
  </r>
  <r>
    <n v="20133"/>
    <x v="16"/>
    <s v="Neosho"/>
    <n v="180"/>
    <n v="29"/>
    <n v="21"/>
    <n v="25"/>
    <n v="63"/>
    <n v="42"/>
    <n v="48"/>
    <n v="49"/>
    <n v="83"/>
    <n v="161"/>
    <n v="19"/>
    <x v="956"/>
    <x v="0"/>
  </r>
  <r>
    <n v="20135"/>
    <x v="16"/>
    <s v="Ness"/>
    <n v="43"/>
    <m/>
    <m/>
    <m/>
    <n v="13"/>
    <n v="10"/>
    <m/>
    <m/>
    <n v="27"/>
    <m/>
    <m/>
    <x v="957"/>
    <x v="0"/>
  </r>
  <r>
    <n v="20137"/>
    <x v="16"/>
    <s v="Norton"/>
    <n v="73"/>
    <n v="19"/>
    <m/>
    <m/>
    <n v="18"/>
    <n v="16"/>
    <n v="16"/>
    <n v="24"/>
    <n v="33"/>
    <m/>
    <m/>
    <x v="958"/>
    <x v="0"/>
  </r>
  <r>
    <n v="20139"/>
    <x v="16"/>
    <s v="Osage"/>
    <n v="401"/>
    <n v="57"/>
    <n v="51"/>
    <n v="57"/>
    <n v="124"/>
    <n v="112"/>
    <n v="94"/>
    <n v="153"/>
    <n v="154"/>
    <n v="361"/>
    <n v="40"/>
    <x v="959"/>
    <x v="0"/>
  </r>
  <r>
    <n v="20141"/>
    <x v="16"/>
    <s v="Osborne"/>
    <n v="42"/>
    <n v="12"/>
    <m/>
    <m/>
    <n v="14"/>
    <m/>
    <m/>
    <m/>
    <n v="24"/>
    <m/>
    <m/>
    <x v="960"/>
    <x v="0"/>
  </r>
  <r>
    <n v="20143"/>
    <x v="16"/>
    <s v="Ottawa"/>
    <n v="106"/>
    <n v="24"/>
    <m/>
    <m/>
    <n v="32"/>
    <n v="31"/>
    <n v="30"/>
    <n v="29"/>
    <n v="47"/>
    <m/>
    <m/>
    <x v="961"/>
    <x v="0"/>
  </r>
  <r>
    <n v="20145"/>
    <x v="16"/>
    <s v="Pawnee"/>
    <n v="92"/>
    <n v="26"/>
    <m/>
    <m/>
    <n v="26"/>
    <n v="19"/>
    <n v="24"/>
    <n v="25"/>
    <n v="43"/>
    <m/>
    <m/>
    <x v="962"/>
    <x v="0"/>
  </r>
  <r>
    <n v="20147"/>
    <x v="16"/>
    <s v="Phillips"/>
    <n v="96"/>
    <n v="28"/>
    <m/>
    <m/>
    <n v="23"/>
    <n v="22"/>
    <n v="17"/>
    <n v="26"/>
    <n v="53"/>
    <m/>
    <m/>
    <x v="963"/>
    <x v="0"/>
  </r>
  <r>
    <n v="20149"/>
    <x v="16"/>
    <s v="Pottawatomie"/>
    <n v="897"/>
    <n v="109"/>
    <n v="101"/>
    <n v="94"/>
    <n v="315"/>
    <n v="278"/>
    <n v="295"/>
    <n v="371"/>
    <n v="231"/>
    <n v="771"/>
    <n v="126"/>
    <x v="964"/>
    <x v="0"/>
  </r>
  <r>
    <n v="20151"/>
    <x v="16"/>
    <s v="Pratt"/>
    <n v="117"/>
    <n v="23"/>
    <n v="17"/>
    <n v="19"/>
    <n v="39"/>
    <n v="19"/>
    <n v="37"/>
    <n v="36"/>
    <n v="44"/>
    <n v="103"/>
    <n v="14"/>
    <x v="965"/>
    <x v="0"/>
  </r>
  <r>
    <n v="20153"/>
    <x v="16"/>
    <s v="Rawlins"/>
    <n v="34"/>
    <m/>
    <m/>
    <n v="10"/>
    <m/>
    <m/>
    <m/>
    <m/>
    <n v="18"/>
    <m/>
    <m/>
    <x v="966"/>
    <x v="0"/>
  </r>
  <r>
    <n v="20155"/>
    <x v="16"/>
    <s v="Reno"/>
    <n v="951"/>
    <n v="178"/>
    <n v="133"/>
    <n v="132"/>
    <n v="262"/>
    <n v="246"/>
    <n v="231"/>
    <n v="287"/>
    <n v="433"/>
    <n v="872"/>
    <n v="79"/>
    <x v="967"/>
    <x v="0"/>
  </r>
  <r>
    <n v="20157"/>
    <x v="16"/>
    <s v="Republic"/>
    <n v="82"/>
    <m/>
    <m/>
    <n v="19"/>
    <n v="26"/>
    <n v="16"/>
    <n v="20"/>
    <n v="17"/>
    <n v="45"/>
    <m/>
    <m/>
    <x v="968"/>
    <x v="0"/>
  </r>
  <r>
    <n v="20159"/>
    <x v="16"/>
    <s v="Rice"/>
    <n v="139"/>
    <n v="36"/>
    <n v="15"/>
    <n v="18"/>
    <n v="45"/>
    <n v="25"/>
    <n v="38"/>
    <n v="44"/>
    <n v="57"/>
    <n v="123"/>
    <n v="16"/>
    <x v="969"/>
    <x v="0"/>
  </r>
  <r>
    <n v="20161"/>
    <x v="16"/>
    <s v="Riley"/>
    <n v="2641"/>
    <n v="405"/>
    <n v="241"/>
    <n v="324"/>
    <n v="923"/>
    <n v="748"/>
    <n v="1292"/>
    <n v="816"/>
    <n v="533"/>
    <n v="2181"/>
    <n v="459"/>
    <x v="970"/>
    <x v="0"/>
  </r>
  <r>
    <n v="20163"/>
    <x v="16"/>
    <s v="Rooks"/>
    <n v="79"/>
    <n v="19"/>
    <n v="16"/>
    <m/>
    <n v="22"/>
    <m/>
    <n v="14"/>
    <n v="15"/>
    <n v="50"/>
    <m/>
    <m/>
    <x v="971"/>
    <x v="0"/>
  </r>
  <r>
    <n v="20165"/>
    <x v="16"/>
    <s v="Rush"/>
    <n v="49"/>
    <n v="14"/>
    <m/>
    <m/>
    <n v="12"/>
    <n v="10"/>
    <n v="10"/>
    <n v="12"/>
    <n v="27"/>
    <m/>
    <m/>
    <x v="972"/>
    <x v="0"/>
  </r>
  <r>
    <n v="20167"/>
    <x v="16"/>
    <s v="Russell"/>
    <n v="121"/>
    <n v="22"/>
    <n v="18"/>
    <n v="22"/>
    <n v="29"/>
    <n v="30"/>
    <n v="20"/>
    <n v="32"/>
    <n v="69"/>
    <m/>
    <m/>
    <x v="973"/>
    <x v="0"/>
  </r>
  <r>
    <n v="20169"/>
    <x v="16"/>
    <s v="Saline"/>
    <n v="998"/>
    <n v="233"/>
    <n v="131"/>
    <n v="121"/>
    <n v="276"/>
    <n v="237"/>
    <n v="247"/>
    <n v="303"/>
    <n v="448"/>
    <n v="917"/>
    <n v="81"/>
    <x v="974"/>
    <x v="0"/>
  </r>
  <r>
    <n v="20171"/>
    <x v="16"/>
    <s v="Scott"/>
    <n v="47"/>
    <n v="19"/>
    <m/>
    <m/>
    <m/>
    <n v="11"/>
    <m/>
    <m/>
    <n v="29"/>
    <m/>
    <m/>
    <x v="975"/>
    <x v="0"/>
  </r>
  <r>
    <n v="20173"/>
    <x v="16"/>
    <s v="Sedgwick"/>
    <n v="10177"/>
    <n v="2018"/>
    <n v="1128"/>
    <n v="1245"/>
    <n v="2993"/>
    <n v="2793"/>
    <n v="3268"/>
    <n v="3488"/>
    <n v="3421"/>
    <n v="8964"/>
    <n v="1212"/>
    <x v="976"/>
    <x v="0"/>
  </r>
  <r>
    <n v="20175"/>
    <x v="16"/>
    <s v="Seward"/>
    <n v="109"/>
    <n v="25"/>
    <n v="14"/>
    <n v="13"/>
    <n v="34"/>
    <n v="23"/>
    <n v="34"/>
    <n v="22"/>
    <n v="53"/>
    <m/>
    <m/>
    <x v="977"/>
    <x v="0"/>
  </r>
  <r>
    <n v="20177"/>
    <x v="16"/>
    <s v="Shawnee"/>
    <n v="3976"/>
    <n v="710"/>
    <n v="404"/>
    <n v="494"/>
    <n v="1266"/>
    <n v="1102"/>
    <n v="1013"/>
    <n v="1351"/>
    <n v="1612"/>
    <n v="3506"/>
    <n v="470"/>
    <x v="978"/>
    <x v="0"/>
  </r>
  <r>
    <n v="20179"/>
    <x v="16"/>
    <s v="Sheridan"/>
    <n v="37"/>
    <m/>
    <m/>
    <m/>
    <n v="12"/>
    <m/>
    <m/>
    <m/>
    <n v="19"/>
    <m/>
    <m/>
    <x v="979"/>
    <x v="0"/>
  </r>
  <r>
    <n v="20181"/>
    <x v="16"/>
    <s v="Sherman"/>
    <n v="93"/>
    <n v="34"/>
    <n v="11"/>
    <n v="11"/>
    <n v="24"/>
    <n v="13"/>
    <n v="20"/>
    <n v="21"/>
    <n v="52"/>
    <m/>
    <m/>
    <x v="980"/>
    <x v="0"/>
  </r>
  <r>
    <n v="20183"/>
    <x v="16"/>
    <s v="Smith"/>
    <n v="80"/>
    <n v="22"/>
    <n v="10"/>
    <n v="13"/>
    <n v="20"/>
    <n v="15"/>
    <n v="13"/>
    <n v="18"/>
    <n v="49"/>
    <m/>
    <m/>
    <x v="981"/>
    <x v="0"/>
  </r>
  <r>
    <n v="20185"/>
    <x v="16"/>
    <s v="Stafford"/>
    <n v="50"/>
    <n v="12"/>
    <m/>
    <m/>
    <n v="14"/>
    <n v="10"/>
    <n v="14"/>
    <n v="12"/>
    <n v="24"/>
    <m/>
    <m/>
    <x v="982"/>
    <x v="0"/>
  </r>
  <r>
    <n v="20187"/>
    <x v="16"/>
    <s v="Stanton"/>
    <n v="12"/>
    <m/>
    <m/>
    <m/>
    <m/>
    <m/>
    <m/>
    <m/>
    <m/>
    <m/>
    <m/>
    <x v="983"/>
    <x v="0"/>
  </r>
  <r>
    <n v="20189"/>
    <x v="16"/>
    <s v="Stevens"/>
    <n v="34"/>
    <m/>
    <m/>
    <m/>
    <n v="10"/>
    <m/>
    <m/>
    <n v="14"/>
    <m/>
    <m/>
    <m/>
    <x v="984"/>
    <x v="0"/>
  </r>
  <r>
    <n v="20191"/>
    <x v="16"/>
    <s v="Sumner"/>
    <n v="444"/>
    <n v="94"/>
    <n v="40"/>
    <n v="52"/>
    <n v="140"/>
    <n v="118"/>
    <n v="111"/>
    <n v="147"/>
    <n v="186"/>
    <n v="392"/>
    <n v="52"/>
    <x v="985"/>
    <x v="0"/>
  </r>
  <r>
    <n v="20193"/>
    <x v="16"/>
    <s v="Thomas"/>
    <n v="94"/>
    <n v="34"/>
    <m/>
    <m/>
    <n v="24"/>
    <n v="18"/>
    <n v="14"/>
    <n v="20"/>
    <n v="60"/>
    <m/>
    <m/>
    <x v="986"/>
    <x v="0"/>
  </r>
  <r>
    <n v="20195"/>
    <x v="16"/>
    <s v="Trego"/>
    <n v="53"/>
    <m/>
    <n v="11"/>
    <m/>
    <n v="14"/>
    <n v="15"/>
    <m/>
    <m/>
    <n v="31"/>
    <m/>
    <m/>
    <x v="987"/>
    <x v="0"/>
  </r>
  <r>
    <n v="20197"/>
    <x v="16"/>
    <s v="Wabaunsee"/>
    <n v="170"/>
    <n v="30"/>
    <n v="16"/>
    <n v="21"/>
    <n v="45"/>
    <n v="58"/>
    <n v="38"/>
    <n v="61"/>
    <n v="71"/>
    <n v="158"/>
    <n v="11"/>
    <x v="988"/>
    <x v="0"/>
  </r>
  <r>
    <n v="20199"/>
    <x v="16"/>
    <s v="Wallace"/>
    <n v="27"/>
    <m/>
    <m/>
    <m/>
    <m/>
    <m/>
    <m/>
    <m/>
    <n v="17"/>
    <m/>
    <m/>
    <x v="989"/>
    <x v="0"/>
  </r>
  <r>
    <n v="20201"/>
    <x v="16"/>
    <s v="Washington"/>
    <n v="77"/>
    <n v="20"/>
    <m/>
    <m/>
    <n v="25"/>
    <n v="15"/>
    <n v="13"/>
    <n v="24"/>
    <n v="40"/>
    <m/>
    <m/>
    <x v="990"/>
    <x v="0"/>
  </r>
  <r>
    <n v="20203"/>
    <x v="16"/>
    <s v="Wichita"/>
    <n v="13"/>
    <m/>
    <m/>
    <m/>
    <m/>
    <m/>
    <m/>
    <m/>
    <m/>
    <m/>
    <m/>
    <x v="991"/>
    <x v="0"/>
  </r>
  <r>
    <n v="20205"/>
    <x v="16"/>
    <s v="Wilson"/>
    <n v="147"/>
    <n v="32"/>
    <n v="22"/>
    <n v="20"/>
    <n v="39"/>
    <n v="34"/>
    <n v="31"/>
    <n v="44"/>
    <n v="72"/>
    <m/>
    <m/>
    <x v="992"/>
    <x v="0"/>
  </r>
  <r>
    <n v="20207"/>
    <x v="16"/>
    <s v="Woodson"/>
    <n v="44"/>
    <m/>
    <m/>
    <m/>
    <n v="16"/>
    <n v="10"/>
    <n v="12"/>
    <n v="12"/>
    <n v="20"/>
    <m/>
    <m/>
    <x v="993"/>
    <x v="0"/>
  </r>
  <r>
    <n v="20209"/>
    <x v="16"/>
    <s v="Wyandotte"/>
    <n v="2011"/>
    <n v="418"/>
    <n v="216"/>
    <n v="249"/>
    <n v="638"/>
    <n v="490"/>
    <n v="509"/>
    <n v="632"/>
    <n v="870"/>
    <n v="1809"/>
    <n v="202"/>
    <x v="994"/>
    <x v="0"/>
  </r>
  <r>
    <n v="21001"/>
    <x v="17"/>
    <s v="Adair"/>
    <n v="339"/>
    <n v="73"/>
    <n v="33"/>
    <n v="45"/>
    <n v="103"/>
    <n v="85"/>
    <n v="79"/>
    <n v="103"/>
    <n v="157"/>
    <n v="311"/>
    <n v="28"/>
    <x v="995"/>
    <x v="0"/>
  </r>
  <r>
    <n v="21003"/>
    <x v="17"/>
    <s v="Allen"/>
    <n v="442"/>
    <n v="83"/>
    <n v="48"/>
    <n v="48"/>
    <n v="146"/>
    <n v="117"/>
    <n v="125"/>
    <n v="138"/>
    <n v="179"/>
    <n v="399"/>
    <n v="43"/>
    <x v="996"/>
    <x v="0"/>
  </r>
  <r>
    <n v="21005"/>
    <x v="17"/>
    <s v="Anderson"/>
    <n v="497"/>
    <n v="104"/>
    <n v="62"/>
    <n v="52"/>
    <n v="142"/>
    <n v="137"/>
    <n v="130"/>
    <n v="180"/>
    <n v="187"/>
    <n v="441"/>
    <n v="56"/>
    <x v="997"/>
    <x v="0"/>
  </r>
  <r>
    <n v="21007"/>
    <x v="17"/>
    <s v="Ballard"/>
    <n v="156"/>
    <n v="40"/>
    <n v="16"/>
    <n v="14"/>
    <n v="49"/>
    <n v="37"/>
    <n v="39"/>
    <n v="39"/>
    <n v="78"/>
    <n v="146"/>
    <n v="10"/>
    <x v="998"/>
    <x v="0"/>
  </r>
  <r>
    <n v="21009"/>
    <x v="17"/>
    <s v="Barren"/>
    <n v="757"/>
    <n v="127"/>
    <n v="76"/>
    <n v="95"/>
    <n v="241"/>
    <n v="218"/>
    <n v="196"/>
    <n v="252"/>
    <n v="309"/>
    <n v="692"/>
    <n v="65"/>
    <x v="999"/>
    <x v="0"/>
  </r>
  <r>
    <n v="21011"/>
    <x v="17"/>
    <s v="Bath"/>
    <n v="187"/>
    <n v="37"/>
    <n v="28"/>
    <n v="21"/>
    <n v="58"/>
    <n v="43"/>
    <n v="32"/>
    <n v="57"/>
    <n v="98"/>
    <n v="172"/>
    <n v="15"/>
    <x v="1000"/>
    <x v="0"/>
  </r>
  <r>
    <n v="21013"/>
    <x v="17"/>
    <s v="Bell"/>
    <n v="354"/>
    <n v="68"/>
    <n v="32"/>
    <n v="44"/>
    <n v="97"/>
    <n v="113"/>
    <n v="82"/>
    <n v="90"/>
    <n v="182"/>
    <n v="337"/>
    <n v="17"/>
    <x v="1001"/>
    <x v="0"/>
  </r>
  <r>
    <n v="21015"/>
    <x v="17"/>
    <s v="Boone"/>
    <n v="2522"/>
    <n v="594"/>
    <n v="331"/>
    <n v="356"/>
    <n v="699"/>
    <n v="542"/>
    <n v="814"/>
    <n v="803"/>
    <n v="905"/>
    <n v="2281"/>
    <n v="241"/>
    <x v="1002"/>
    <x v="0"/>
  </r>
  <r>
    <n v="21017"/>
    <x v="17"/>
    <s v="Bourbon"/>
    <n v="330"/>
    <n v="74"/>
    <n v="37"/>
    <n v="40"/>
    <n v="96"/>
    <n v="83"/>
    <n v="82"/>
    <n v="112"/>
    <n v="136"/>
    <n v="299"/>
    <n v="31"/>
    <x v="1003"/>
    <x v="0"/>
  </r>
  <r>
    <n v="21019"/>
    <x v="17"/>
    <s v="Boyd"/>
    <n v="1013"/>
    <n v="237"/>
    <n v="92"/>
    <n v="116"/>
    <n v="294"/>
    <n v="274"/>
    <n v="197"/>
    <n v="363"/>
    <n v="453"/>
    <n v="947"/>
    <n v="66"/>
    <x v="1004"/>
    <x v="0"/>
  </r>
  <r>
    <n v="21021"/>
    <x v="17"/>
    <s v="Boyle"/>
    <n v="501"/>
    <n v="108"/>
    <n v="55"/>
    <n v="52"/>
    <n v="165"/>
    <n v="121"/>
    <n v="127"/>
    <n v="176"/>
    <n v="198"/>
    <n v="457"/>
    <n v="44"/>
    <x v="1005"/>
    <x v="0"/>
  </r>
  <r>
    <n v="21023"/>
    <x v="17"/>
    <s v="Bracken"/>
    <n v="144"/>
    <n v="38"/>
    <n v="21"/>
    <n v="14"/>
    <n v="37"/>
    <n v="34"/>
    <n v="26"/>
    <n v="43"/>
    <n v="75"/>
    <m/>
    <m/>
    <x v="1006"/>
    <x v="0"/>
  </r>
  <r>
    <n v="21025"/>
    <x v="17"/>
    <s v="Breathitt"/>
    <n v="151"/>
    <n v="29"/>
    <n v="11"/>
    <n v="13"/>
    <n v="46"/>
    <n v="52"/>
    <n v="31"/>
    <n v="41"/>
    <n v="79"/>
    <m/>
    <m/>
    <x v="1007"/>
    <x v="0"/>
  </r>
  <r>
    <n v="21027"/>
    <x v="17"/>
    <s v="Breckinridge"/>
    <n v="557"/>
    <n v="80"/>
    <n v="69"/>
    <n v="77"/>
    <n v="177"/>
    <n v="154"/>
    <n v="107"/>
    <n v="206"/>
    <n v="244"/>
    <n v="505"/>
    <n v="52"/>
    <x v="1008"/>
    <x v="0"/>
  </r>
  <r>
    <n v="21029"/>
    <x v="17"/>
    <s v="Bullitt"/>
    <n v="1779"/>
    <n v="448"/>
    <n v="244"/>
    <n v="232"/>
    <n v="477"/>
    <n v="378"/>
    <n v="396"/>
    <n v="708"/>
    <n v="675"/>
    <n v="1628"/>
    <n v="150"/>
    <x v="1009"/>
    <x v="0"/>
  </r>
  <r>
    <n v="21031"/>
    <x v="17"/>
    <s v="Butler"/>
    <n v="287"/>
    <n v="63"/>
    <n v="25"/>
    <n v="34"/>
    <n v="73"/>
    <n v="92"/>
    <n v="63"/>
    <n v="94"/>
    <n v="130"/>
    <n v="265"/>
    <n v="22"/>
    <x v="1010"/>
    <x v="0"/>
  </r>
  <r>
    <n v="21033"/>
    <x v="17"/>
    <s v="Caldwell"/>
    <n v="269"/>
    <n v="37"/>
    <n v="29"/>
    <n v="38"/>
    <n v="83"/>
    <n v="82"/>
    <n v="70"/>
    <n v="93"/>
    <n v="106"/>
    <n v="253"/>
    <n v="16"/>
    <x v="1011"/>
    <x v="0"/>
  </r>
  <r>
    <n v="21035"/>
    <x v="17"/>
    <s v="Calloway"/>
    <n v="662"/>
    <n v="111"/>
    <n v="64"/>
    <n v="80"/>
    <n v="226"/>
    <n v="181"/>
    <n v="193"/>
    <n v="200"/>
    <n v="269"/>
    <n v="606"/>
    <n v="56"/>
    <x v="1012"/>
    <x v="0"/>
  </r>
  <r>
    <n v="21037"/>
    <x v="17"/>
    <s v="Campbell"/>
    <n v="1321"/>
    <n v="365"/>
    <n v="182"/>
    <n v="183"/>
    <n v="342"/>
    <n v="249"/>
    <n v="363"/>
    <n v="388"/>
    <n v="570"/>
    <n v="1203"/>
    <n v="117"/>
    <x v="1013"/>
    <x v="0"/>
  </r>
  <r>
    <n v="21039"/>
    <x v="17"/>
    <s v="Carlisle"/>
    <n v="77"/>
    <n v="21"/>
    <m/>
    <m/>
    <n v="20"/>
    <n v="21"/>
    <n v="18"/>
    <n v="24"/>
    <n v="35"/>
    <m/>
    <m/>
    <x v="1014"/>
    <x v="0"/>
  </r>
  <r>
    <n v="21041"/>
    <x v="17"/>
    <s v="Carroll"/>
    <n v="148"/>
    <n v="45"/>
    <n v="14"/>
    <n v="22"/>
    <n v="36"/>
    <n v="31"/>
    <n v="35"/>
    <n v="39"/>
    <n v="74"/>
    <m/>
    <m/>
    <x v="1015"/>
    <x v="0"/>
  </r>
  <r>
    <n v="21043"/>
    <x v="17"/>
    <s v="Carter"/>
    <n v="443"/>
    <n v="85"/>
    <n v="51"/>
    <n v="43"/>
    <n v="127"/>
    <n v="137"/>
    <n v="85"/>
    <n v="143"/>
    <n v="215"/>
    <n v="414"/>
    <n v="29"/>
    <x v="1016"/>
    <x v="0"/>
  </r>
  <r>
    <n v="21045"/>
    <x v="17"/>
    <s v="Casey"/>
    <n v="272"/>
    <n v="59"/>
    <n v="21"/>
    <n v="42"/>
    <n v="77"/>
    <n v="73"/>
    <n v="46"/>
    <n v="84"/>
    <n v="142"/>
    <n v="254"/>
    <n v="18"/>
    <x v="1017"/>
    <x v="0"/>
  </r>
  <r>
    <n v="21047"/>
    <x v="17"/>
    <s v="Christian"/>
    <n v="3825"/>
    <n v="558"/>
    <n v="393"/>
    <n v="407"/>
    <n v="1335"/>
    <n v="1132"/>
    <n v="1791"/>
    <n v="1247"/>
    <n v="787"/>
    <n v="3198"/>
    <n v="627"/>
    <x v="1018"/>
    <x v="0"/>
  </r>
  <r>
    <n v="21049"/>
    <x v="17"/>
    <s v="Clark"/>
    <n v="732"/>
    <n v="152"/>
    <n v="87"/>
    <n v="98"/>
    <n v="238"/>
    <n v="157"/>
    <n v="203"/>
    <n v="237"/>
    <n v="292"/>
    <n v="642"/>
    <n v="90"/>
    <x v="1019"/>
    <x v="0"/>
  </r>
  <r>
    <n v="21051"/>
    <x v="17"/>
    <s v="Clay"/>
    <n v="218"/>
    <n v="35"/>
    <n v="29"/>
    <n v="27"/>
    <n v="74"/>
    <n v="53"/>
    <n v="50"/>
    <n v="72"/>
    <n v="96"/>
    <n v="201"/>
    <n v="17"/>
    <x v="1020"/>
    <x v="0"/>
  </r>
  <r>
    <n v="21053"/>
    <x v="17"/>
    <s v="Clinton"/>
    <n v="143"/>
    <n v="24"/>
    <n v="21"/>
    <n v="19"/>
    <n v="41"/>
    <n v="38"/>
    <n v="25"/>
    <n v="35"/>
    <n v="83"/>
    <m/>
    <m/>
    <x v="1021"/>
    <x v="0"/>
  </r>
  <r>
    <n v="21055"/>
    <x v="17"/>
    <s v="Crittenden"/>
    <n v="174"/>
    <n v="25"/>
    <n v="18"/>
    <n v="27"/>
    <n v="57"/>
    <n v="47"/>
    <n v="45"/>
    <n v="53"/>
    <n v="76"/>
    <n v="157"/>
    <n v="17"/>
    <x v="1022"/>
    <x v="0"/>
  </r>
  <r>
    <n v="21057"/>
    <x v="17"/>
    <s v="Cumberland"/>
    <n v="127"/>
    <n v="29"/>
    <n v="12"/>
    <n v="18"/>
    <n v="34"/>
    <n v="34"/>
    <n v="19"/>
    <n v="36"/>
    <n v="72"/>
    <m/>
    <m/>
    <x v="1023"/>
    <x v="0"/>
  </r>
  <r>
    <n v="21059"/>
    <x v="17"/>
    <s v="Daviess"/>
    <n v="1713"/>
    <n v="348"/>
    <n v="185"/>
    <n v="203"/>
    <n v="546"/>
    <n v="431"/>
    <n v="432"/>
    <n v="569"/>
    <n v="712"/>
    <n v="1596"/>
    <n v="117"/>
    <x v="1024"/>
    <x v="0"/>
  </r>
  <r>
    <n v="21061"/>
    <x v="17"/>
    <s v="Edmonson"/>
    <n v="272"/>
    <n v="51"/>
    <n v="26"/>
    <n v="44"/>
    <n v="72"/>
    <n v="79"/>
    <n v="63"/>
    <n v="90"/>
    <n v="119"/>
    <n v="248"/>
    <n v="24"/>
    <x v="1025"/>
    <x v="0"/>
  </r>
  <r>
    <n v="21063"/>
    <x v="17"/>
    <s v="Elliott"/>
    <n v="82"/>
    <n v="18"/>
    <m/>
    <m/>
    <n v="23"/>
    <n v="25"/>
    <n v="26"/>
    <n v="30"/>
    <n v="26"/>
    <m/>
    <m/>
    <x v="1026"/>
    <x v="0"/>
  </r>
  <r>
    <n v="21065"/>
    <x v="17"/>
    <s v="Estill"/>
    <n v="238"/>
    <n v="41"/>
    <n v="22"/>
    <n v="28"/>
    <n v="83"/>
    <n v="64"/>
    <n v="72"/>
    <n v="86"/>
    <n v="80"/>
    <n v="215"/>
    <n v="23"/>
    <x v="1027"/>
    <x v="0"/>
  </r>
  <r>
    <n v="21067"/>
    <x v="17"/>
    <s v="Fayette"/>
    <n v="3985"/>
    <n v="845"/>
    <n v="514"/>
    <n v="480"/>
    <n v="1193"/>
    <n v="953"/>
    <n v="1147"/>
    <n v="1351"/>
    <n v="1487"/>
    <n v="3485"/>
    <n v="500"/>
    <x v="1028"/>
    <x v="0"/>
  </r>
  <r>
    <n v="21069"/>
    <x v="17"/>
    <s v="Fleming"/>
    <n v="253"/>
    <n v="48"/>
    <n v="24"/>
    <n v="46"/>
    <n v="75"/>
    <n v="60"/>
    <n v="55"/>
    <n v="88"/>
    <n v="110"/>
    <n v="237"/>
    <n v="16"/>
    <x v="1029"/>
    <x v="0"/>
  </r>
  <r>
    <n v="21071"/>
    <x v="17"/>
    <s v="Floyd"/>
    <n v="434"/>
    <n v="65"/>
    <n v="43"/>
    <n v="43"/>
    <n v="140"/>
    <n v="143"/>
    <n v="82"/>
    <n v="117"/>
    <n v="235"/>
    <n v="415"/>
    <n v="19"/>
    <x v="1030"/>
    <x v="0"/>
  </r>
  <r>
    <n v="21073"/>
    <x v="17"/>
    <s v="Franklin"/>
    <n v="880"/>
    <n v="196"/>
    <n v="110"/>
    <n v="106"/>
    <n v="263"/>
    <n v="205"/>
    <n v="215"/>
    <n v="318"/>
    <n v="347"/>
    <n v="762"/>
    <n v="118"/>
    <x v="1031"/>
    <x v="0"/>
  </r>
  <r>
    <n v="21075"/>
    <x v="17"/>
    <s v="Fulton"/>
    <n v="106"/>
    <n v="26"/>
    <m/>
    <m/>
    <n v="40"/>
    <n v="23"/>
    <n v="25"/>
    <n v="26"/>
    <n v="55"/>
    <m/>
    <m/>
    <x v="1032"/>
    <x v="0"/>
  </r>
  <r>
    <n v="21077"/>
    <x v="17"/>
    <s v="Gallatin"/>
    <n v="146"/>
    <n v="40"/>
    <n v="27"/>
    <n v="28"/>
    <n v="30"/>
    <n v="21"/>
    <n v="33"/>
    <n v="48"/>
    <n v="65"/>
    <m/>
    <m/>
    <x v="1033"/>
    <x v="0"/>
  </r>
  <r>
    <n v="21079"/>
    <x v="17"/>
    <s v="Garrard"/>
    <n v="400"/>
    <n v="72"/>
    <n v="42"/>
    <n v="55"/>
    <n v="140"/>
    <n v="91"/>
    <n v="101"/>
    <n v="151"/>
    <n v="148"/>
    <n v="356"/>
    <n v="44"/>
    <x v="1034"/>
    <x v="0"/>
  </r>
  <r>
    <n v="21081"/>
    <x v="17"/>
    <s v="Grant"/>
    <n v="429"/>
    <n v="120"/>
    <n v="39"/>
    <n v="74"/>
    <n v="109"/>
    <n v="87"/>
    <n v="143"/>
    <n v="114"/>
    <n v="172"/>
    <n v="400"/>
    <n v="29"/>
    <x v="1035"/>
    <x v="0"/>
  </r>
  <r>
    <n v="21083"/>
    <x v="17"/>
    <s v="Graves"/>
    <n v="609"/>
    <n v="134"/>
    <n v="71"/>
    <n v="73"/>
    <n v="176"/>
    <n v="155"/>
    <n v="146"/>
    <n v="207"/>
    <n v="256"/>
    <n v="555"/>
    <n v="54"/>
    <x v="1036"/>
    <x v="0"/>
  </r>
  <r>
    <n v="21085"/>
    <x v="17"/>
    <s v="Grayson"/>
    <n v="565"/>
    <n v="98"/>
    <n v="65"/>
    <n v="57"/>
    <n v="177"/>
    <n v="168"/>
    <n v="108"/>
    <n v="220"/>
    <n v="237"/>
    <n v="511"/>
    <n v="54"/>
    <x v="1037"/>
    <x v="0"/>
  </r>
  <r>
    <n v="21087"/>
    <x v="17"/>
    <s v="Green"/>
    <n v="197"/>
    <n v="41"/>
    <n v="27"/>
    <n v="31"/>
    <n v="56"/>
    <n v="42"/>
    <n v="51"/>
    <n v="59"/>
    <n v="87"/>
    <n v="180"/>
    <n v="17"/>
    <x v="1038"/>
    <x v="0"/>
  </r>
  <r>
    <n v="21089"/>
    <x v="17"/>
    <s v="Greenup"/>
    <n v="769"/>
    <n v="165"/>
    <n v="92"/>
    <n v="98"/>
    <n v="212"/>
    <n v="202"/>
    <n v="155"/>
    <n v="234"/>
    <n v="380"/>
    <n v="733"/>
    <n v="36"/>
    <x v="1039"/>
    <x v="0"/>
  </r>
  <r>
    <n v="21091"/>
    <x v="17"/>
    <s v="Hancock"/>
    <n v="169"/>
    <n v="44"/>
    <n v="21"/>
    <n v="18"/>
    <n v="42"/>
    <n v="44"/>
    <n v="35"/>
    <n v="65"/>
    <n v="69"/>
    <n v="157"/>
    <n v="12"/>
    <x v="1040"/>
    <x v="0"/>
  </r>
  <r>
    <n v="21093"/>
    <x v="17"/>
    <s v="Hardin"/>
    <n v="8140"/>
    <n v="1124"/>
    <n v="774"/>
    <n v="929"/>
    <n v="2397"/>
    <n v="2916"/>
    <n v="1647"/>
    <n v="3824"/>
    <n v="2669"/>
    <n v="6799"/>
    <n v="1341"/>
    <x v="1041"/>
    <x v="0"/>
  </r>
  <r>
    <n v="21095"/>
    <x v="17"/>
    <s v="Harlan"/>
    <n v="429"/>
    <n v="67"/>
    <n v="31"/>
    <n v="44"/>
    <n v="142"/>
    <n v="145"/>
    <n v="79"/>
    <n v="121"/>
    <n v="229"/>
    <n v="414"/>
    <n v="15"/>
    <x v="1042"/>
    <x v="0"/>
  </r>
  <r>
    <n v="21097"/>
    <x v="17"/>
    <s v="Harrison"/>
    <n v="322"/>
    <n v="66"/>
    <n v="45"/>
    <n v="47"/>
    <n v="97"/>
    <n v="67"/>
    <n v="63"/>
    <n v="104"/>
    <n v="155"/>
    <n v="299"/>
    <n v="23"/>
    <x v="1043"/>
    <x v="0"/>
  </r>
  <r>
    <n v="21099"/>
    <x v="17"/>
    <s v="Hart"/>
    <n v="353"/>
    <n v="63"/>
    <n v="39"/>
    <n v="46"/>
    <n v="111"/>
    <n v="94"/>
    <n v="89"/>
    <n v="125"/>
    <n v="139"/>
    <n v="321"/>
    <n v="32"/>
    <x v="1044"/>
    <x v="0"/>
  </r>
  <r>
    <n v="21101"/>
    <x v="17"/>
    <s v="Henderson"/>
    <n v="654"/>
    <n v="148"/>
    <n v="71"/>
    <n v="90"/>
    <n v="200"/>
    <n v="145"/>
    <n v="154"/>
    <n v="215"/>
    <n v="285"/>
    <n v="599"/>
    <n v="55"/>
    <x v="1045"/>
    <x v="0"/>
  </r>
  <r>
    <n v="21103"/>
    <x v="17"/>
    <s v="Henry"/>
    <n v="267"/>
    <n v="56"/>
    <n v="39"/>
    <n v="30"/>
    <n v="83"/>
    <n v="59"/>
    <n v="71"/>
    <n v="75"/>
    <n v="121"/>
    <n v="242"/>
    <n v="25"/>
    <x v="1046"/>
    <x v="0"/>
  </r>
  <r>
    <n v="21105"/>
    <x v="17"/>
    <s v="Hickman"/>
    <n v="85"/>
    <m/>
    <m/>
    <n v="14"/>
    <n v="24"/>
    <n v="28"/>
    <n v="19"/>
    <n v="27"/>
    <n v="39"/>
    <m/>
    <m/>
    <x v="1047"/>
    <x v="0"/>
  </r>
  <r>
    <n v="21107"/>
    <x v="17"/>
    <s v="Hopkins"/>
    <n v="909"/>
    <n v="166"/>
    <n v="82"/>
    <n v="109"/>
    <n v="295"/>
    <n v="257"/>
    <n v="206"/>
    <n v="310"/>
    <n v="393"/>
    <n v="838"/>
    <n v="71"/>
    <x v="1048"/>
    <x v="0"/>
  </r>
  <r>
    <n v="21109"/>
    <x v="17"/>
    <s v="Jackson"/>
    <n v="193"/>
    <n v="25"/>
    <n v="21"/>
    <n v="35"/>
    <n v="52"/>
    <n v="60"/>
    <n v="49"/>
    <n v="62"/>
    <n v="82"/>
    <n v="175"/>
    <n v="18"/>
    <x v="1049"/>
    <x v="0"/>
  </r>
  <r>
    <n v="21111"/>
    <x v="17"/>
    <s v="Jefferson"/>
    <n v="10868"/>
    <n v="2810"/>
    <n v="1527"/>
    <n v="1471"/>
    <n v="2859"/>
    <n v="2201"/>
    <n v="2503"/>
    <n v="3778"/>
    <n v="4587"/>
    <n v="9517"/>
    <n v="1350"/>
    <x v="1050"/>
    <x v="0"/>
  </r>
  <r>
    <n v="21113"/>
    <x v="17"/>
    <s v="Jessamine"/>
    <n v="799"/>
    <n v="160"/>
    <n v="85"/>
    <n v="112"/>
    <n v="237"/>
    <n v="205"/>
    <n v="223"/>
    <n v="265"/>
    <n v="311"/>
    <n v="730"/>
    <n v="69"/>
    <x v="1051"/>
    <x v="0"/>
  </r>
  <r>
    <n v="21115"/>
    <x v="17"/>
    <s v="Johnson"/>
    <n v="401"/>
    <n v="79"/>
    <n v="34"/>
    <n v="34"/>
    <n v="119"/>
    <n v="135"/>
    <n v="77"/>
    <n v="109"/>
    <n v="215"/>
    <n v="386"/>
    <n v="15"/>
    <x v="1052"/>
    <x v="0"/>
  </r>
  <r>
    <n v="21117"/>
    <x v="17"/>
    <s v="Kenton"/>
    <n v="2391"/>
    <n v="655"/>
    <n v="362"/>
    <n v="314"/>
    <n v="608"/>
    <n v="452"/>
    <n v="737"/>
    <n v="687"/>
    <n v="967"/>
    <n v="2197"/>
    <n v="194"/>
    <x v="1053"/>
    <x v="0"/>
  </r>
  <r>
    <n v="21119"/>
    <x v="17"/>
    <s v="Knott"/>
    <n v="224"/>
    <n v="40"/>
    <n v="21"/>
    <n v="17"/>
    <n v="80"/>
    <n v="66"/>
    <n v="38"/>
    <n v="43"/>
    <n v="143"/>
    <m/>
    <m/>
    <x v="1054"/>
    <x v="0"/>
  </r>
  <r>
    <n v="21121"/>
    <x v="17"/>
    <s v="Knox"/>
    <n v="483"/>
    <n v="91"/>
    <n v="42"/>
    <n v="61"/>
    <n v="174"/>
    <n v="115"/>
    <n v="117"/>
    <n v="157"/>
    <n v="209"/>
    <n v="456"/>
    <n v="27"/>
    <x v="1055"/>
    <x v="0"/>
  </r>
  <r>
    <n v="21123"/>
    <x v="17"/>
    <s v="Larue"/>
    <n v="376"/>
    <n v="77"/>
    <n v="48"/>
    <n v="48"/>
    <n v="99"/>
    <n v="104"/>
    <n v="72"/>
    <n v="149"/>
    <n v="155"/>
    <n v="333"/>
    <n v="43"/>
    <x v="1056"/>
    <x v="0"/>
  </r>
  <r>
    <n v="21125"/>
    <x v="17"/>
    <s v="Laurel"/>
    <n v="1188"/>
    <n v="226"/>
    <n v="130"/>
    <n v="142"/>
    <n v="347"/>
    <n v="343"/>
    <n v="287"/>
    <n v="379"/>
    <n v="522"/>
    <n v="1119"/>
    <n v="69"/>
    <x v="1057"/>
    <x v="0"/>
  </r>
  <r>
    <n v="21127"/>
    <x v="17"/>
    <s v="Lawrence"/>
    <n v="269"/>
    <n v="43"/>
    <n v="25"/>
    <n v="38"/>
    <n v="79"/>
    <n v="84"/>
    <n v="52"/>
    <n v="82"/>
    <n v="135"/>
    <n v="255"/>
    <n v="14"/>
    <x v="1058"/>
    <x v="0"/>
  </r>
  <r>
    <n v="21129"/>
    <x v="17"/>
    <s v="Lee"/>
    <n v="129"/>
    <n v="23"/>
    <n v="12"/>
    <n v="14"/>
    <n v="48"/>
    <n v="32"/>
    <n v="21"/>
    <n v="39"/>
    <n v="69"/>
    <n v="118"/>
    <n v="11"/>
    <x v="1059"/>
    <x v="0"/>
  </r>
  <r>
    <n v="21131"/>
    <x v="17"/>
    <s v="Leslie"/>
    <n v="108"/>
    <n v="24"/>
    <n v="12"/>
    <n v="12"/>
    <n v="32"/>
    <n v="28"/>
    <n v="15"/>
    <n v="34"/>
    <n v="59"/>
    <m/>
    <m/>
    <x v="1060"/>
    <x v="0"/>
  </r>
  <r>
    <n v="21133"/>
    <x v="17"/>
    <s v="Letcher"/>
    <n v="279"/>
    <n v="53"/>
    <n v="28"/>
    <n v="34"/>
    <n v="93"/>
    <n v="71"/>
    <n v="33"/>
    <n v="73"/>
    <n v="173"/>
    <m/>
    <m/>
    <x v="1061"/>
    <x v="0"/>
  </r>
  <r>
    <n v="21135"/>
    <x v="17"/>
    <s v="Lewis"/>
    <n v="217"/>
    <n v="60"/>
    <n v="18"/>
    <n v="28"/>
    <n v="64"/>
    <n v="47"/>
    <n v="33"/>
    <n v="78"/>
    <n v="106"/>
    <n v="197"/>
    <n v="19"/>
    <x v="1062"/>
    <x v="0"/>
  </r>
  <r>
    <n v="21137"/>
    <x v="17"/>
    <s v="Lincoln"/>
    <n v="459"/>
    <n v="73"/>
    <n v="46"/>
    <n v="68"/>
    <n v="147"/>
    <n v="125"/>
    <n v="103"/>
    <n v="157"/>
    <n v="199"/>
    <n v="425"/>
    <n v="34"/>
    <x v="1063"/>
    <x v="0"/>
  </r>
  <r>
    <n v="21139"/>
    <x v="17"/>
    <s v="Livingston"/>
    <n v="162"/>
    <n v="32"/>
    <n v="21"/>
    <n v="16"/>
    <n v="50"/>
    <n v="43"/>
    <n v="35"/>
    <n v="56"/>
    <n v="71"/>
    <n v="147"/>
    <n v="15"/>
    <x v="1064"/>
    <x v="0"/>
  </r>
  <r>
    <n v="21141"/>
    <x v="17"/>
    <s v="Logan"/>
    <n v="514"/>
    <n v="112"/>
    <n v="47"/>
    <n v="61"/>
    <n v="149"/>
    <n v="145"/>
    <n v="145"/>
    <n v="156"/>
    <n v="213"/>
    <n v="465"/>
    <n v="49"/>
    <x v="1065"/>
    <x v="0"/>
  </r>
  <r>
    <n v="21143"/>
    <x v="17"/>
    <s v="Lyon"/>
    <n v="205"/>
    <n v="38"/>
    <n v="19"/>
    <n v="30"/>
    <n v="60"/>
    <n v="58"/>
    <n v="34"/>
    <n v="82"/>
    <n v="89"/>
    <n v="187"/>
    <n v="18"/>
    <x v="1066"/>
    <x v="0"/>
  </r>
  <r>
    <n v="21145"/>
    <x v="17"/>
    <s v="McCracken"/>
    <n v="1221"/>
    <n v="272"/>
    <n v="150"/>
    <n v="153"/>
    <n v="357"/>
    <n v="289"/>
    <n v="314"/>
    <n v="375"/>
    <n v="532"/>
    <n v="1102"/>
    <n v="119"/>
    <x v="1067"/>
    <x v="0"/>
  </r>
  <r>
    <n v="21147"/>
    <x v="17"/>
    <s v="McCreary"/>
    <n v="335"/>
    <n v="53"/>
    <n v="36"/>
    <n v="37"/>
    <n v="111"/>
    <n v="98"/>
    <n v="79"/>
    <n v="103"/>
    <n v="153"/>
    <n v="322"/>
    <n v="13"/>
    <x v="1068"/>
    <x v="0"/>
  </r>
  <r>
    <n v="21149"/>
    <x v="17"/>
    <s v="McLean"/>
    <n v="117"/>
    <n v="23"/>
    <m/>
    <m/>
    <n v="33"/>
    <n v="40"/>
    <n v="26"/>
    <n v="27"/>
    <n v="64"/>
    <m/>
    <m/>
    <x v="1069"/>
    <x v="0"/>
  </r>
  <r>
    <n v="21151"/>
    <x v="17"/>
    <s v="Madison"/>
    <n v="2211"/>
    <n v="382"/>
    <n v="245"/>
    <n v="274"/>
    <n v="684"/>
    <n v="626"/>
    <n v="737"/>
    <n v="788"/>
    <n v="686"/>
    <n v="1998"/>
    <n v="213"/>
    <x v="1070"/>
    <x v="0"/>
  </r>
  <r>
    <n v="21153"/>
    <x v="17"/>
    <s v="Magoffin"/>
    <n v="105"/>
    <n v="25"/>
    <m/>
    <m/>
    <n v="29"/>
    <n v="29"/>
    <n v="22"/>
    <n v="27"/>
    <n v="56"/>
    <m/>
    <m/>
    <x v="1071"/>
    <x v="0"/>
  </r>
  <r>
    <n v="21155"/>
    <x v="17"/>
    <s v="Marion"/>
    <n v="285"/>
    <n v="68"/>
    <n v="19"/>
    <n v="41"/>
    <n v="85"/>
    <n v="72"/>
    <n v="47"/>
    <n v="105"/>
    <n v="133"/>
    <n v="256"/>
    <n v="29"/>
    <x v="1072"/>
    <x v="0"/>
  </r>
  <r>
    <n v="21157"/>
    <x v="17"/>
    <s v="Marshall"/>
    <n v="686"/>
    <n v="150"/>
    <n v="69"/>
    <n v="86"/>
    <n v="203"/>
    <n v="178"/>
    <n v="165"/>
    <n v="215"/>
    <n v="306"/>
    <n v="640"/>
    <n v="46"/>
    <x v="1073"/>
    <x v="0"/>
  </r>
  <r>
    <n v="21159"/>
    <x v="17"/>
    <s v="Martin"/>
    <n v="101"/>
    <m/>
    <m/>
    <n v="16"/>
    <n v="35"/>
    <n v="26"/>
    <n v="15"/>
    <n v="25"/>
    <n v="61"/>
    <m/>
    <m/>
    <x v="1074"/>
    <x v="0"/>
  </r>
  <r>
    <n v="21161"/>
    <x v="17"/>
    <s v="Mason"/>
    <n v="236"/>
    <n v="49"/>
    <n v="31"/>
    <n v="36"/>
    <n v="68"/>
    <n v="52"/>
    <n v="45"/>
    <n v="80"/>
    <n v="111"/>
    <n v="220"/>
    <n v="16"/>
    <x v="1075"/>
    <x v="0"/>
  </r>
  <r>
    <n v="21163"/>
    <x v="17"/>
    <s v="Meade"/>
    <n v="1867"/>
    <n v="311"/>
    <n v="171"/>
    <n v="192"/>
    <n v="577"/>
    <n v="616"/>
    <n v="432"/>
    <n v="878"/>
    <n v="557"/>
    <n v="1610"/>
    <n v="257"/>
    <x v="1076"/>
    <x v="0"/>
  </r>
  <r>
    <n v="21165"/>
    <x v="17"/>
    <s v="Menifee"/>
    <n v="111"/>
    <n v="19"/>
    <m/>
    <m/>
    <n v="43"/>
    <n v="30"/>
    <n v="23"/>
    <n v="45"/>
    <n v="43"/>
    <m/>
    <m/>
    <x v="1077"/>
    <x v="0"/>
  </r>
  <r>
    <n v="21167"/>
    <x v="17"/>
    <s v="Mercer"/>
    <n v="470"/>
    <n v="83"/>
    <n v="46"/>
    <n v="58"/>
    <n v="142"/>
    <n v="141"/>
    <n v="127"/>
    <n v="182"/>
    <n v="161"/>
    <n v="418"/>
    <n v="52"/>
    <x v="1078"/>
    <x v="0"/>
  </r>
  <r>
    <n v="21169"/>
    <x v="17"/>
    <s v="Metcalfe"/>
    <n v="137"/>
    <n v="29"/>
    <n v="17"/>
    <n v="14"/>
    <n v="38"/>
    <n v="39"/>
    <n v="36"/>
    <n v="38"/>
    <n v="63"/>
    <n v="122"/>
    <n v="15"/>
    <x v="1079"/>
    <x v="0"/>
  </r>
  <r>
    <n v="21171"/>
    <x v="17"/>
    <s v="Monroe"/>
    <n v="144"/>
    <n v="21"/>
    <n v="18"/>
    <n v="17"/>
    <n v="47"/>
    <n v="41"/>
    <n v="30"/>
    <n v="51"/>
    <n v="63"/>
    <m/>
    <m/>
    <x v="1080"/>
    <x v="0"/>
  </r>
  <r>
    <n v="21173"/>
    <x v="17"/>
    <s v="Montgomery"/>
    <n v="496"/>
    <n v="99"/>
    <n v="61"/>
    <n v="81"/>
    <n v="143"/>
    <n v="112"/>
    <n v="141"/>
    <n v="169"/>
    <n v="186"/>
    <n v="466"/>
    <n v="30"/>
    <x v="1081"/>
    <x v="0"/>
  </r>
  <r>
    <n v="21175"/>
    <x v="17"/>
    <s v="Morgan"/>
    <n v="195"/>
    <n v="33"/>
    <n v="23"/>
    <n v="26"/>
    <n v="55"/>
    <n v="58"/>
    <n v="43"/>
    <n v="52"/>
    <n v="100"/>
    <n v="184"/>
    <n v="11"/>
    <x v="1082"/>
    <x v="0"/>
  </r>
  <r>
    <n v="21177"/>
    <x v="17"/>
    <s v="Muhlenberg"/>
    <n v="489"/>
    <n v="79"/>
    <n v="47"/>
    <n v="68"/>
    <n v="146"/>
    <n v="149"/>
    <n v="114"/>
    <n v="156"/>
    <n v="219"/>
    <n v="456"/>
    <n v="33"/>
    <x v="1083"/>
    <x v="0"/>
  </r>
  <r>
    <n v="21179"/>
    <x v="17"/>
    <s v="Nelson"/>
    <n v="997"/>
    <n v="242"/>
    <n v="113"/>
    <n v="136"/>
    <n v="278"/>
    <n v="228"/>
    <n v="224"/>
    <n v="350"/>
    <n v="423"/>
    <n v="916"/>
    <n v="81"/>
    <x v="1084"/>
    <x v="0"/>
  </r>
  <r>
    <n v="21181"/>
    <x v="17"/>
    <s v="Nicholas"/>
    <n v="131"/>
    <n v="24"/>
    <n v="21"/>
    <n v="21"/>
    <n v="32"/>
    <n v="33"/>
    <n v="30"/>
    <n v="44"/>
    <n v="57"/>
    <m/>
    <m/>
    <x v="1085"/>
    <x v="0"/>
  </r>
  <r>
    <n v="21183"/>
    <x v="17"/>
    <s v="Ohio"/>
    <n v="401"/>
    <n v="66"/>
    <n v="35"/>
    <n v="49"/>
    <n v="130"/>
    <n v="121"/>
    <n v="89"/>
    <n v="114"/>
    <n v="198"/>
    <n v="377"/>
    <n v="24"/>
    <x v="1086"/>
    <x v="0"/>
  </r>
  <r>
    <n v="21185"/>
    <x v="17"/>
    <s v="Oldham"/>
    <n v="1295"/>
    <n v="319"/>
    <n v="152"/>
    <n v="181"/>
    <n v="334"/>
    <n v="309"/>
    <n v="329"/>
    <n v="533"/>
    <n v="433"/>
    <n v="1170"/>
    <n v="125"/>
    <x v="1087"/>
    <x v="0"/>
  </r>
  <r>
    <n v="21187"/>
    <x v="17"/>
    <s v="Owen"/>
    <n v="170"/>
    <n v="36"/>
    <n v="22"/>
    <n v="23"/>
    <n v="52"/>
    <n v="37"/>
    <n v="48"/>
    <n v="57"/>
    <n v="65"/>
    <n v="159"/>
    <n v="11"/>
    <x v="1088"/>
    <x v="0"/>
  </r>
  <r>
    <n v="21189"/>
    <x v="17"/>
    <s v="Owsley"/>
    <n v="53"/>
    <m/>
    <m/>
    <m/>
    <n v="13"/>
    <n v="25"/>
    <m/>
    <m/>
    <n v="23"/>
    <m/>
    <m/>
    <x v="1089"/>
    <x v="0"/>
  </r>
  <r>
    <n v="21191"/>
    <x v="17"/>
    <s v="Pendleton"/>
    <n v="261"/>
    <n v="67"/>
    <n v="36"/>
    <n v="34"/>
    <n v="70"/>
    <n v="54"/>
    <n v="69"/>
    <n v="82"/>
    <n v="110"/>
    <n v="240"/>
    <n v="21"/>
    <x v="1090"/>
    <x v="0"/>
  </r>
  <r>
    <n v="21193"/>
    <x v="17"/>
    <s v="Perry"/>
    <n v="438"/>
    <n v="95"/>
    <n v="49"/>
    <n v="50"/>
    <n v="124"/>
    <n v="120"/>
    <n v="55"/>
    <n v="128"/>
    <n v="255"/>
    <n v="422"/>
    <n v="16"/>
    <x v="1091"/>
    <x v="0"/>
  </r>
  <r>
    <n v="21195"/>
    <x v="17"/>
    <s v="Pike"/>
    <n v="778"/>
    <n v="129"/>
    <n v="79"/>
    <n v="107"/>
    <n v="249"/>
    <n v="214"/>
    <n v="143"/>
    <n v="235"/>
    <n v="400"/>
    <n v="748"/>
    <n v="29"/>
    <x v="1092"/>
    <x v="0"/>
  </r>
  <r>
    <n v="21197"/>
    <x v="17"/>
    <s v="Powell"/>
    <n v="241"/>
    <n v="48"/>
    <n v="26"/>
    <n v="27"/>
    <n v="77"/>
    <n v="63"/>
    <n v="58"/>
    <n v="77"/>
    <n v="106"/>
    <n v="229"/>
    <n v="12"/>
    <x v="1093"/>
    <x v="0"/>
  </r>
  <r>
    <n v="21199"/>
    <x v="17"/>
    <s v="Pulaski"/>
    <n v="1565"/>
    <n v="287"/>
    <n v="164"/>
    <n v="193"/>
    <n v="513"/>
    <n v="408"/>
    <n v="364"/>
    <n v="499"/>
    <n v="702"/>
    <n v="1450"/>
    <n v="115"/>
    <x v="1094"/>
    <x v="0"/>
  </r>
  <r>
    <n v="21201"/>
    <x v="17"/>
    <s v="Robertson"/>
    <n v="52"/>
    <n v="10"/>
    <m/>
    <m/>
    <n v="19"/>
    <n v="12"/>
    <n v="11"/>
    <n v="18"/>
    <n v="23"/>
    <m/>
    <m/>
    <x v="1095"/>
    <x v="0"/>
  </r>
  <r>
    <n v="21203"/>
    <x v="17"/>
    <s v="Rockcastle"/>
    <n v="296"/>
    <n v="46"/>
    <n v="31"/>
    <n v="40"/>
    <n v="103"/>
    <n v="76"/>
    <n v="73"/>
    <n v="91"/>
    <n v="132"/>
    <n v="275"/>
    <n v="21"/>
    <x v="1096"/>
    <x v="0"/>
  </r>
  <r>
    <n v="21205"/>
    <x v="17"/>
    <s v="Rowan"/>
    <n v="339"/>
    <n v="77"/>
    <n v="36"/>
    <n v="44"/>
    <n v="103"/>
    <n v="79"/>
    <n v="94"/>
    <n v="95"/>
    <n v="150"/>
    <n v="310"/>
    <n v="29"/>
    <x v="1097"/>
    <x v="0"/>
  </r>
  <r>
    <n v="21207"/>
    <x v="17"/>
    <s v="Russell"/>
    <n v="322"/>
    <n v="72"/>
    <n v="39"/>
    <n v="38"/>
    <n v="86"/>
    <n v="87"/>
    <n v="56"/>
    <n v="89"/>
    <n v="177"/>
    <n v="302"/>
    <n v="20"/>
    <x v="1098"/>
    <x v="0"/>
  </r>
  <r>
    <n v="21209"/>
    <x v="17"/>
    <s v="Scott"/>
    <n v="1025"/>
    <n v="182"/>
    <n v="123"/>
    <n v="127"/>
    <n v="310"/>
    <n v="283"/>
    <n v="336"/>
    <n v="372"/>
    <n v="317"/>
    <n v="913"/>
    <n v="112"/>
    <x v="1099"/>
    <x v="0"/>
  </r>
  <r>
    <n v="21211"/>
    <x v="17"/>
    <s v="Shelby"/>
    <n v="862"/>
    <n v="188"/>
    <n v="103"/>
    <n v="121"/>
    <n v="235"/>
    <n v="215"/>
    <n v="234"/>
    <n v="300"/>
    <n v="328"/>
    <n v="779"/>
    <n v="83"/>
    <x v="1100"/>
    <x v="0"/>
  </r>
  <r>
    <n v="21213"/>
    <x v="17"/>
    <s v="Simpson"/>
    <n v="415"/>
    <n v="80"/>
    <n v="37"/>
    <n v="46"/>
    <n v="149"/>
    <n v="103"/>
    <n v="102"/>
    <n v="139"/>
    <n v="174"/>
    <n v="376"/>
    <n v="39"/>
    <x v="1101"/>
    <x v="0"/>
  </r>
  <r>
    <n v="21215"/>
    <x v="17"/>
    <s v="Spencer"/>
    <n v="457"/>
    <n v="100"/>
    <n v="58"/>
    <n v="64"/>
    <n v="130"/>
    <n v="105"/>
    <n v="118"/>
    <n v="185"/>
    <n v="154"/>
    <n v="412"/>
    <n v="45"/>
    <x v="1102"/>
    <x v="0"/>
  </r>
  <r>
    <n v="21217"/>
    <x v="17"/>
    <s v="Taylor"/>
    <n v="409"/>
    <n v="83"/>
    <n v="44"/>
    <n v="55"/>
    <n v="129"/>
    <n v="98"/>
    <n v="86"/>
    <n v="141"/>
    <n v="182"/>
    <n v="381"/>
    <n v="28"/>
    <x v="1103"/>
    <x v="0"/>
  </r>
  <r>
    <n v="21219"/>
    <x v="17"/>
    <s v="Todd"/>
    <n v="313"/>
    <n v="43"/>
    <n v="30"/>
    <n v="32"/>
    <n v="96"/>
    <n v="112"/>
    <n v="91"/>
    <n v="116"/>
    <n v="106"/>
    <n v="285"/>
    <n v="28"/>
    <x v="1104"/>
    <x v="0"/>
  </r>
  <r>
    <n v="21221"/>
    <x v="17"/>
    <s v="Trigg"/>
    <n v="637"/>
    <n v="106"/>
    <n v="55"/>
    <n v="70"/>
    <n v="193"/>
    <n v="213"/>
    <n v="147"/>
    <n v="279"/>
    <n v="211"/>
    <n v="562"/>
    <n v="75"/>
    <x v="1105"/>
    <x v="0"/>
  </r>
  <r>
    <n v="21223"/>
    <x v="17"/>
    <s v="Trimble"/>
    <n v="173"/>
    <n v="39"/>
    <n v="21"/>
    <n v="23"/>
    <n v="49"/>
    <n v="41"/>
    <n v="35"/>
    <n v="53"/>
    <n v="85"/>
    <n v="161"/>
    <n v="12"/>
    <x v="1106"/>
    <x v="0"/>
  </r>
  <r>
    <n v="21225"/>
    <x v="17"/>
    <s v="Union"/>
    <n v="218"/>
    <n v="42"/>
    <n v="22"/>
    <n v="27"/>
    <n v="68"/>
    <n v="59"/>
    <n v="50"/>
    <n v="57"/>
    <n v="111"/>
    <n v="204"/>
    <n v="14"/>
    <x v="1107"/>
    <x v="0"/>
  </r>
  <r>
    <n v="21227"/>
    <x v="17"/>
    <s v="Warren"/>
    <n v="2201"/>
    <n v="445"/>
    <n v="209"/>
    <n v="236"/>
    <n v="708"/>
    <n v="603"/>
    <n v="653"/>
    <n v="739"/>
    <n v="809"/>
    <n v="1999"/>
    <n v="202"/>
    <x v="1108"/>
    <x v="0"/>
  </r>
  <r>
    <n v="21229"/>
    <x v="17"/>
    <s v="Washington"/>
    <n v="186"/>
    <n v="43"/>
    <n v="21"/>
    <n v="27"/>
    <n v="51"/>
    <n v="44"/>
    <n v="38"/>
    <n v="67"/>
    <n v="81"/>
    <n v="168"/>
    <n v="18"/>
    <x v="1109"/>
    <x v="0"/>
  </r>
  <r>
    <n v="21231"/>
    <x v="17"/>
    <s v="Wayne"/>
    <n v="357"/>
    <n v="64"/>
    <n v="37"/>
    <n v="44"/>
    <n v="110"/>
    <n v="102"/>
    <n v="62"/>
    <n v="114"/>
    <n v="181"/>
    <n v="339"/>
    <n v="17"/>
    <x v="1110"/>
    <x v="0"/>
  </r>
  <r>
    <n v="21233"/>
    <x v="17"/>
    <s v="Webster"/>
    <n v="167"/>
    <n v="36"/>
    <n v="14"/>
    <n v="20"/>
    <n v="51"/>
    <n v="46"/>
    <n v="25"/>
    <n v="47"/>
    <n v="95"/>
    <m/>
    <m/>
    <x v="1111"/>
    <x v="0"/>
  </r>
  <r>
    <n v="21235"/>
    <x v="17"/>
    <s v="Whitley"/>
    <n v="632"/>
    <n v="87"/>
    <n v="63"/>
    <n v="75"/>
    <n v="215"/>
    <n v="192"/>
    <n v="145"/>
    <n v="192"/>
    <n v="295"/>
    <n v="596"/>
    <n v="36"/>
    <x v="1112"/>
    <x v="0"/>
  </r>
  <r>
    <n v="21237"/>
    <x v="17"/>
    <s v="Wolfe"/>
    <n v="97"/>
    <m/>
    <n v="16"/>
    <m/>
    <n v="37"/>
    <n v="25"/>
    <n v="30"/>
    <n v="26"/>
    <n v="41"/>
    <m/>
    <m/>
    <x v="1113"/>
    <x v="0"/>
  </r>
  <r>
    <n v="21239"/>
    <x v="17"/>
    <s v="Woodford"/>
    <n v="418"/>
    <n v="84"/>
    <n v="63"/>
    <n v="56"/>
    <n v="121"/>
    <n v="94"/>
    <n v="114"/>
    <n v="149"/>
    <n v="155"/>
    <n v="369"/>
    <n v="49"/>
    <x v="1114"/>
    <x v="0"/>
  </r>
  <r>
    <n v="22001"/>
    <x v="18"/>
    <s v="Acadia"/>
    <n v="867"/>
    <n v="183"/>
    <n v="92"/>
    <n v="108"/>
    <n v="250"/>
    <n v="234"/>
    <n v="226"/>
    <n v="278"/>
    <n v="363"/>
    <n v="805"/>
    <n v="61"/>
    <x v="1115"/>
    <x v="0"/>
  </r>
  <r>
    <n v="22003"/>
    <x v="18"/>
    <s v="Allen"/>
    <n v="418"/>
    <n v="74"/>
    <n v="33"/>
    <n v="61"/>
    <n v="122"/>
    <n v="128"/>
    <n v="84"/>
    <n v="132"/>
    <n v="202"/>
    <n v="387"/>
    <n v="31"/>
    <x v="1116"/>
    <x v="0"/>
  </r>
  <r>
    <n v="22005"/>
    <x v="18"/>
    <s v="Ascension"/>
    <n v="2192"/>
    <n v="394"/>
    <n v="187"/>
    <n v="277"/>
    <n v="671"/>
    <n v="663"/>
    <n v="644"/>
    <n v="844"/>
    <n v="704"/>
    <n v="1900"/>
    <n v="292"/>
    <x v="1117"/>
    <x v="0"/>
  </r>
  <r>
    <n v="22007"/>
    <x v="18"/>
    <s v="Assumption"/>
    <n v="258"/>
    <n v="54"/>
    <n v="24"/>
    <n v="20"/>
    <n v="92"/>
    <n v="68"/>
    <n v="35"/>
    <n v="85"/>
    <n v="138"/>
    <n v="237"/>
    <n v="21"/>
    <x v="1118"/>
    <x v="0"/>
  </r>
  <r>
    <n v="22009"/>
    <x v="18"/>
    <s v="Avoyelles"/>
    <n v="839"/>
    <n v="132"/>
    <n v="64"/>
    <n v="96"/>
    <n v="289"/>
    <n v="258"/>
    <n v="159"/>
    <n v="318"/>
    <n v="362"/>
    <n v="763"/>
    <n v="76"/>
    <x v="1119"/>
    <x v="0"/>
  </r>
  <r>
    <n v="22011"/>
    <x v="18"/>
    <s v="Beauregard"/>
    <n v="1566"/>
    <n v="188"/>
    <n v="101"/>
    <n v="157"/>
    <n v="490"/>
    <n v="630"/>
    <n v="430"/>
    <n v="601"/>
    <n v="535"/>
    <n v="1363"/>
    <n v="203"/>
    <x v="1120"/>
    <x v="0"/>
  </r>
  <r>
    <n v="22013"/>
    <x v="18"/>
    <s v="Bienville"/>
    <n v="283"/>
    <n v="46"/>
    <n v="31"/>
    <n v="34"/>
    <n v="86"/>
    <n v="86"/>
    <n v="41"/>
    <n v="104"/>
    <n v="138"/>
    <n v="247"/>
    <n v="36"/>
    <x v="1121"/>
    <x v="0"/>
  </r>
  <r>
    <n v="22015"/>
    <x v="18"/>
    <s v="Bossier"/>
    <n v="5963"/>
    <n v="806"/>
    <n v="517"/>
    <n v="717"/>
    <n v="1871"/>
    <n v="2052"/>
    <n v="1593"/>
    <n v="2585"/>
    <n v="1784"/>
    <n v="4956"/>
    <n v="1006"/>
    <x v="1122"/>
    <x v="0"/>
  </r>
  <r>
    <n v="22017"/>
    <x v="18"/>
    <s v="Caddo"/>
    <n v="5639"/>
    <n v="948"/>
    <n v="508"/>
    <n v="731"/>
    <n v="1813"/>
    <n v="1639"/>
    <n v="1274"/>
    <n v="2164"/>
    <n v="2201"/>
    <n v="4736"/>
    <n v="903"/>
    <x v="1123"/>
    <x v="0"/>
  </r>
  <r>
    <n v="22019"/>
    <x v="18"/>
    <s v="Calcasieu"/>
    <n v="3568"/>
    <n v="655"/>
    <n v="381"/>
    <n v="401"/>
    <n v="1153"/>
    <n v="978"/>
    <n v="996"/>
    <n v="1159"/>
    <n v="1413"/>
    <n v="3209"/>
    <n v="359"/>
    <x v="1124"/>
    <x v="0"/>
  </r>
  <r>
    <n v="22021"/>
    <x v="18"/>
    <s v="Caldwell"/>
    <n v="163"/>
    <n v="26"/>
    <n v="21"/>
    <n v="13"/>
    <n v="60"/>
    <n v="43"/>
    <n v="34"/>
    <n v="41"/>
    <n v="88"/>
    <n v="150"/>
    <n v="13"/>
    <x v="1125"/>
    <x v="0"/>
  </r>
  <r>
    <n v="22023"/>
    <x v="18"/>
    <s v="Cameron"/>
    <n v="71"/>
    <n v="13"/>
    <m/>
    <m/>
    <n v="21"/>
    <n v="20"/>
    <n v="18"/>
    <n v="29"/>
    <n v="24"/>
    <m/>
    <m/>
    <x v="1126"/>
    <x v="0"/>
  </r>
  <r>
    <n v="22025"/>
    <x v="18"/>
    <s v="Catahoula"/>
    <n v="126"/>
    <n v="21"/>
    <n v="14"/>
    <n v="17"/>
    <n v="37"/>
    <n v="37"/>
    <n v="14"/>
    <n v="48"/>
    <n v="64"/>
    <n v="116"/>
    <n v="10"/>
    <x v="1127"/>
    <x v="0"/>
  </r>
  <r>
    <n v="22027"/>
    <x v="18"/>
    <s v="Claiborne"/>
    <n v="264"/>
    <n v="48"/>
    <n v="28"/>
    <n v="34"/>
    <n v="87"/>
    <n v="67"/>
    <n v="46"/>
    <n v="80"/>
    <n v="138"/>
    <n v="245"/>
    <n v="19"/>
    <x v="1128"/>
    <x v="0"/>
  </r>
  <r>
    <n v="22029"/>
    <x v="18"/>
    <s v="Concordia"/>
    <n v="301"/>
    <n v="49"/>
    <n v="33"/>
    <n v="32"/>
    <n v="105"/>
    <n v="82"/>
    <n v="59"/>
    <n v="99"/>
    <n v="143"/>
    <n v="271"/>
    <n v="30"/>
    <x v="1129"/>
    <x v="0"/>
  </r>
  <r>
    <n v="22031"/>
    <x v="18"/>
    <s v="De Soto"/>
    <n v="592"/>
    <n v="100"/>
    <n v="45"/>
    <n v="75"/>
    <n v="179"/>
    <n v="193"/>
    <n v="149"/>
    <n v="207"/>
    <n v="236"/>
    <n v="522"/>
    <n v="70"/>
    <x v="1130"/>
    <x v="0"/>
  </r>
  <r>
    <n v="22033"/>
    <x v="18"/>
    <s v="East Baton Rouge"/>
    <n v="6382"/>
    <n v="1431"/>
    <n v="660"/>
    <n v="668"/>
    <n v="1923"/>
    <n v="1700"/>
    <n v="1684"/>
    <n v="2132"/>
    <n v="2566"/>
    <n v="5451"/>
    <n v="931"/>
    <x v="1131"/>
    <x v="0"/>
  </r>
  <r>
    <n v="22035"/>
    <x v="18"/>
    <s v="East Carroll"/>
    <n v="53"/>
    <m/>
    <m/>
    <m/>
    <n v="16"/>
    <n v="15"/>
    <m/>
    <m/>
    <n v="28"/>
    <m/>
    <m/>
    <x v="1132"/>
    <x v="0"/>
  </r>
  <r>
    <n v="22037"/>
    <x v="18"/>
    <s v="East Feliciana"/>
    <n v="352"/>
    <n v="72"/>
    <n v="29"/>
    <n v="41"/>
    <n v="123"/>
    <n v="87"/>
    <n v="55"/>
    <n v="105"/>
    <n v="192"/>
    <n v="321"/>
    <n v="31"/>
    <x v="1133"/>
    <x v="0"/>
  </r>
  <r>
    <n v="22039"/>
    <x v="18"/>
    <s v="Evangeline"/>
    <n v="493"/>
    <n v="110"/>
    <n v="46"/>
    <n v="59"/>
    <n v="160"/>
    <n v="118"/>
    <n v="120"/>
    <n v="178"/>
    <n v="195"/>
    <n v="448"/>
    <n v="45"/>
    <x v="1134"/>
    <x v="0"/>
  </r>
  <r>
    <n v="22041"/>
    <x v="18"/>
    <s v="Franklin"/>
    <n v="247"/>
    <n v="43"/>
    <n v="20"/>
    <n v="32"/>
    <n v="89"/>
    <n v="63"/>
    <n v="51"/>
    <n v="70"/>
    <n v="126"/>
    <n v="232"/>
    <n v="15"/>
    <x v="1135"/>
    <x v="0"/>
  </r>
  <r>
    <n v="22043"/>
    <x v="18"/>
    <s v="Grant"/>
    <n v="567"/>
    <n v="90"/>
    <n v="41"/>
    <n v="56"/>
    <n v="208"/>
    <n v="172"/>
    <n v="135"/>
    <n v="195"/>
    <n v="237"/>
    <n v="509"/>
    <n v="58"/>
    <x v="1136"/>
    <x v="0"/>
  </r>
  <r>
    <n v="22045"/>
    <x v="18"/>
    <s v="Iberia"/>
    <n v="1080"/>
    <n v="230"/>
    <n v="121"/>
    <n v="115"/>
    <n v="333"/>
    <n v="281"/>
    <n v="190"/>
    <n v="350"/>
    <n v="540"/>
    <n v="967"/>
    <n v="113"/>
    <x v="1137"/>
    <x v="0"/>
  </r>
  <r>
    <n v="22047"/>
    <x v="18"/>
    <s v="Iberville"/>
    <n v="405"/>
    <n v="86"/>
    <n v="40"/>
    <n v="51"/>
    <n v="143"/>
    <n v="85"/>
    <n v="76"/>
    <n v="146"/>
    <n v="183"/>
    <n v="363"/>
    <n v="42"/>
    <x v="1138"/>
    <x v="0"/>
  </r>
  <r>
    <n v="22049"/>
    <x v="18"/>
    <s v="Jackson"/>
    <n v="255"/>
    <n v="38"/>
    <n v="36"/>
    <n v="25"/>
    <n v="78"/>
    <n v="78"/>
    <n v="43"/>
    <n v="99"/>
    <n v="113"/>
    <n v="230"/>
    <n v="25"/>
    <x v="1139"/>
    <x v="0"/>
  </r>
  <r>
    <n v="22051"/>
    <x v="18"/>
    <s v="Jefferson"/>
    <n v="5900"/>
    <n v="1212"/>
    <n v="627"/>
    <n v="722"/>
    <n v="1778"/>
    <n v="1561"/>
    <n v="1351"/>
    <n v="2099"/>
    <n v="2450"/>
    <n v="5073"/>
    <n v="827"/>
    <x v="1140"/>
    <x v="0"/>
  </r>
  <r>
    <n v="22053"/>
    <x v="18"/>
    <s v="Jefferson Davis"/>
    <n v="493"/>
    <n v="96"/>
    <n v="51"/>
    <n v="50"/>
    <n v="155"/>
    <n v="141"/>
    <n v="127"/>
    <n v="157"/>
    <n v="209"/>
    <n v="449"/>
    <n v="44"/>
    <x v="1141"/>
    <x v="0"/>
  </r>
  <r>
    <n v="22055"/>
    <x v="18"/>
    <s v="Lafayette"/>
    <n v="4569"/>
    <n v="894"/>
    <n v="414"/>
    <n v="503"/>
    <n v="1373"/>
    <n v="1385"/>
    <n v="1461"/>
    <n v="1573"/>
    <n v="1535"/>
    <n v="3953"/>
    <n v="616"/>
    <x v="1142"/>
    <x v="0"/>
  </r>
  <r>
    <n v="22057"/>
    <x v="18"/>
    <s v="Lafourche"/>
    <n v="1050"/>
    <n v="186"/>
    <n v="108"/>
    <n v="122"/>
    <n v="349"/>
    <n v="285"/>
    <n v="309"/>
    <n v="294"/>
    <n v="447"/>
    <n v="928"/>
    <n v="121"/>
    <x v="1143"/>
    <x v="0"/>
  </r>
  <r>
    <n v="22059"/>
    <x v="18"/>
    <s v="LaSalle"/>
    <n v="218"/>
    <n v="29"/>
    <n v="19"/>
    <n v="27"/>
    <n v="66"/>
    <n v="77"/>
    <n v="47"/>
    <n v="73"/>
    <n v="98"/>
    <n v="205"/>
    <n v="13"/>
    <x v="1144"/>
    <x v="0"/>
  </r>
  <r>
    <n v="22061"/>
    <x v="18"/>
    <s v="Lincoln"/>
    <n v="601"/>
    <n v="96"/>
    <n v="63"/>
    <n v="71"/>
    <n v="201"/>
    <n v="170"/>
    <n v="175"/>
    <n v="184"/>
    <n v="242"/>
    <n v="537"/>
    <n v="64"/>
    <x v="1145"/>
    <x v="0"/>
  </r>
  <r>
    <n v="22063"/>
    <x v="18"/>
    <s v="Livingston"/>
    <n v="2417"/>
    <n v="446"/>
    <n v="234"/>
    <n v="327"/>
    <n v="797"/>
    <n v="613"/>
    <n v="846"/>
    <n v="801"/>
    <n v="770"/>
    <n v="2150"/>
    <n v="267"/>
    <x v="1146"/>
    <x v="0"/>
  </r>
  <r>
    <n v="22065"/>
    <x v="18"/>
    <s v="Madison"/>
    <n v="123"/>
    <n v="31"/>
    <n v="20"/>
    <n v="15"/>
    <n v="33"/>
    <n v="24"/>
    <m/>
    <m/>
    <n v="75"/>
    <m/>
    <m/>
    <x v="1147"/>
    <x v="0"/>
  </r>
  <r>
    <n v="22067"/>
    <x v="18"/>
    <s v="Morehouse"/>
    <n v="450"/>
    <n v="79"/>
    <n v="46"/>
    <n v="55"/>
    <n v="161"/>
    <n v="109"/>
    <n v="81"/>
    <n v="151"/>
    <n v="218"/>
    <n v="412"/>
    <n v="38"/>
    <x v="1148"/>
    <x v="0"/>
  </r>
  <r>
    <n v="22069"/>
    <x v="18"/>
    <s v="Natchitoches"/>
    <n v="702"/>
    <n v="99"/>
    <n v="73"/>
    <n v="90"/>
    <n v="241"/>
    <n v="199"/>
    <n v="153"/>
    <n v="231"/>
    <n v="318"/>
    <n v="638"/>
    <n v="64"/>
    <x v="1149"/>
    <x v="0"/>
  </r>
  <r>
    <n v="22071"/>
    <x v="18"/>
    <s v="Orleans"/>
    <n v="5436"/>
    <n v="995"/>
    <n v="540"/>
    <n v="640"/>
    <n v="1762"/>
    <n v="1499"/>
    <n v="1229"/>
    <n v="1962"/>
    <n v="2245"/>
    <n v="4595"/>
    <n v="841"/>
    <x v="1150"/>
    <x v="0"/>
  </r>
  <r>
    <n v="22073"/>
    <x v="18"/>
    <s v="Ouachita"/>
    <n v="2733"/>
    <n v="359"/>
    <n v="247"/>
    <n v="335"/>
    <n v="924"/>
    <n v="868"/>
    <n v="756"/>
    <n v="892"/>
    <n v="1085"/>
    <n v="2429"/>
    <n v="304"/>
    <x v="1151"/>
    <x v="0"/>
  </r>
  <r>
    <n v="22075"/>
    <x v="18"/>
    <s v="Plaquemines"/>
    <n v="583"/>
    <n v="103"/>
    <n v="64"/>
    <n v="50"/>
    <n v="165"/>
    <n v="201"/>
    <n v="184"/>
    <n v="283"/>
    <n v="116"/>
    <n v="470"/>
    <n v="113"/>
    <x v="1152"/>
    <x v="0"/>
  </r>
  <r>
    <n v="22077"/>
    <x v="18"/>
    <s v="Pointe Coupee"/>
    <n v="324"/>
    <n v="77"/>
    <n v="43"/>
    <n v="36"/>
    <n v="92"/>
    <n v="76"/>
    <n v="57"/>
    <n v="74"/>
    <n v="193"/>
    <n v="302"/>
    <n v="22"/>
    <x v="1153"/>
    <x v="0"/>
  </r>
  <r>
    <n v="22079"/>
    <x v="18"/>
    <s v="Rapides"/>
    <n v="3983"/>
    <n v="548"/>
    <n v="308"/>
    <n v="407"/>
    <n v="1283"/>
    <n v="1437"/>
    <n v="940"/>
    <n v="1422"/>
    <n v="1621"/>
    <n v="3472"/>
    <n v="511"/>
    <x v="1154"/>
    <x v="0"/>
  </r>
  <r>
    <n v="22081"/>
    <x v="18"/>
    <s v="Red River"/>
    <n v="103"/>
    <m/>
    <m/>
    <m/>
    <n v="36"/>
    <n v="43"/>
    <n v="16"/>
    <n v="42"/>
    <n v="45"/>
    <m/>
    <m/>
    <x v="1155"/>
    <x v="0"/>
  </r>
  <r>
    <n v="22083"/>
    <x v="18"/>
    <s v="Richland"/>
    <n v="287"/>
    <n v="38"/>
    <n v="23"/>
    <n v="32"/>
    <n v="107"/>
    <n v="87"/>
    <n v="66"/>
    <n v="112"/>
    <n v="109"/>
    <n v="251"/>
    <n v="36"/>
    <x v="1156"/>
    <x v="0"/>
  </r>
  <r>
    <n v="22085"/>
    <x v="18"/>
    <s v="Sabine"/>
    <n v="506"/>
    <n v="97"/>
    <n v="47"/>
    <n v="67"/>
    <n v="141"/>
    <n v="154"/>
    <n v="89"/>
    <n v="155"/>
    <n v="262"/>
    <n v="466"/>
    <n v="39"/>
    <x v="1157"/>
    <x v="0"/>
  </r>
  <r>
    <n v="22087"/>
    <x v="18"/>
    <s v="St. Bernard"/>
    <n v="619"/>
    <n v="120"/>
    <n v="59"/>
    <n v="79"/>
    <n v="183"/>
    <n v="178"/>
    <n v="205"/>
    <n v="217"/>
    <n v="197"/>
    <n v="525"/>
    <n v="92"/>
    <x v="1158"/>
    <x v="0"/>
  </r>
  <r>
    <n v="22089"/>
    <x v="18"/>
    <s v="St. Charles"/>
    <n v="829"/>
    <n v="179"/>
    <n v="95"/>
    <n v="107"/>
    <n v="240"/>
    <n v="208"/>
    <n v="189"/>
    <n v="311"/>
    <n v="329"/>
    <n v="728"/>
    <n v="100"/>
    <x v="1159"/>
    <x v="0"/>
  </r>
  <r>
    <n v="22091"/>
    <x v="18"/>
    <s v="St. Helena"/>
    <n v="176"/>
    <n v="31"/>
    <n v="18"/>
    <n v="11"/>
    <n v="71"/>
    <n v="45"/>
    <n v="35"/>
    <n v="58"/>
    <n v="83"/>
    <n v="154"/>
    <n v="22"/>
    <x v="1160"/>
    <x v="0"/>
  </r>
  <r>
    <n v="22093"/>
    <x v="18"/>
    <s v="St. James"/>
    <n v="277"/>
    <n v="54"/>
    <n v="28"/>
    <n v="44"/>
    <n v="93"/>
    <n v="58"/>
    <n v="22"/>
    <n v="89"/>
    <n v="166"/>
    <n v="249"/>
    <n v="28"/>
    <x v="1161"/>
    <x v="0"/>
  </r>
  <r>
    <n v="22095"/>
    <x v="18"/>
    <s v="St. John the Baptist"/>
    <n v="771"/>
    <n v="135"/>
    <n v="72"/>
    <n v="96"/>
    <n v="245"/>
    <n v="223"/>
    <n v="128"/>
    <n v="262"/>
    <n v="381"/>
    <n v="674"/>
    <n v="97"/>
    <x v="1162"/>
    <x v="0"/>
  </r>
  <r>
    <n v="22097"/>
    <x v="18"/>
    <s v="St. Landry"/>
    <n v="1567"/>
    <n v="322"/>
    <n v="154"/>
    <n v="202"/>
    <n v="458"/>
    <n v="431"/>
    <n v="335"/>
    <n v="557"/>
    <n v="675"/>
    <n v="1406"/>
    <n v="161"/>
    <x v="1163"/>
    <x v="0"/>
  </r>
  <r>
    <n v="22099"/>
    <x v="18"/>
    <s v="St. Martin"/>
    <n v="940"/>
    <n v="184"/>
    <n v="81"/>
    <n v="89"/>
    <n v="309"/>
    <n v="277"/>
    <n v="231"/>
    <n v="316"/>
    <n v="393"/>
    <n v="863"/>
    <n v="77"/>
    <x v="1164"/>
    <x v="0"/>
  </r>
  <r>
    <n v="22101"/>
    <x v="18"/>
    <s v="St. Mary"/>
    <n v="705"/>
    <n v="180"/>
    <n v="70"/>
    <n v="73"/>
    <n v="219"/>
    <n v="163"/>
    <n v="134"/>
    <n v="220"/>
    <n v="351"/>
    <n v="634"/>
    <n v="71"/>
    <x v="1165"/>
    <x v="0"/>
  </r>
  <r>
    <n v="22103"/>
    <x v="18"/>
    <s v="St. Tammany"/>
    <n v="7061"/>
    <n v="1345"/>
    <n v="612"/>
    <n v="799"/>
    <n v="2173"/>
    <n v="2132"/>
    <n v="1907"/>
    <n v="2718"/>
    <n v="2436"/>
    <n v="6111"/>
    <n v="950"/>
    <x v="1166"/>
    <x v="0"/>
  </r>
  <r>
    <n v="22105"/>
    <x v="18"/>
    <s v="Tangipahoa"/>
    <n v="2555"/>
    <n v="483"/>
    <n v="219"/>
    <n v="282"/>
    <n v="829"/>
    <n v="742"/>
    <n v="703"/>
    <n v="867"/>
    <n v="985"/>
    <n v="2240"/>
    <n v="315"/>
    <x v="1167"/>
    <x v="0"/>
  </r>
  <r>
    <n v="22107"/>
    <x v="18"/>
    <s v="Tensas"/>
    <n v="48"/>
    <m/>
    <m/>
    <m/>
    <n v="20"/>
    <n v="11"/>
    <n v="11"/>
    <n v="11"/>
    <n v="26"/>
    <m/>
    <m/>
    <x v="1168"/>
    <x v="0"/>
  </r>
  <r>
    <n v="22109"/>
    <x v="18"/>
    <s v="Terrebonne"/>
    <n v="1364"/>
    <n v="266"/>
    <n v="156"/>
    <n v="178"/>
    <n v="415"/>
    <n v="349"/>
    <n v="383"/>
    <n v="453"/>
    <n v="528"/>
    <n v="1218"/>
    <n v="146"/>
    <x v="1169"/>
    <x v="0"/>
  </r>
  <r>
    <n v="22111"/>
    <x v="18"/>
    <s v="Union"/>
    <n v="406"/>
    <n v="72"/>
    <n v="38"/>
    <n v="43"/>
    <n v="136"/>
    <n v="117"/>
    <n v="65"/>
    <n v="108"/>
    <n v="233"/>
    <n v="376"/>
    <n v="30"/>
    <x v="1170"/>
    <x v="0"/>
  </r>
  <r>
    <n v="22113"/>
    <x v="18"/>
    <s v="Vermilion"/>
    <n v="885"/>
    <n v="196"/>
    <n v="82"/>
    <n v="109"/>
    <n v="271"/>
    <n v="227"/>
    <n v="272"/>
    <n v="288"/>
    <n v="325"/>
    <n v="816"/>
    <n v="69"/>
    <x v="1171"/>
    <x v="0"/>
  </r>
  <r>
    <n v="22115"/>
    <x v="18"/>
    <s v="Vernon"/>
    <n v="3476"/>
    <n v="425"/>
    <n v="256"/>
    <n v="331"/>
    <n v="998"/>
    <n v="1466"/>
    <n v="1182"/>
    <n v="1387"/>
    <n v="907"/>
    <n v="2915"/>
    <n v="561"/>
    <x v="1172"/>
    <x v="0"/>
  </r>
  <r>
    <n v="22117"/>
    <x v="18"/>
    <s v="Washington"/>
    <n v="858"/>
    <n v="150"/>
    <n v="74"/>
    <n v="103"/>
    <n v="309"/>
    <n v="222"/>
    <n v="192"/>
    <n v="272"/>
    <n v="394"/>
    <n v="774"/>
    <n v="83"/>
    <x v="1173"/>
    <x v="0"/>
  </r>
  <r>
    <n v="22119"/>
    <x v="18"/>
    <s v="Webster"/>
    <n v="771"/>
    <n v="119"/>
    <n v="75"/>
    <n v="100"/>
    <n v="253"/>
    <n v="224"/>
    <n v="174"/>
    <n v="269"/>
    <n v="328"/>
    <n v="684"/>
    <n v="87"/>
    <x v="1174"/>
    <x v="0"/>
  </r>
  <r>
    <n v="22121"/>
    <x v="18"/>
    <s v="West Baton Rouge"/>
    <n v="424"/>
    <n v="73"/>
    <n v="42"/>
    <n v="50"/>
    <n v="139"/>
    <n v="120"/>
    <n v="111"/>
    <n v="134"/>
    <n v="179"/>
    <n v="385"/>
    <n v="39"/>
    <x v="1175"/>
    <x v="0"/>
  </r>
  <r>
    <n v="22123"/>
    <x v="18"/>
    <s v="West Carroll"/>
    <n v="145"/>
    <n v="26"/>
    <n v="19"/>
    <n v="26"/>
    <n v="44"/>
    <n v="30"/>
    <n v="24"/>
    <n v="45"/>
    <n v="76"/>
    <m/>
    <m/>
    <x v="1176"/>
    <x v="0"/>
  </r>
  <r>
    <n v="22125"/>
    <x v="18"/>
    <s v="West Feliciana"/>
    <n v="168"/>
    <n v="44"/>
    <n v="16"/>
    <n v="13"/>
    <n v="62"/>
    <n v="33"/>
    <n v="46"/>
    <n v="46"/>
    <n v="76"/>
    <n v="156"/>
    <n v="12"/>
    <x v="1177"/>
    <x v="0"/>
  </r>
  <r>
    <n v="22127"/>
    <x v="18"/>
    <s v="Winn"/>
    <n v="231"/>
    <n v="37"/>
    <n v="16"/>
    <n v="28"/>
    <n v="88"/>
    <n v="62"/>
    <n v="44"/>
    <n v="71"/>
    <n v="116"/>
    <n v="211"/>
    <n v="20"/>
    <x v="1178"/>
    <x v="0"/>
  </r>
  <r>
    <n v="23001"/>
    <x v="19"/>
    <s v="Androscoggin"/>
    <n v="2777"/>
    <n v="579"/>
    <n v="330"/>
    <n v="361"/>
    <n v="864"/>
    <n v="643"/>
    <n v="654"/>
    <n v="875"/>
    <n v="1248"/>
    <n v="2534"/>
    <n v="243"/>
    <x v="1179"/>
    <x v="0"/>
  </r>
  <r>
    <n v="23003"/>
    <x v="19"/>
    <s v="Aroostook"/>
    <n v="2199"/>
    <n v="409"/>
    <n v="214"/>
    <n v="229"/>
    <n v="783"/>
    <n v="564"/>
    <n v="395"/>
    <n v="716"/>
    <n v="1088"/>
    <n v="2014"/>
    <n v="185"/>
    <x v="1180"/>
    <x v="0"/>
  </r>
  <r>
    <n v="23005"/>
    <x v="19"/>
    <s v="Cumberland"/>
    <n v="5037"/>
    <n v="1057"/>
    <n v="618"/>
    <n v="593"/>
    <n v="1590"/>
    <n v="1179"/>
    <n v="1234"/>
    <n v="1559"/>
    <n v="2244"/>
    <n v="4503"/>
    <n v="532"/>
    <x v="1181"/>
    <x v="0"/>
  </r>
  <r>
    <n v="23007"/>
    <x v="19"/>
    <s v="Franklin"/>
    <n v="788"/>
    <n v="144"/>
    <n v="69"/>
    <n v="92"/>
    <n v="270"/>
    <n v="213"/>
    <n v="204"/>
    <n v="230"/>
    <n v="354"/>
    <n v="704"/>
    <n v="84"/>
    <x v="1182"/>
    <x v="0"/>
  </r>
  <r>
    <n v="23009"/>
    <x v="19"/>
    <s v="Hancock"/>
    <n v="1223"/>
    <n v="244"/>
    <n v="140"/>
    <n v="146"/>
    <n v="381"/>
    <n v="312"/>
    <n v="256"/>
    <n v="396"/>
    <n v="571"/>
    <n v="1103"/>
    <n v="119"/>
    <x v="1183"/>
    <x v="0"/>
  </r>
  <r>
    <n v="23011"/>
    <x v="19"/>
    <s v="Kennebec"/>
    <n v="4221"/>
    <n v="778"/>
    <n v="404"/>
    <n v="458"/>
    <n v="1401"/>
    <n v="1180"/>
    <n v="959"/>
    <n v="1475"/>
    <n v="1787"/>
    <n v="3730"/>
    <n v="491"/>
    <x v="1184"/>
    <x v="0"/>
  </r>
  <r>
    <n v="23013"/>
    <x v="19"/>
    <s v="Knox"/>
    <n v="920"/>
    <n v="208"/>
    <n v="104"/>
    <n v="113"/>
    <n v="290"/>
    <n v="205"/>
    <n v="180"/>
    <n v="263"/>
    <n v="477"/>
    <n v="822"/>
    <n v="97"/>
    <x v="1185"/>
    <x v="0"/>
  </r>
  <r>
    <n v="23015"/>
    <x v="19"/>
    <s v="Lincoln"/>
    <n v="1013"/>
    <n v="219"/>
    <n v="119"/>
    <n v="104"/>
    <n v="324"/>
    <n v="247"/>
    <n v="199"/>
    <n v="293"/>
    <n v="521"/>
    <n v="908"/>
    <n v="105"/>
    <x v="1186"/>
    <x v="0"/>
  </r>
  <r>
    <n v="23017"/>
    <x v="19"/>
    <s v="Oxford"/>
    <n v="1445"/>
    <n v="311"/>
    <n v="144"/>
    <n v="172"/>
    <n v="458"/>
    <n v="360"/>
    <n v="309"/>
    <n v="459"/>
    <n v="677"/>
    <n v="1329"/>
    <n v="115"/>
    <x v="1187"/>
    <x v="0"/>
  </r>
  <r>
    <n v="23019"/>
    <x v="19"/>
    <s v="Penobscot"/>
    <n v="4281"/>
    <n v="832"/>
    <n v="412"/>
    <n v="470"/>
    <n v="1373"/>
    <n v="1194"/>
    <n v="1008"/>
    <n v="1457"/>
    <n v="1816"/>
    <n v="3839"/>
    <n v="442"/>
    <x v="1188"/>
    <x v="0"/>
  </r>
  <r>
    <n v="23021"/>
    <x v="19"/>
    <s v="Piscataquis"/>
    <n v="596"/>
    <n v="104"/>
    <n v="62"/>
    <n v="63"/>
    <n v="217"/>
    <n v="150"/>
    <n v="113"/>
    <n v="176"/>
    <n v="307"/>
    <n v="533"/>
    <n v="63"/>
    <x v="1189"/>
    <x v="0"/>
  </r>
  <r>
    <n v="23023"/>
    <x v="19"/>
    <s v="Sagadahoc"/>
    <n v="1209"/>
    <n v="271"/>
    <n v="138"/>
    <n v="140"/>
    <n v="369"/>
    <n v="291"/>
    <n v="222"/>
    <n v="424"/>
    <n v="563"/>
    <n v="1083"/>
    <n v="126"/>
    <x v="1190"/>
    <x v="0"/>
  </r>
  <r>
    <n v="23025"/>
    <x v="19"/>
    <s v="Somerset"/>
    <n v="1616"/>
    <n v="326"/>
    <n v="176"/>
    <n v="148"/>
    <n v="529"/>
    <n v="437"/>
    <n v="358"/>
    <n v="525"/>
    <n v="733"/>
    <n v="1474"/>
    <n v="142"/>
    <x v="1191"/>
    <x v="0"/>
  </r>
  <r>
    <n v="23027"/>
    <x v="19"/>
    <s v="Waldo"/>
    <n v="1093"/>
    <n v="187"/>
    <n v="115"/>
    <n v="143"/>
    <n v="331"/>
    <n v="317"/>
    <n v="242"/>
    <n v="339"/>
    <n v="512"/>
    <n v="989"/>
    <n v="104"/>
    <x v="1192"/>
    <x v="0"/>
  </r>
  <r>
    <n v="23029"/>
    <x v="19"/>
    <s v="Washington"/>
    <n v="1093"/>
    <n v="203"/>
    <n v="106"/>
    <n v="102"/>
    <n v="369"/>
    <n v="313"/>
    <n v="183"/>
    <n v="376"/>
    <n v="534"/>
    <n v="974"/>
    <n v="119"/>
    <x v="1193"/>
    <x v="0"/>
  </r>
  <r>
    <n v="23031"/>
    <x v="19"/>
    <s v="York"/>
    <n v="4799"/>
    <n v="1036"/>
    <n v="557"/>
    <n v="591"/>
    <n v="1528"/>
    <n v="1087"/>
    <n v="1264"/>
    <n v="1512"/>
    <n v="2023"/>
    <n v="4314"/>
    <n v="484"/>
    <x v="1194"/>
    <x v="0"/>
  </r>
  <r>
    <n v="24001"/>
    <x v="20"/>
    <s v="Allegany"/>
    <n v="1071"/>
    <n v="224"/>
    <n v="133"/>
    <n v="150"/>
    <n v="298"/>
    <n v="266"/>
    <n v="254"/>
    <n v="330"/>
    <n v="487"/>
    <n v="1004"/>
    <n v="67"/>
    <x v="1195"/>
    <x v="0"/>
  </r>
  <r>
    <n v="24003"/>
    <x v="20"/>
    <s v="Anne Arundel"/>
    <n v="19277"/>
    <n v="2753"/>
    <n v="2046"/>
    <n v="2352"/>
    <n v="5682"/>
    <n v="6444"/>
    <n v="6597"/>
    <n v="8278"/>
    <n v="4402"/>
    <n v="14904"/>
    <n v="4372"/>
    <x v="1196"/>
    <x v="0"/>
  </r>
  <r>
    <n v="24005"/>
    <x v="20"/>
    <s v="Baltimore"/>
    <n v="10064"/>
    <n v="1919"/>
    <n v="1106"/>
    <n v="1268"/>
    <n v="2899"/>
    <n v="2872"/>
    <n v="2837"/>
    <n v="3649"/>
    <n v="3578"/>
    <n v="8391"/>
    <n v="1671"/>
    <x v="1197"/>
    <x v="0"/>
  </r>
  <r>
    <n v="24009"/>
    <x v="20"/>
    <s v="Calvert"/>
    <n v="3523"/>
    <n v="544"/>
    <n v="346"/>
    <n v="419"/>
    <n v="1022"/>
    <n v="1192"/>
    <n v="1143"/>
    <n v="1677"/>
    <n v="703"/>
    <n v="2929"/>
    <n v="594"/>
    <x v="1198"/>
    <x v="0"/>
  </r>
  <r>
    <n v="24011"/>
    <x v="20"/>
    <s v="Caroline"/>
    <n v="509"/>
    <n v="108"/>
    <n v="61"/>
    <n v="63"/>
    <n v="151"/>
    <n v="126"/>
    <n v="166"/>
    <n v="153"/>
    <n v="190"/>
    <n v="430"/>
    <n v="79"/>
    <x v="1199"/>
    <x v="0"/>
  </r>
  <r>
    <n v="24013"/>
    <x v="20"/>
    <s v="Carroll"/>
    <n v="3015"/>
    <n v="623"/>
    <n v="362"/>
    <n v="382"/>
    <n v="854"/>
    <n v="794"/>
    <n v="1018"/>
    <n v="1056"/>
    <n v="941"/>
    <n v="2656"/>
    <n v="359"/>
    <x v="1200"/>
    <x v="0"/>
  </r>
  <r>
    <n v="24015"/>
    <x v="20"/>
    <s v="Cecil"/>
    <n v="2463"/>
    <n v="429"/>
    <n v="247"/>
    <n v="257"/>
    <n v="722"/>
    <n v="808"/>
    <n v="647"/>
    <n v="976"/>
    <n v="840"/>
    <n v="2140"/>
    <n v="323"/>
    <x v="1201"/>
    <x v="0"/>
  </r>
  <r>
    <n v="24017"/>
    <x v="20"/>
    <s v="Charles"/>
    <n v="8768"/>
    <n v="1005"/>
    <n v="759"/>
    <n v="852"/>
    <n v="2427"/>
    <n v="3725"/>
    <n v="2223"/>
    <n v="4636"/>
    <n v="1909"/>
    <n v="6432"/>
    <n v="2336"/>
    <x v="1202"/>
    <x v="0"/>
  </r>
  <r>
    <n v="24019"/>
    <x v="20"/>
    <s v="Dorchester"/>
    <n v="551"/>
    <n v="82"/>
    <n v="63"/>
    <n v="76"/>
    <n v="167"/>
    <n v="163"/>
    <n v="115"/>
    <n v="160"/>
    <n v="276"/>
    <n v="488"/>
    <n v="63"/>
    <x v="1203"/>
    <x v="0"/>
  </r>
  <r>
    <n v="24021"/>
    <x v="20"/>
    <s v="Frederick"/>
    <n v="5865"/>
    <n v="1007"/>
    <n v="606"/>
    <n v="727"/>
    <n v="1739"/>
    <n v="1786"/>
    <n v="2006"/>
    <n v="2346"/>
    <n v="1513"/>
    <n v="4882"/>
    <n v="983"/>
    <x v="1204"/>
    <x v="0"/>
  </r>
  <r>
    <n v="24023"/>
    <x v="20"/>
    <s v="Garrett"/>
    <n v="451"/>
    <n v="78"/>
    <n v="59"/>
    <n v="64"/>
    <n v="113"/>
    <n v="137"/>
    <n v="82"/>
    <n v="135"/>
    <n v="234"/>
    <n v="419"/>
    <n v="32"/>
    <x v="1205"/>
    <x v="0"/>
  </r>
  <r>
    <n v="24025"/>
    <x v="20"/>
    <s v="Harford"/>
    <n v="6682"/>
    <n v="1032"/>
    <n v="659"/>
    <n v="788"/>
    <n v="1885"/>
    <n v="2318"/>
    <n v="1739"/>
    <n v="2827"/>
    <n v="2116"/>
    <n v="5608"/>
    <n v="1073"/>
    <x v="1206"/>
    <x v="0"/>
  </r>
  <r>
    <n v="24027"/>
    <x v="20"/>
    <s v="Howard"/>
    <n v="5521"/>
    <n v="889"/>
    <n v="644"/>
    <n v="692"/>
    <n v="1560"/>
    <n v="1736"/>
    <n v="1961"/>
    <n v="2367"/>
    <n v="1192"/>
    <n v="4289"/>
    <n v="1231"/>
    <x v="1207"/>
    <x v="0"/>
  </r>
  <r>
    <n v="24029"/>
    <x v="20"/>
    <s v="Kent"/>
    <n v="275"/>
    <n v="55"/>
    <n v="40"/>
    <n v="40"/>
    <n v="62"/>
    <n v="78"/>
    <n v="61"/>
    <n v="72"/>
    <n v="142"/>
    <n v="255"/>
    <n v="20"/>
    <x v="1208"/>
    <x v="0"/>
  </r>
  <r>
    <n v="24031"/>
    <x v="20"/>
    <s v="Montgomery"/>
    <n v="10228"/>
    <n v="1764"/>
    <n v="1277"/>
    <n v="1190"/>
    <n v="2960"/>
    <n v="3037"/>
    <n v="3306"/>
    <n v="3970"/>
    <n v="2952"/>
    <n v="8070"/>
    <n v="2157"/>
    <x v="1209"/>
    <x v="0"/>
  </r>
  <r>
    <n v="24033"/>
    <x v="20"/>
    <s v="Prince George's"/>
    <n v="22973"/>
    <n v="3058"/>
    <n v="2000"/>
    <n v="2345"/>
    <n v="6389"/>
    <n v="9181"/>
    <n v="5427"/>
    <n v="9903"/>
    <n v="7643"/>
    <n v="17414"/>
    <n v="5555"/>
    <x v="1210"/>
    <x v="0"/>
  </r>
  <r>
    <n v="24035"/>
    <x v="20"/>
    <s v="Queen Anne's"/>
    <n v="1031"/>
    <n v="185"/>
    <n v="116"/>
    <n v="143"/>
    <n v="293"/>
    <n v="294"/>
    <n v="318"/>
    <n v="397"/>
    <n v="316"/>
    <n v="905"/>
    <n v="126"/>
    <x v="1211"/>
    <x v="0"/>
  </r>
  <r>
    <n v="24037"/>
    <x v="20"/>
    <s v="St. Mary's"/>
    <n v="6141"/>
    <n v="946"/>
    <n v="665"/>
    <n v="788"/>
    <n v="1778"/>
    <n v="1964"/>
    <n v="2050"/>
    <n v="2875"/>
    <n v="1216"/>
    <n v="5213"/>
    <n v="928"/>
    <x v="1212"/>
    <x v="0"/>
  </r>
  <r>
    <n v="24039"/>
    <x v="20"/>
    <s v="Somerset"/>
    <n v="403"/>
    <n v="57"/>
    <n v="43"/>
    <n v="49"/>
    <n v="142"/>
    <n v="112"/>
    <n v="87"/>
    <n v="119"/>
    <n v="197"/>
    <n v="375"/>
    <n v="28"/>
    <x v="1213"/>
    <x v="0"/>
  </r>
  <r>
    <n v="24041"/>
    <x v="20"/>
    <s v="Talbot"/>
    <n v="553"/>
    <n v="123"/>
    <n v="63"/>
    <n v="78"/>
    <n v="154"/>
    <n v="135"/>
    <n v="112"/>
    <n v="158"/>
    <n v="283"/>
    <n v="496"/>
    <n v="56"/>
    <x v="1214"/>
    <x v="0"/>
  </r>
  <r>
    <n v="24043"/>
    <x v="20"/>
    <s v="Washington"/>
    <n v="2727"/>
    <n v="530"/>
    <n v="355"/>
    <n v="380"/>
    <n v="731"/>
    <n v="731"/>
    <n v="816"/>
    <n v="990"/>
    <n v="921"/>
    <n v="2374"/>
    <n v="353"/>
    <x v="1215"/>
    <x v="0"/>
  </r>
  <r>
    <n v="24045"/>
    <x v="20"/>
    <s v="Wicomico"/>
    <n v="1603"/>
    <n v="272"/>
    <n v="170"/>
    <n v="206"/>
    <n v="507"/>
    <n v="448"/>
    <n v="424"/>
    <n v="520"/>
    <n v="659"/>
    <n v="1386"/>
    <n v="217"/>
    <x v="1216"/>
    <x v="0"/>
  </r>
  <r>
    <n v="24047"/>
    <x v="20"/>
    <s v="Worcester"/>
    <n v="867"/>
    <n v="144"/>
    <n v="114"/>
    <n v="97"/>
    <n v="272"/>
    <n v="240"/>
    <n v="197"/>
    <n v="270"/>
    <n v="400"/>
    <n v="779"/>
    <n v="87"/>
    <x v="1217"/>
    <x v="0"/>
  </r>
  <r>
    <n v="24510"/>
    <x v="20"/>
    <s v="Baltimore City"/>
    <n v="6691"/>
    <n v="1318"/>
    <n v="742"/>
    <n v="839"/>
    <n v="1985"/>
    <n v="1807"/>
    <n v="2005"/>
    <n v="2238"/>
    <n v="2448"/>
    <n v="5460"/>
    <n v="1229"/>
    <x v="1218"/>
    <x v="0"/>
  </r>
  <r>
    <n v="25001"/>
    <x v="21"/>
    <s v="Barnstable"/>
    <n v="4155"/>
    <n v="1296"/>
    <n v="512"/>
    <n v="536"/>
    <n v="967"/>
    <n v="844"/>
    <n v="581"/>
    <n v="942"/>
    <n v="2632"/>
    <n v="3870"/>
    <n v="284"/>
    <x v="1219"/>
    <x v="0"/>
  </r>
  <r>
    <n v="25003"/>
    <x v="21"/>
    <s v="Berkshire"/>
    <n v="1588"/>
    <n v="435"/>
    <n v="195"/>
    <n v="181"/>
    <n v="424"/>
    <n v="353"/>
    <n v="312"/>
    <n v="378"/>
    <n v="898"/>
    <n v="1471"/>
    <n v="117"/>
    <x v="1220"/>
    <x v="0"/>
  </r>
  <r>
    <n v="25005"/>
    <x v="21"/>
    <s v="Bristol"/>
    <n v="7767"/>
    <n v="1977"/>
    <n v="875"/>
    <n v="984"/>
    <n v="2280"/>
    <n v="1651"/>
    <n v="2076"/>
    <n v="2126"/>
    <n v="3565"/>
    <n v="7148"/>
    <n v="619"/>
    <x v="1221"/>
    <x v="0"/>
  </r>
  <r>
    <n v="25007"/>
    <x v="21"/>
    <s v="Dukes"/>
    <n v="139"/>
    <n v="41"/>
    <n v="12"/>
    <n v="22"/>
    <n v="33"/>
    <n v="31"/>
    <n v="29"/>
    <n v="27"/>
    <n v="83"/>
    <n v="129"/>
    <n v="10"/>
    <x v="1222"/>
    <x v="0"/>
  </r>
  <r>
    <n v="25009"/>
    <x v="21"/>
    <s v="Essex"/>
    <n v="7491"/>
    <n v="2096"/>
    <n v="987"/>
    <n v="952"/>
    <n v="1966"/>
    <n v="1490"/>
    <n v="1995"/>
    <n v="1750"/>
    <n v="3746"/>
    <n v="6976"/>
    <n v="513"/>
    <x v="1223"/>
    <x v="0"/>
  </r>
  <r>
    <n v="25011"/>
    <x v="21"/>
    <s v="Franklin"/>
    <n v="1170"/>
    <n v="318"/>
    <n v="126"/>
    <n v="136"/>
    <n v="320"/>
    <n v="270"/>
    <n v="227"/>
    <n v="289"/>
    <n v="654"/>
    <n v="1072"/>
    <n v="98"/>
    <x v="1224"/>
    <x v="0"/>
  </r>
  <r>
    <n v="25013"/>
    <x v="21"/>
    <s v="Hampden"/>
    <n v="6689"/>
    <n v="1700"/>
    <n v="769"/>
    <n v="716"/>
    <n v="1922"/>
    <n v="1582"/>
    <n v="1726"/>
    <n v="1889"/>
    <n v="3074"/>
    <n v="6022"/>
    <n v="665"/>
    <x v="1225"/>
    <x v="0"/>
  </r>
  <r>
    <n v="25015"/>
    <x v="21"/>
    <s v="Hampshire"/>
    <n v="2190"/>
    <n v="554"/>
    <n v="255"/>
    <n v="257"/>
    <n v="574"/>
    <n v="550"/>
    <n v="462"/>
    <n v="634"/>
    <n v="1094"/>
    <n v="1964"/>
    <n v="226"/>
    <x v="1226"/>
    <x v="0"/>
  </r>
  <r>
    <n v="25017"/>
    <x v="21"/>
    <s v="Middlesex"/>
    <n v="12971"/>
    <n v="3403"/>
    <n v="1673"/>
    <n v="1569"/>
    <n v="3553"/>
    <n v="2773"/>
    <n v="3910"/>
    <n v="3026"/>
    <n v="6035"/>
    <n v="11857"/>
    <n v="1112"/>
    <x v="1227"/>
    <x v="0"/>
  </r>
  <r>
    <n v="25019"/>
    <x v="21"/>
    <s v="Nantucket"/>
    <n v="36"/>
    <n v="11"/>
    <m/>
    <m/>
    <m/>
    <n v="10"/>
    <m/>
    <m/>
    <n v="17"/>
    <m/>
    <m/>
    <x v="1228"/>
    <x v="0"/>
  </r>
  <r>
    <n v="25021"/>
    <x v="21"/>
    <s v="Norfolk"/>
    <n v="7222"/>
    <n v="1888"/>
    <n v="811"/>
    <n v="838"/>
    <n v="1985"/>
    <n v="1700"/>
    <n v="2034"/>
    <n v="1755"/>
    <n v="3433"/>
    <n v="6681"/>
    <n v="541"/>
    <x v="1229"/>
    <x v="0"/>
  </r>
  <r>
    <n v="25023"/>
    <x v="21"/>
    <s v="Plymouth"/>
    <n v="9040"/>
    <n v="2400"/>
    <n v="911"/>
    <n v="986"/>
    <n v="2482"/>
    <n v="2261"/>
    <n v="2280"/>
    <n v="2241"/>
    <n v="4519"/>
    <n v="8362"/>
    <n v="676"/>
    <x v="1230"/>
    <x v="0"/>
  </r>
  <r>
    <n v="25025"/>
    <x v="21"/>
    <s v="Suffolk"/>
    <n v="5347"/>
    <n v="1106"/>
    <n v="512"/>
    <n v="582"/>
    <n v="1658"/>
    <n v="1489"/>
    <n v="2473"/>
    <n v="1186"/>
    <n v="1688"/>
    <n v="4836"/>
    <n v="511"/>
    <x v="1231"/>
    <x v="0"/>
  </r>
  <r>
    <n v="25027"/>
    <x v="21"/>
    <s v="Worcester"/>
    <n v="10758"/>
    <n v="2730"/>
    <n v="1246"/>
    <n v="1288"/>
    <n v="3070"/>
    <n v="2424"/>
    <n v="3188"/>
    <n v="2894"/>
    <n v="4676"/>
    <n v="9807"/>
    <n v="950"/>
    <x v="1232"/>
    <x v="0"/>
  </r>
  <r>
    <n v="26001"/>
    <x v="22"/>
    <s v="Alcona"/>
    <n v="400"/>
    <n v="105"/>
    <n v="44"/>
    <n v="45"/>
    <n v="121"/>
    <n v="85"/>
    <n v="54"/>
    <n v="95"/>
    <n v="251"/>
    <n v="371"/>
    <n v="29"/>
    <x v="1233"/>
    <x v="0"/>
  </r>
  <r>
    <n v="26003"/>
    <x v="22"/>
    <s v="Alger"/>
    <n v="287"/>
    <n v="80"/>
    <n v="34"/>
    <n v="37"/>
    <n v="77"/>
    <n v="59"/>
    <n v="40"/>
    <n v="90"/>
    <n v="157"/>
    <n v="266"/>
    <n v="21"/>
    <x v="1234"/>
    <x v="0"/>
  </r>
  <r>
    <n v="26005"/>
    <x v="22"/>
    <s v="Allegan"/>
    <n v="1452"/>
    <n v="275"/>
    <n v="179"/>
    <n v="206"/>
    <n v="435"/>
    <n v="357"/>
    <n v="480"/>
    <n v="381"/>
    <n v="591"/>
    <n v="1322"/>
    <n v="130"/>
    <x v="1235"/>
    <x v="0"/>
  </r>
  <r>
    <n v="26007"/>
    <x v="22"/>
    <s v="Alpena"/>
    <n v="738"/>
    <n v="190"/>
    <n v="83"/>
    <n v="89"/>
    <n v="225"/>
    <n v="151"/>
    <n v="151"/>
    <n v="203"/>
    <n v="384"/>
    <n v="675"/>
    <n v="63"/>
    <x v="1236"/>
    <x v="0"/>
  </r>
  <r>
    <n v="26009"/>
    <x v="22"/>
    <s v="Antrim"/>
    <n v="567"/>
    <n v="145"/>
    <n v="59"/>
    <n v="63"/>
    <n v="182"/>
    <n v="118"/>
    <n v="106"/>
    <n v="159"/>
    <n v="302"/>
    <n v="518"/>
    <n v="49"/>
    <x v="1237"/>
    <x v="0"/>
  </r>
  <r>
    <n v="26011"/>
    <x v="22"/>
    <s v="Arenac"/>
    <n v="383"/>
    <n v="98"/>
    <n v="35"/>
    <n v="42"/>
    <n v="117"/>
    <n v="91"/>
    <n v="62"/>
    <n v="108"/>
    <n v="213"/>
    <n v="363"/>
    <n v="20"/>
    <x v="1238"/>
    <x v="0"/>
  </r>
  <r>
    <n v="26013"/>
    <x v="22"/>
    <s v="Baraga"/>
    <n v="355"/>
    <n v="99"/>
    <n v="39"/>
    <n v="41"/>
    <n v="95"/>
    <n v="81"/>
    <n v="59"/>
    <n v="121"/>
    <n v="175"/>
    <n v="332"/>
    <n v="23"/>
    <x v="1239"/>
    <x v="0"/>
  </r>
  <r>
    <n v="26015"/>
    <x v="22"/>
    <s v="Barry"/>
    <n v="1125"/>
    <n v="217"/>
    <n v="126"/>
    <n v="161"/>
    <n v="319"/>
    <n v="302"/>
    <n v="338"/>
    <n v="325"/>
    <n v="462"/>
    <n v="1022"/>
    <n v="103"/>
    <x v="1240"/>
    <x v="0"/>
  </r>
  <r>
    <n v="26017"/>
    <x v="22"/>
    <s v="Bay"/>
    <n v="2146"/>
    <n v="546"/>
    <n v="253"/>
    <n v="252"/>
    <n v="597"/>
    <n v="498"/>
    <n v="434"/>
    <n v="645"/>
    <n v="1067"/>
    <n v="1959"/>
    <n v="186"/>
    <x v="1241"/>
    <x v="0"/>
  </r>
  <r>
    <n v="26019"/>
    <x v="22"/>
    <s v="Benzie"/>
    <n v="487"/>
    <n v="132"/>
    <n v="60"/>
    <n v="49"/>
    <n v="142"/>
    <n v="104"/>
    <n v="85"/>
    <n v="136"/>
    <n v="266"/>
    <n v="449"/>
    <n v="38"/>
    <x v="1242"/>
    <x v="0"/>
  </r>
  <r>
    <n v="26021"/>
    <x v="22"/>
    <s v="Berrien"/>
    <n v="2196"/>
    <n v="476"/>
    <n v="252"/>
    <n v="282"/>
    <n v="654"/>
    <n v="532"/>
    <n v="535"/>
    <n v="609"/>
    <n v="1052"/>
    <n v="2011"/>
    <n v="184"/>
    <x v="1243"/>
    <x v="0"/>
  </r>
  <r>
    <n v="26023"/>
    <x v="22"/>
    <s v="Branch"/>
    <n v="651"/>
    <n v="124"/>
    <n v="67"/>
    <n v="83"/>
    <n v="224"/>
    <n v="153"/>
    <n v="159"/>
    <n v="177"/>
    <n v="315"/>
    <n v="585"/>
    <n v="66"/>
    <x v="1244"/>
    <x v="0"/>
  </r>
  <r>
    <n v="26025"/>
    <x v="22"/>
    <s v="Calhoun"/>
    <n v="2725"/>
    <n v="468"/>
    <n v="299"/>
    <n v="304"/>
    <n v="907"/>
    <n v="747"/>
    <n v="748"/>
    <n v="903"/>
    <n v="1074"/>
    <n v="2405"/>
    <n v="319"/>
    <x v="1245"/>
    <x v="0"/>
  </r>
  <r>
    <n v="26027"/>
    <x v="22"/>
    <s v="Cass"/>
    <n v="788"/>
    <n v="161"/>
    <n v="94"/>
    <n v="100"/>
    <n v="230"/>
    <n v="203"/>
    <n v="194"/>
    <n v="197"/>
    <n v="397"/>
    <n v="724"/>
    <n v="64"/>
    <x v="1246"/>
    <x v="0"/>
  </r>
  <r>
    <n v="26029"/>
    <x v="22"/>
    <s v="Charlevoix"/>
    <n v="498"/>
    <n v="135"/>
    <n v="65"/>
    <n v="59"/>
    <n v="135"/>
    <n v="104"/>
    <n v="101"/>
    <n v="134"/>
    <n v="263"/>
    <n v="457"/>
    <n v="41"/>
    <x v="1247"/>
    <x v="0"/>
  </r>
  <r>
    <n v="26031"/>
    <x v="22"/>
    <s v="Cheboygan"/>
    <n v="723"/>
    <n v="187"/>
    <n v="79"/>
    <n v="81"/>
    <n v="209"/>
    <n v="167"/>
    <n v="115"/>
    <n v="204"/>
    <n v="404"/>
    <n v="675"/>
    <n v="48"/>
    <x v="1248"/>
    <x v="0"/>
  </r>
  <r>
    <n v="26033"/>
    <x v="22"/>
    <s v="Chippewa"/>
    <n v="1094"/>
    <n v="258"/>
    <n v="127"/>
    <n v="140"/>
    <n v="328"/>
    <n v="241"/>
    <n v="224"/>
    <n v="349"/>
    <n v="521"/>
    <n v="1001"/>
    <n v="93"/>
    <x v="1249"/>
    <x v="0"/>
  </r>
  <r>
    <n v="26035"/>
    <x v="22"/>
    <s v="Clare"/>
    <n v="887"/>
    <n v="241"/>
    <n v="98"/>
    <n v="92"/>
    <n v="250"/>
    <n v="206"/>
    <n v="148"/>
    <n v="238"/>
    <n v="501"/>
    <n v="809"/>
    <n v="78"/>
    <x v="1250"/>
    <x v="0"/>
  </r>
  <r>
    <n v="26037"/>
    <x v="22"/>
    <s v="Clinton"/>
    <n v="1072"/>
    <n v="219"/>
    <n v="117"/>
    <n v="141"/>
    <n v="340"/>
    <n v="255"/>
    <n v="332"/>
    <n v="301"/>
    <n v="439"/>
    <n v="974"/>
    <n v="98"/>
    <x v="1251"/>
    <x v="0"/>
  </r>
  <r>
    <n v="26039"/>
    <x v="22"/>
    <s v="Crawford"/>
    <n v="534"/>
    <n v="142"/>
    <n v="57"/>
    <n v="57"/>
    <n v="168"/>
    <n v="110"/>
    <n v="103"/>
    <n v="193"/>
    <n v="238"/>
    <n v="490"/>
    <n v="44"/>
    <x v="1252"/>
    <x v="0"/>
  </r>
  <r>
    <n v="26041"/>
    <x v="22"/>
    <s v="Delta"/>
    <n v="1402"/>
    <n v="381"/>
    <n v="147"/>
    <n v="161"/>
    <n v="392"/>
    <n v="321"/>
    <n v="233"/>
    <n v="432"/>
    <n v="737"/>
    <n v="1292"/>
    <n v="110"/>
    <x v="1253"/>
    <x v="0"/>
  </r>
  <r>
    <n v="26043"/>
    <x v="22"/>
    <s v="Dickinson"/>
    <n v="1133"/>
    <n v="272"/>
    <n v="123"/>
    <n v="154"/>
    <n v="341"/>
    <n v="243"/>
    <n v="253"/>
    <n v="354"/>
    <n v="526"/>
    <n v="1026"/>
    <n v="107"/>
    <x v="1254"/>
    <x v="0"/>
  </r>
  <r>
    <n v="26045"/>
    <x v="22"/>
    <s v="Eaton"/>
    <n v="1830"/>
    <n v="347"/>
    <n v="214"/>
    <n v="219"/>
    <n v="592"/>
    <n v="458"/>
    <n v="515"/>
    <n v="553"/>
    <n v="762"/>
    <n v="1639"/>
    <n v="189"/>
    <x v="1255"/>
    <x v="0"/>
  </r>
  <r>
    <n v="26047"/>
    <x v="22"/>
    <s v="Emmet"/>
    <n v="646"/>
    <n v="173"/>
    <n v="82"/>
    <n v="75"/>
    <n v="175"/>
    <n v="141"/>
    <n v="114"/>
    <n v="187"/>
    <n v="345"/>
    <n v="596"/>
    <n v="50"/>
    <x v="1256"/>
    <x v="0"/>
  </r>
  <r>
    <n v="26049"/>
    <x v="22"/>
    <s v="Genesee"/>
    <n v="6202"/>
    <n v="1551"/>
    <n v="758"/>
    <n v="692"/>
    <n v="1763"/>
    <n v="1438"/>
    <n v="1468"/>
    <n v="1883"/>
    <n v="2851"/>
    <n v="5657"/>
    <n v="542"/>
    <x v="1257"/>
    <x v="0"/>
  </r>
  <r>
    <n v="26051"/>
    <x v="22"/>
    <s v="Gladwin"/>
    <n v="654"/>
    <n v="141"/>
    <n v="73"/>
    <n v="77"/>
    <n v="204"/>
    <n v="159"/>
    <n v="126"/>
    <n v="174"/>
    <n v="354"/>
    <n v="607"/>
    <n v="47"/>
    <x v="1258"/>
    <x v="0"/>
  </r>
  <r>
    <n v="26053"/>
    <x v="22"/>
    <s v="Gogebic"/>
    <n v="401"/>
    <n v="104"/>
    <n v="40"/>
    <n v="56"/>
    <n v="108"/>
    <n v="93"/>
    <n v="65"/>
    <n v="124"/>
    <n v="212"/>
    <n v="375"/>
    <n v="26"/>
    <x v="1259"/>
    <x v="0"/>
  </r>
  <r>
    <n v="26055"/>
    <x v="22"/>
    <s v="Grand Traverse"/>
    <n v="1710"/>
    <n v="458"/>
    <n v="210"/>
    <n v="213"/>
    <n v="458"/>
    <n v="371"/>
    <n v="406"/>
    <n v="484"/>
    <n v="820"/>
    <n v="1578"/>
    <n v="132"/>
    <x v="1260"/>
    <x v="0"/>
  </r>
  <r>
    <n v="26057"/>
    <x v="22"/>
    <s v="Gratiot"/>
    <n v="716"/>
    <n v="205"/>
    <n v="85"/>
    <n v="78"/>
    <n v="189"/>
    <n v="159"/>
    <n v="139"/>
    <n v="187"/>
    <n v="390"/>
    <n v="668"/>
    <n v="48"/>
    <x v="1261"/>
    <x v="0"/>
  </r>
  <r>
    <n v="26059"/>
    <x v="22"/>
    <s v="Hillsdale"/>
    <n v="779"/>
    <n v="174"/>
    <n v="72"/>
    <n v="111"/>
    <n v="243"/>
    <n v="179"/>
    <n v="197"/>
    <n v="222"/>
    <n v="360"/>
    <n v="712"/>
    <n v="67"/>
    <x v="1262"/>
    <x v="0"/>
  </r>
  <r>
    <n v="26061"/>
    <x v="22"/>
    <s v="Houghton"/>
    <n v="1235"/>
    <n v="416"/>
    <n v="147"/>
    <n v="127"/>
    <n v="278"/>
    <n v="267"/>
    <n v="173"/>
    <n v="324"/>
    <n v="738"/>
    <n v="1160"/>
    <n v="75"/>
    <x v="1263"/>
    <x v="0"/>
  </r>
  <r>
    <n v="26063"/>
    <x v="22"/>
    <s v="Huron"/>
    <n v="605"/>
    <n v="176"/>
    <n v="70"/>
    <n v="73"/>
    <n v="163"/>
    <n v="123"/>
    <n v="89"/>
    <n v="154"/>
    <n v="362"/>
    <n v="579"/>
    <n v="26"/>
    <x v="1264"/>
    <x v="0"/>
  </r>
  <r>
    <n v="26065"/>
    <x v="22"/>
    <s v="Ingham"/>
    <n v="2985"/>
    <n v="573"/>
    <n v="364"/>
    <n v="356"/>
    <n v="961"/>
    <n v="731"/>
    <n v="958"/>
    <n v="878"/>
    <n v="1149"/>
    <n v="2621"/>
    <n v="364"/>
    <x v="1265"/>
    <x v="0"/>
  </r>
  <r>
    <n v="26067"/>
    <x v="22"/>
    <s v="Ionia"/>
    <n v="911"/>
    <n v="155"/>
    <n v="100"/>
    <n v="126"/>
    <n v="285"/>
    <n v="245"/>
    <n v="288"/>
    <n v="246"/>
    <n v="377"/>
    <n v="833"/>
    <n v="78"/>
    <x v="1266"/>
    <x v="0"/>
  </r>
  <r>
    <n v="26069"/>
    <x v="22"/>
    <s v="Iosco"/>
    <n v="828"/>
    <n v="231"/>
    <n v="98"/>
    <n v="103"/>
    <n v="227"/>
    <n v="169"/>
    <n v="145"/>
    <n v="234"/>
    <n v="449"/>
    <n v="771"/>
    <n v="57"/>
    <x v="1267"/>
    <x v="0"/>
  </r>
  <r>
    <n v="26071"/>
    <x v="22"/>
    <s v="Iron"/>
    <n v="486"/>
    <n v="120"/>
    <n v="52"/>
    <n v="57"/>
    <n v="155"/>
    <n v="102"/>
    <n v="61"/>
    <n v="135"/>
    <n v="290"/>
    <n v="441"/>
    <n v="45"/>
    <x v="1268"/>
    <x v="0"/>
  </r>
  <r>
    <n v="26073"/>
    <x v="22"/>
    <s v="Isabella"/>
    <n v="962"/>
    <n v="204"/>
    <n v="105"/>
    <n v="134"/>
    <n v="293"/>
    <n v="226"/>
    <n v="298"/>
    <n v="248"/>
    <n v="416"/>
    <n v="874"/>
    <n v="88"/>
    <x v="1269"/>
    <x v="0"/>
  </r>
  <r>
    <n v="26075"/>
    <x v="22"/>
    <s v="Jackson"/>
    <n v="2406"/>
    <n v="573"/>
    <n v="289"/>
    <n v="302"/>
    <n v="721"/>
    <n v="521"/>
    <n v="660"/>
    <n v="728"/>
    <n v="1018"/>
    <n v="2178"/>
    <n v="228"/>
    <x v="1270"/>
    <x v="0"/>
  </r>
  <r>
    <n v="26077"/>
    <x v="22"/>
    <s v="Kalamazoo"/>
    <n v="3082"/>
    <n v="573"/>
    <n v="349"/>
    <n v="407"/>
    <n v="956"/>
    <n v="797"/>
    <n v="1030"/>
    <n v="890"/>
    <n v="1162"/>
    <n v="2722"/>
    <n v="360"/>
    <x v="1271"/>
    <x v="0"/>
  </r>
  <r>
    <n v="26079"/>
    <x v="22"/>
    <s v="Kalkaska"/>
    <n v="437"/>
    <n v="124"/>
    <n v="43"/>
    <n v="45"/>
    <n v="124"/>
    <n v="101"/>
    <n v="98"/>
    <n v="106"/>
    <n v="233"/>
    <n v="409"/>
    <n v="28"/>
    <x v="1272"/>
    <x v="0"/>
  </r>
  <r>
    <n v="26081"/>
    <x v="22"/>
    <s v="Kent"/>
    <n v="6565"/>
    <n v="1242"/>
    <n v="756"/>
    <n v="855"/>
    <n v="2039"/>
    <n v="1673"/>
    <n v="2230"/>
    <n v="1641"/>
    <n v="2694"/>
    <n v="5906"/>
    <n v="659"/>
    <x v="1273"/>
    <x v="0"/>
  </r>
  <r>
    <n v="26083"/>
    <x v="22"/>
    <s v="Keweenaw"/>
    <n v="138"/>
    <n v="55"/>
    <n v="16"/>
    <n v="14"/>
    <n v="31"/>
    <n v="22"/>
    <n v="18"/>
    <n v="30"/>
    <n v="90"/>
    <n v="127"/>
    <n v="11"/>
    <x v="1274"/>
    <x v="0"/>
  </r>
  <r>
    <n v="26085"/>
    <x v="22"/>
    <s v="Lake"/>
    <n v="310"/>
    <n v="61"/>
    <n v="36"/>
    <n v="39"/>
    <n v="94"/>
    <n v="80"/>
    <n v="52"/>
    <n v="86"/>
    <n v="172"/>
    <n v="295"/>
    <n v="15"/>
    <x v="1275"/>
    <x v="0"/>
  </r>
  <r>
    <n v="26087"/>
    <x v="22"/>
    <s v="Lapeer"/>
    <n v="1794"/>
    <n v="483"/>
    <n v="224"/>
    <n v="206"/>
    <n v="486"/>
    <n v="395"/>
    <n v="430"/>
    <n v="524"/>
    <n v="840"/>
    <n v="1664"/>
    <n v="130"/>
    <x v="1276"/>
    <x v="0"/>
  </r>
  <r>
    <n v="26089"/>
    <x v="22"/>
    <s v="Leelanau"/>
    <n v="368"/>
    <n v="125"/>
    <n v="47"/>
    <n v="50"/>
    <n v="78"/>
    <n v="68"/>
    <n v="51"/>
    <n v="90"/>
    <n v="227"/>
    <n v="335"/>
    <n v="33"/>
    <x v="1277"/>
    <x v="0"/>
  </r>
  <r>
    <n v="26091"/>
    <x v="22"/>
    <s v="Lenawee"/>
    <n v="1768"/>
    <n v="415"/>
    <n v="237"/>
    <n v="229"/>
    <n v="509"/>
    <n v="378"/>
    <n v="450"/>
    <n v="511"/>
    <n v="807"/>
    <n v="1614"/>
    <n v="153"/>
    <x v="1278"/>
    <x v="0"/>
  </r>
  <r>
    <n v="26093"/>
    <x v="22"/>
    <s v="Livingston"/>
    <n v="3292"/>
    <n v="776"/>
    <n v="403"/>
    <n v="381"/>
    <n v="858"/>
    <n v="874"/>
    <n v="911"/>
    <n v="830"/>
    <n v="1551"/>
    <n v="3069"/>
    <n v="221"/>
    <x v="1279"/>
    <x v="0"/>
  </r>
  <r>
    <n v="26095"/>
    <x v="22"/>
    <s v="Luce"/>
    <n v="164"/>
    <n v="42"/>
    <n v="13"/>
    <n v="22"/>
    <n v="54"/>
    <n v="33"/>
    <n v="31"/>
    <n v="52"/>
    <n v="81"/>
    <n v="151"/>
    <n v="13"/>
    <x v="1280"/>
    <x v="0"/>
  </r>
  <r>
    <n v="26097"/>
    <x v="22"/>
    <s v="Mackinac"/>
    <n v="304"/>
    <n v="56"/>
    <n v="40"/>
    <n v="45"/>
    <n v="91"/>
    <n v="72"/>
    <n v="53"/>
    <n v="88"/>
    <n v="163"/>
    <n v="282"/>
    <n v="22"/>
    <x v="1281"/>
    <x v="0"/>
  </r>
  <r>
    <n v="26099"/>
    <x v="22"/>
    <s v="Macomb"/>
    <n v="10725"/>
    <n v="2428"/>
    <n v="1344"/>
    <n v="1355"/>
    <n v="3030"/>
    <n v="2568"/>
    <n v="2658"/>
    <n v="3230"/>
    <n v="4837"/>
    <n v="9692"/>
    <n v="1031"/>
    <x v="1282"/>
    <x v="0"/>
  </r>
  <r>
    <n v="26101"/>
    <x v="22"/>
    <s v="Manistee"/>
    <n v="626"/>
    <n v="164"/>
    <n v="64"/>
    <n v="70"/>
    <n v="190"/>
    <n v="138"/>
    <n v="88"/>
    <n v="184"/>
    <n v="354"/>
    <n v="586"/>
    <n v="40"/>
    <x v="1283"/>
    <x v="0"/>
  </r>
  <r>
    <n v="26103"/>
    <x v="22"/>
    <s v="Marquette"/>
    <n v="2281"/>
    <n v="591"/>
    <n v="306"/>
    <n v="274"/>
    <n v="634"/>
    <n v="476"/>
    <n v="421"/>
    <n v="687"/>
    <n v="1173"/>
    <n v="2090"/>
    <n v="191"/>
    <x v="1284"/>
    <x v="0"/>
  </r>
  <r>
    <n v="26105"/>
    <x v="22"/>
    <s v="Mason"/>
    <n v="560"/>
    <n v="128"/>
    <n v="59"/>
    <n v="74"/>
    <n v="155"/>
    <n v="144"/>
    <n v="113"/>
    <n v="158"/>
    <n v="289"/>
    <n v="510"/>
    <n v="50"/>
    <x v="1285"/>
    <x v="0"/>
  </r>
  <r>
    <n v="26107"/>
    <x v="22"/>
    <s v="Mecosta"/>
    <n v="821"/>
    <n v="167"/>
    <n v="98"/>
    <n v="106"/>
    <n v="243"/>
    <n v="207"/>
    <n v="216"/>
    <n v="211"/>
    <n v="394"/>
    <n v="758"/>
    <n v="63"/>
    <x v="1286"/>
    <x v="0"/>
  </r>
  <r>
    <n v="26109"/>
    <x v="22"/>
    <s v="Menominee"/>
    <n v="687"/>
    <n v="186"/>
    <n v="67"/>
    <n v="98"/>
    <n v="205"/>
    <n v="131"/>
    <n v="117"/>
    <n v="200"/>
    <n v="370"/>
    <n v="629"/>
    <n v="58"/>
    <x v="1287"/>
    <x v="0"/>
  </r>
  <r>
    <n v="26111"/>
    <x v="22"/>
    <s v="Midland"/>
    <n v="1757"/>
    <n v="500"/>
    <n v="210"/>
    <n v="201"/>
    <n v="482"/>
    <n v="364"/>
    <n v="444"/>
    <n v="493"/>
    <n v="820"/>
    <n v="1616"/>
    <n v="141"/>
    <x v="1288"/>
    <x v="0"/>
  </r>
  <r>
    <n v="26113"/>
    <x v="22"/>
    <s v="Missaukee"/>
    <n v="318"/>
    <n v="76"/>
    <n v="31"/>
    <n v="45"/>
    <n v="90"/>
    <n v="76"/>
    <n v="76"/>
    <n v="84"/>
    <n v="158"/>
    <n v="294"/>
    <n v="24"/>
    <x v="1289"/>
    <x v="0"/>
  </r>
  <r>
    <n v="26115"/>
    <x v="22"/>
    <s v="Monroe"/>
    <n v="2640"/>
    <n v="669"/>
    <n v="324"/>
    <n v="329"/>
    <n v="739"/>
    <n v="579"/>
    <n v="677"/>
    <n v="772"/>
    <n v="1191"/>
    <n v="2452"/>
    <n v="188"/>
    <x v="1290"/>
    <x v="0"/>
  </r>
  <r>
    <n v="26117"/>
    <x v="22"/>
    <s v="Montcalm"/>
    <n v="1221"/>
    <n v="244"/>
    <n v="130"/>
    <n v="148"/>
    <n v="364"/>
    <n v="335"/>
    <n v="343"/>
    <n v="342"/>
    <n v="536"/>
    <n v="1100"/>
    <n v="121"/>
    <x v="1291"/>
    <x v="0"/>
  </r>
  <r>
    <n v="26119"/>
    <x v="22"/>
    <s v="Montmorency"/>
    <n v="386"/>
    <n v="82"/>
    <n v="43"/>
    <n v="54"/>
    <n v="128"/>
    <n v="79"/>
    <n v="58"/>
    <n v="103"/>
    <n v="225"/>
    <n v="358"/>
    <n v="28"/>
    <x v="1292"/>
    <x v="0"/>
  </r>
  <r>
    <n v="26121"/>
    <x v="22"/>
    <s v="Muskegon"/>
    <n v="3107"/>
    <n v="611"/>
    <n v="337"/>
    <n v="373"/>
    <n v="934"/>
    <n v="852"/>
    <n v="799"/>
    <n v="951"/>
    <n v="1357"/>
    <n v="2790"/>
    <n v="317"/>
    <x v="1293"/>
    <x v="0"/>
  </r>
  <r>
    <n v="26123"/>
    <x v="22"/>
    <s v="Newaygo"/>
    <n v="1071"/>
    <n v="193"/>
    <n v="105"/>
    <n v="137"/>
    <n v="359"/>
    <n v="277"/>
    <n v="288"/>
    <n v="271"/>
    <n v="512"/>
    <n v="985"/>
    <n v="86"/>
    <x v="1294"/>
    <x v="0"/>
  </r>
  <r>
    <n v="26125"/>
    <x v="22"/>
    <s v="Oakland"/>
    <n v="11507"/>
    <n v="2725"/>
    <n v="1467"/>
    <n v="1430"/>
    <n v="3121"/>
    <n v="2764"/>
    <n v="3009"/>
    <n v="3185"/>
    <n v="5312"/>
    <n v="10410"/>
    <n v="1095"/>
    <x v="1295"/>
    <x v="0"/>
  </r>
  <r>
    <n v="26127"/>
    <x v="22"/>
    <s v="Oceana"/>
    <n v="559"/>
    <n v="89"/>
    <n v="58"/>
    <n v="71"/>
    <n v="175"/>
    <n v="166"/>
    <n v="129"/>
    <n v="145"/>
    <n v="285"/>
    <n v="506"/>
    <n v="53"/>
    <x v="1296"/>
    <x v="0"/>
  </r>
  <r>
    <n v="26129"/>
    <x v="22"/>
    <s v="Ogemaw"/>
    <n v="615"/>
    <n v="137"/>
    <n v="70"/>
    <n v="71"/>
    <n v="183"/>
    <n v="154"/>
    <n v="128"/>
    <n v="180"/>
    <n v="307"/>
    <n v="574"/>
    <n v="40"/>
    <x v="1297"/>
    <x v="0"/>
  </r>
  <r>
    <n v="26131"/>
    <x v="22"/>
    <s v="Ontonagon"/>
    <n v="345"/>
    <n v="100"/>
    <n v="44"/>
    <n v="43"/>
    <n v="89"/>
    <n v="69"/>
    <n v="34"/>
    <n v="87"/>
    <n v="224"/>
    <n v="328"/>
    <n v="17"/>
    <x v="1298"/>
    <x v="0"/>
  </r>
  <r>
    <n v="26133"/>
    <x v="22"/>
    <s v="Osceola"/>
    <n v="537"/>
    <n v="133"/>
    <n v="67"/>
    <n v="60"/>
    <n v="147"/>
    <n v="130"/>
    <n v="100"/>
    <n v="143"/>
    <n v="294"/>
    <n v="494"/>
    <n v="43"/>
    <x v="1299"/>
    <x v="0"/>
  </r>
  <r>
    <n v="26135"/>
    <x v="22"/>
    <s v="Oscoda"/>
    <n v="277"/>
    <n v="55"/>
    <n v="32"/>
    <n v="30"/>
    <n v="88"/>
    <n v="72"/>
    <n v="38"/>
    <n v="94"/>
    <n v="145"/>
    <n v="260"/>
    <n v="17"/>
    <x v="1300"/>
    <x v="0"/>
  </r>
  <r>
    <n v="26137"/>
    <x v="22"/>
    <s v="Otsego"/>
    <n v="756"/>
    <n v="182"/>
    <n v="90"/>
    <n v="81"/>
    <n v="237"/>
    <n v="166"/>
    <n v="176"/>
    <n v="244"/>
    <n v="336"/>
    <n v="700"/>
    <n v="55"/>
    <x v="1301"/>
    <x v="0"/>
  </r>
  <r>
    <n v="26139"/>
    <x v="22"/>
    <s v="Ottawa"/>
    <n v="3057"/>
    <n v="623"/>
    <n v="382"/>
    <n v="361"/>
    <n v="903"/>
    <n v="788"/>
    <n v="1043"/>
    <n v="788"/>
    <n v="1226"/>
    <n v="2815"/>
    <n v="242"/>
    <x v="1302"/>
    <x v="0"/>
  </r>
  <r>
    <n v="26141"/>
    <x v="22"/>
    <s v="Presque Isle"/>
    <n v="425"/>
    <n v="128"/>
    <n v="53"/>
    <n v="54"/>
    <n v="96"/>
    <n v="94"/>
    <n v="51"/>
    <n v="102"/>
    <n v="272"/>
    <n v="394"/>
    <n v="31"/>
    <x v="1303"/>
    <x v="0"/>
  </r>
  <r>
    <n v="26143"/>
    <x v="22"/>
    <s v="Roscommon"/>
    <n v="749"/>
    <n v="187"/>
    <n v="85"/>
    <n v="105"/>
    <n v="218"/>
    <n v="154"/>
    <n v="121"/>
    <n v="189"/>
    <n v="439"/>
    <n v="695"/>
    <n v="54"/>
    <x v="1304"/>
    <x v="0"/>
  </r>
  <r>
    <n v="26145"/>
    <x v="22"/>
    <s v="Saginaw"/>
    <n v="3432"/>
    <n v="796"/>
    <n v="404"/>
    <n v="390"/>
    <n v="1042"/>
    <n v="800"/>
    <n v="659"/>
    <n v="1140"/>
    <n v="1633"/>
    <n v="3079"/>
    <n v="352"/>
    <x v="1305"/>
    <x v="0"/>
  </r>
  <r>
    <n v="26147"/>
    <x v="22"/>
    <s v="St. Clair"/>
    <n v="3314"/>
    <n v="923"/>
    <n v="378"/>
    <n v="421"/>
    <n v="887"/>
    <n v="705"/>
    <n v="793"/>
    <n v="949"/>
    <n v="1572"/>
    <n v="3058"/>
    <n v="255"/>
    <x v="1306"/>
    <x v="0"/>
  </r>
  <r>
    <n v="26149"/>
    <x v="22"/>
    <s v="St. Joseph"/>
    <n v="779"/>
    <n v="141"/>
    <n v="92"/>
    <n v="102"/>
    <n v="255"/>
    <n v="189"/>
    <n v="216"/>
    <n v="191"/>
    <n v="372"/>
    <n v="710"/>
    <n v="69"/>
    <x v="1307"/>
    <x v="0"/>
  </r>
  <r>
    <n v="26151"/>
    <x v="22"/>
    <s v="Sanilac"/>
    <n v="708"/>
    <n v="199"/>
    <n v="85"/>
    <n v="82"/>
    <n v="172"/>
    <n v="170"/>
    <n v="131"/>
    <n v="201"/>
    <n v="376"/>
    <n v="669"/>
    <n v="39"/>
    <x v="1308"/>
    <x v="0"/>
  </r>
  <r>
    <n v="26153"/>
    <x v="22"/>
    <s v="Schoolcraft"/>
    <n v="337"/>
    <n v="81"/>
    <n v="35"/>
    <n v="37"/>
    <n v="103"/>
    <n v="81"/>
    <n v="41"/>
    <n v="112"/>
    <n v="184"/>
    <n v="307"/>
    <n v="30"/>
    <x v="1309"/>
    <x v="0"/>
  </r>
  <r>
    <n v="26155"/>
    <x v="22"/>
    <s v="Shiawassee"/>
    <n v="1300"/>
    <n v="363"/>
    <n v="135"/>
    <n v="147"/>
    <n v="386"/>
    <n v="269"/>
    <n v="311"/>
    <n v="351"/>
    <n v="638"/>
    <n v="1196"/>
    <n v="103"/>
    <x v="1310"/>
    <x v="0"/>
  </r>
  <r>
    <n v="26157"/>
    <x v="22"/>
    <s v="Tuscola"/>
    <n v="1302"/>
    <n v="376"/>
    <n v="136"/>
    <n v="172"/>
    <n v="366"/>
    <n v="252"/>
    <n v="246"/>
    <n v="363"/>
    <n v="693"/>
    <n v="1204"/>
    <n v="98"/>
    <x v="1311"/>
    <x v="0"/>
  </r>
  <r>
    <n v="26159"/>
    <x v="22"/>
    <s v="Van Buren"/>
    <n v="1175"/>
    <n v="202"/>
    <n v="120"/>
    <n v="157"/>
    <n v="366"/>
    <n v="330"/>
    <n v="332"/>
    <n v="340"/>
    <n v="503"/>
    <n v="1057"/>
    <n v="118"/>
    <x v="1312"/>
    <x v="0"/>
  </r>
  <r>
    <n v="26161"/>
    <x v="22"/>
    <s v="Washtenaw"/>
    <n v="3461"/>
    <n v="821"/>
    <n v="454"/>
    <n v="405"/>
    <n v="956"/>
    <n v="825"/>
    <n v="1064"/>
    <n v="1004"/>
    <n v="1393"/>
    <n v="3084"/>
    <n v="376"/>
    <x v="1313"/>
    <x v="0"/>
  </r>
  <r>
    <n v="26163"/>
    <x v="22"/>
    <s v="Wayne"/>
    <n v="17379"/>
    <n v="4270"/>
    <n v="2176"/>
    <n v="2092"/>
    <n v="4942"/>
    <n v="3899"/>
    <n v="4021"/>
    <n v="5249"/>
    <n v="8108"/>
    <n v="15541"/>
    <n v="1835"/>
    <x v="1314"/>
    <x v="0"/>
  </r>
  <r>
    <n v="26165"/>
    <x v="22"/>
    <s v="Wexford"/>
    <n v="785"/>
    <n v="180"/>
    <n v="88"/>
    <n v="113"/>
    <n v="209"/>
    <n v="195"/>
    <n v="201"/>
    <n v="226"/>
    <n v="358"/>
    <n v="715"/>
    <n v="69"/>
    <x v="1315"/>
    <x v="0"/>
  </r>
  <r>
    <n v="27001"/>
    <x v="23"/>
    <s v="Aitkin"/>
    <n v="675"/>
    <n v="302"/>
    <n v="78"/>
    <n v="70"/>
    <n v="127"/>
    <n v="98"/>
    <n v="57"/>
    <n v="133"/>
    <n v="485"/>
    <n v="640"/>
    <n v="34"/>
    <x v="1316"/>
    <x v="0"/>
  </r>
  <r>
    <n v="27003"/>
    <x v="23"/>
    <s v="Anoka"/>
    <n v="6857"/>
    <n v="2760"/>
    <n v="922"/>
    <n v="702"/>
    <n v="1414"/>
    <n v="1059"/>
    <n v="1615"/>
    <n v="1651"/>
    <n v="3591"/>
    <n v="6324"/>
    <n v="520"/>
    <x v="1317"/>
    <x v="0"/>
  </r>
  <r>
    <n v="27005"/>
    <x v="23"/>
    <s v="Becker"/>
    <n v="845"/>
    <n v="269"/>
    <n v="107"/>
    <n v="90"/>
    <n v="203"/>
    <n v="176"/>
    <n v="123"/>
    <n v="211"/>
    <n v="511"/>
    <n v="779"/>
    <n v="66"/>
    <x v="1318"/>
    <x v="0"/>
  </r>
  <r>
    <n v="27007"/>
    <x v="23"/>
    <s v="Beltrami"/>
    <n v="1074"/>
    <n v="326"/>
    <n v="112"/>
    <n v="112"/>
    <n v="308"/>
    <n v="216"/>
    <n v="205"/>
    <n v="281"/>
    <n v="588"/>
    <n v="990"/>
    <n v="84"/>
    <x v="1319"/>
    <x v="0"/>
  </r>
  <r>
    <n v="27009"/>
    <x v="23"/>
    <s v="Benton"/>
    <n v="1210"/>
    <n v="545"/>
    <n v="139"/>
    <n v="119"/>
    <n v="207"/>
    <n v="200"/>
    <n v="260"/>
    <n v="289"/>
    <n v="661"/>
    <n v="1111"/>
    <n v="99"/>
    <x v="1320"/>
    <x v="0"/>
  </r>
  <r>
    <n v="27011"/>
    <x v="23"/>
    <s v="Big Stone"/>
    <n v="203"/>
    <n v="95"/>
    <n v="18"/>
    <n v="27"/>
    <n v="31"/>
    <n v="32"/>
    <n v="16"/>
    <n v="39"/>
    <n v="148"/>
    <m/>
    <m/>
    <x v="1321"/>
    <x v="0"/>
  </r>
  <r>
    <n v="27013"/>
    <x v="23"/>
    <s v="Blue Earth"/>
    <n v="1352"/>
    <n v="543"/>
    <n v="179"/>
    <n v="134"/>
    <n v="284"/>
    <n v="212"/>
    <n v="312"/>
    <n v="303"/>
    <n v="737"/>
    <n v="1260"/>
    <n v="91"/>
    <x v="1322"/>
    <x v="0"/>
  </r>
  <r>
    <n v="27015"/>
    <x v="23"/>
    <s v="Brown"/>
    <n v="628"/>
    <n v="292"/>
    <n v="77"/>
    <n v="65"/>
    <n v="105"/>
    <n v="89"/>
    <n v="116"/>
    <n v="117"/>
    <n v="395"/>
    <n v="589"/>
    <n v="38"/>
    <x v="1323"/>
    <x v="0"/>
  </r>
  <r>
    <n v="27017"/>
    <x v="23"/>
    <s v="Carlton"/>
    <n v="1154"/>
    <n v="439"/>
    <n v="120"/>
    <n v="109"/>
    <n v="282"/>
    <n v="204"/>
    <n v="225"/>
    <n v="345"/>
    <n v="584"/>
    <n v="1060"/>
    <n v="93"/>
    <x v="1324"/>
    <x v="0"/>
  </r>
  <r>
    <n v="27019"/>
    <x v="23"/>
    <s v="Carver"/>
    <n v="1626"/>
    <n v="678"/>
    <n v="231"/>
    <n v="195"/>
    <n v="301"/>
    <n v="221"/>
    <n v="325"/>
    <n v="390"/>
    <n v="911"/>
    <n v="1534"/>
    <n v="89"/>
    <x v="1325"/>
    <x v="0"/>
  </r>
  <r>
    <n v="27021"/>
    <x v="23"/>
    <s v="Cass"/>
    <n v="1134"/>
    <n v="431"/>
    <n v="131"/>
    <n v="128"/>
    <n v="234"/>
    <n v="210"/>
    <n v="141"/>
    <n v="270"/>
    <n v="723"/>
    <n v="1068"/>
    <n v="65"/>
    <x v="1326"/>
    <x v="0"/>
  </r>
  <r>
    <n v="27023"/>
    <x v="23"/>
    <s v="Chippewa"/>
    <n v="320"/>
    <n v="131"/>
    <n v="41"/>
    <n v="30"/>
    <n v="72"/>
    <n v="46"/>
    <n v="38"/>
    <n v="63"/>
    <n v="219"/>
    <n v="310"/>
    <n v="10"/>
    <x v="1327"/>
    <x v="0"/>
  </r>
  <r>
    <n v="27025"/>
    <x v="23"/>
    <s v="Chisago"/>
    <n v="1453"/>
    <n v="564"/>
    <n v="172"/>
    <n v="161"/>
    <n v="301"/>
    <n v="255"/>
    <n v="339"/>
    <n v="362"/>
    <n v="752"/>
    <n v="1337"/>
    <n v="112"/>
    <x v="1328"/>
    <x v="0"/>
  </r>
  <r>
    <n v="27027"/>
    <x v="23"/>
    <s v="Clay"/>
    <n v="1302"/>
    <n v="359"/>
    <n v="123"/>
    <n v="156"/>
    <n v="377"/>
    <n v="287"/>
    <n v="326"/>
    <n v="359"/>
    <n v="617"/>
    <n v="1160"/>
    <n v="142"/>
    <x v="1329"/>
    <x v="0"/>
  </r>
  <r>
    <n v="27029"/>
    <x v="23"/>
    <s v="Clearwater"/>
    <n v="275"/>
    <n v="81"/>
    <n v="40"/>
    <n v="34"/>
    <n v="79"/>
    <n v="41"/>
    <n v="46"/>
    <n v="57"/>
    <n v="172"/>
    <n v="257"/>
    <n v="18"/>
    <x v="1330"/>
    <x v="0"/>
  </r>
  <r>
    <n v="27031"/>
    <x v="23"/>
    <s v="Cook"/>
    <n v="117"/>
    <n v="45"/>
    <n v="10"/>
    <n v="13"/>
    <n v="27"/>
    <n v="22"/>
    <n v="12"/>
    <n v="26"/>
    <n v="79"/>
    <n v="104"/>
    <n v="11"/>
    <x v="1331"/>
    <x v="0"/>
  </r>
  <r>
    <n v="27033"/>
    <x v="23"/>
    <s v="Cottonwood"/>
    <n v="245"/>
    <n v="105"/>
    <n v="36"/>
    <n v="23"/>
    <n v="47"/>
    <n v="34"/>
    <n v="41"/>
    <n v="40"/>
    <n v="164"/>
    <n v="234"/>
    <n v="10"/>
    <x v="1332"/>
    <x v="0"/>
  </r>
  <r>
    <n v="27035"/>
    <x v="23"/>
    <s v="Crow Wing"/>
    <n v="2307"/>
    <n v="950"/>
    <n v="278"/>
    <n v="223"/>
    <n v="475"/>
    <n v="381"/>
    <n v="345"/>
    <n v="553"/>
    <n v="1409"/>
    <n v="2174"/>
    <n v="132"/>
    <x v="1333"/>
    <x v="0"/>
  </r>
  <r>
    <n v="27037"/>
    <x v="23"/>
    <s v="Dakota"/>
    <n v="8156"/>
    <n v="2938"/>
    <n v="1092"/>
    <n v="932"/>
    <n v="1803"/>
    <n v="1391"/>
    <n v="1998"/>
    <n v="2240"/>
    <n v="3918"/>
    <n v="7363"/>
    <n v="783"/>
    <x v="1334"/>
    <x v="0"/>
  </r>
  <r>
    <n v="27039"/>
    <x v="23"/>
    <s v="Dodge"/>
    <n v="429"/>
    <n v="166"/>
    <n v="40"/>
    <n v="54"/>
    <n v="97"/>
    <n v="72"/>
    <n v="105"/>
    <n v="109"/>
    <n v="215"/>
    <n v="390"/>
    <n v="38"/>
    <x v="1335"/>
    <x v="0"/>
  </r>
  <r>
    <n v="27041"/>
    <x v="23"/>
    <s v="Douglas"/>
    <n v="1025"/>
    <n v="437"/>
    <n v="130"/>
    <n v="116"/>
    <n v="183"/>
    <n v="159"/>
    <n v="165"/>
    <n v="211"/>
    <n v="649"/>
    <n v="956"/>
    <n v="69"/>
    <x v="1336"/>
    <x v="0"/>
  </r>
  <r>
    <n v="27043"/>
    <x v="23"/>
    <s v="Faribault"/>
    <n v="359"/>
    <n v="137"/>
    <n v="57"/>
    <n v="29"/>
    <n v="70"/>
    <n v="66"/>
    <n v="69"/>
    <n v="79"/>
    <n v="211"/>
    <n v="333"/>
    <n v="26"/>
    <x v="1337"/>
    <x v="0"/>
  </r>
  <r>
    <n v="27045"/>
    <x v="23"/>
    <s v="Fillmore"/>
    <n v="520"/>
    <n v="198"/>
    <n v="68"/>
    <n v="72"/>
    <n v="113"/>
    <n v="69"/>
    <n v="96"/>
    <n v="118"/>
    <n v="306"/>
    <n v="482"/>
    <n v="37"/>
    <x v="1338"/>
    <x v="0"/>
  </r>
  <r>
    <n v="27047"/>
    <x v="23"/>
    <s v="Freeborn"/>
    <n v="866"/>
    <n v="361"/>
    <n v="102"/>
    <n v="86"/>
    <n v="183"/>
    <n v="134"/>
    <n v="118"/>
    <n v="186"/>
    <n v="562"/>
    <n v="822"/>
    <n v="40"/>
    <x v="1339"/>
    <x v="0"/>
  </r>
  <r>
    <n v="27049"/>
    <x v="23"/>
    <s v="Goodhue"/>
    <n v="1091"/>
    <n v="409"/>
    <n v="166"/>
    <n v="136"/>
    <n v="214"/>
    <n v="166"/>
    <n v="242"/>
    <n v="276"/>
    <n v="573"/>
    <n v="997"/>
    <n v="93"/>
    <x v="1340"/>
    <x v="0"/>
  </r>
  <r>
    <n v="27051"/>
    <x v="23"/>
    <s v="Grant"/>
    <n v="120"/>
    <n v="41"/>
    <m/>
    <m/>
    <n v="35"/>
    <n v="18"/>
    <n v="21"/>
    <n v="22"/>
    <n v="77"/>
    <m/>
    <m/>
    <x v="1341"/>
    <x v="0"/>
  </r>
  <r>
    <n v="27053"/>
    <x v="23"/>
    <s v="Hennepin"/>
    <n v="12911"/>
    <n v="4827"/>
    <n v="1728"/>
    <n v="1463"/>
    <n v="2715"/>
    <n v="2178"/>
    <n v="3304"/>
    <n v="2951"/>
    <n v="6655"/>
    <n v="11656"/>
    <n v="1226"/>
    <x v="1342"/>
    <x v="0"/>
  </r>
  <r>
    <n v="27055"/>
    <x v="23"/>
    <s v="Houston"/>
    <n v="450"/>
    <n v="178"/>
    <n v="54"/>
    <n v="57"/>
    <n v="87"/>
    <n v="74"/>
    <n v="75"/>
    <n v="107"/>
    <n v="268"/>
    <n v="420"/>
    <n v="30"/>
    <x v="1343"/>
    <x v="0"/>
  </r>
  <r>
    <n v="27057"/>
    <x v="23"/>
    <s v="Hubbard"/>
    <n v="769"/>
    <n v="241"/>
    <n v="81"/>
    <n v="87"/>
    <n v="199"/>
    <n v="161"/>
    <n v="108"/>
    <n v="180"/>
    <n v="481"/>
    <n v="705"/>
    <n v="64"/>
    <x v="1344"/>
    <x v="0"/>
  </r>
  <r>
    <n v="27059"/>
    <x v="23"/>
    <s v="Isanti"/>
    <n v="1209"/>
    <n v="502"/>
    <n v="147"/>
    <n v="105"/>
    <n v="238"/>
    <n v="217"/>
    <n v="279"/>
    <n v="277"/>
    <n v="653"/>
    <n v="1120"/>
    <n v="86"/>
    <x v="1345"/>
    <x v="0"/>
  </r>
  <r>
    <n v="27061"/>
    <x v="23"/>
    <s v="Itasca"/>
    <n v="1724"/>
    <n v="629"/>
    <n v="175"/>
    <n v="195"/>
    <n v="344"/>
    <n v="381"/>
    <n v="194"/>
    <n v="390"/>
    <n v="1140"/>
    <n v="1635"/>
    <n v="79"/>
    <x v="1346"/>
    <x v="0"/>
  </r>
  <r>
    <n v="27063"/>
    <x v="23"/>
    <s v="Jackson"/>
    <n v="163"/>
    <n v="55"/>
    <n v="19"/>
    <n v="18"/>
    <n v="35"/>
    <n v="36"/>
    <n v="26"/>
    <n v="44"/>
    <n v="93"/>
    <n v="150"/>
    <n v="13"/>
    <x v="1347"/>
    <x v="0"/>
  </r>
  <r>
    <n v="27065"/>
    <x v="23"/>
    <s v="Kanabec"/>
    <n v="525"/>
    <n v="215"/>
    <n v="56"/>
    <n v="49"/>
    <n v="117"/>
    <n v="88"/>
    <n v="71"/>
    <n v="119"/>
    <n v="335"/>
    <n v="492"/>
    <n v="33"/>
    <x v="1348"/>
    <x v="0"/>
  </r>
  <r>
    <n v="27067"/>
    <x v="23"/>
    <s v="Kandiyohi"/>
    <n v="880"/>
    <n v="419"/>
    <n v="104"/>
    <n v="88"/>
    <n v="144"/>
    <n v="125"/>
    <n v="125"/>
    <n v="166"/>
    <n v="589"/>
    <n v="840"/>
    <n v="40"/>
    <x v="1349"/>
    <x v="0"/>
  </r>
  <r>
    <n v="27069"/>
    <x v="23"/>
    <s v="Kittson"/>
    <n v="85"/>
    <n v="23"/>
    <m/>
    <m/>
    <n v="22"/>
    <n v="16"/>
    <n v="13"/>
    <n v="20"/>
    <n v="52"/>
    <m/>
    <m/>
    <x v="1350"/>
    <x v="0"/>
  </r>
  <r>
    <n v="27071"/>
    <x v="23"/>
    <s v="Koochiching"/>
    <n v="447"/>
    <n v="166"/>
    <n v="54"/>
    <n v="42"/>
    <n v="94"/>
    <n v="91"/>
    <n v="51"/>
    <n v="101"/>
    <n v="295"/>
    <n v="420"/>
    <n v="26"/>
    <x v="1351"/>
    <x v="0"/>
  </r>
  <r>
    <n v="27073"/>
    <x v="23"/>
    <s v="Lac Qui Parle"/>
    <n v="251"/>
    <n v="130"/>
    <n v="35"/>
    <n v="22"/>
    <n v="45"/>
    <n v="19"/>
    <n v="41"/>
    <n v="40"/>
    <n v="170"/>
    <m/>
    <m/>
    <x v="1352"/>
    <x v="0"/>
  </r>
  <r>
    <n v="27075"/>
    <x v="23"/>
    <s v="Lake"/>
    <n v="354"/>
    <n v="127"/>
    <n v="38"/>
    <n v="48"/>
    <n v="65"/>
    <n v="76"/>
    <n v="44"/>
    <n v="77"/>
    <n v="233"/>
    <n v="338"/>
    <n v="16"/>
    <x v="1353"/>
    <x v="0"/>
  </r>
  <r>
    <n v="27077"/>
    <x v="23"/>
    <s v="Lake of the Woods"/>
    <n v="106"/>
    <n v="35"/>
    <n v="14"/>
    <n v="15"/>
    <n v="30"/>
    <n v="12"/>
    <n v="14"/>
    <n v="32"/>
    <n v="60"/>
    <m/>
    <m/>
    <x v="1354"/>
    <x v="0"/>
  </r>
  <r>
    <n v="27079"/>
    <x v="23"/>
    <s v="Le Sueur"/>
    <n v="703"/>
    <n v="295"/>
    <n v="108"/>
    <n v="68"/>
    <n v="130"/>
    <n v="102"/>
    <n v="131"/>
    <n v="167"/>
    <n v="405"/>
    <n v="643"/>
    <n v="60"/>
    <x v="1355"/>
    <x v="0"/>
  </r>
  <r>
    <n v="27081"/>
    <x v="23"/>
    <s v="Lincoln"/>
    <n v="113"/>
    <n v="43"/>
    <n v="12"/>
    <n v="13"/>
    <n v="23"/>
    <n v="22"/>
    <n v="21"/>
    <n v="24"/>
    <n v="68"/>
    <m/>
    <m/>
    <x v="1356"/>
    <x v="0"/>
  </r>
  <r>
    <n v="27083"/>
    <x v="23"/>
    <s v="Lyon"/>
    <n v="489"/>
    <n v="211"/>
    <n v="62"/>
    <n v="52"/>
    <n v="86"/>
    <n v="78"/>
    <n v="96"/>
    <n v="89"/>
    <n v="304"/>
    <n v="465"/>
    <n v="24"/>
    <x v="1357"/>
    <x v="0"/>
  </r>
  <r>
    <n v="27085"/>
    <x v="23"/>
    <s v="McLeod"/>
    <n v="822"/>
    <n v="383"/>
    <n v="103"/>
    <n v="86"/>
    <n v="142"/>
    <n v="108"/>
    <n v="136"/>
    <n v="158"/>
    <n v="528"/>
    <n v="775"/>
    <n v="46"/>
    <x v="1358"/>
    <x v="0"/>
  </r>
  <r>
    <n v="27087"/>
    <x v="23"/>
    <s v="Mahnomen"/>
    <n v="101"/>
    <n v="17"/>
    <n v="11"/>
    <n v="16"/>
    <n v="31"/>
    <n v="26"/>
    <n v="14"/>
    <n v="10"/>
    <n v="77"/>
    <m/>
    <m/>
    <x v="1359"/>
    <x v="0"/>
  </r>
  <r>
    <n v="27089"/>
    <x v="23"/>
    <s v="Marshall"/>
    <n v="254"/>
    <n v="91"/>
    <n v="18"/>
    <n v="25"/>
    <n v="65"/>
    <n v="55"/>
    <n v="29"/>
    <n v="54"/>
    <n v="171"/>
    <n v="240"/>
    <n v="14"/>
    <x v="1360"/>
    <x v="0"/>
  </r>
  <r>
    <n v="27091"/>
    <x v="23"/>
    <s v="Martin"/>
    <n v="476"/>
    <n v="206"/>
    <n v="54"/>
    <n v="57"/>
    <n v="99"/>
    <n v="60"/>
    <n v="69"/>
    <n v="111"/>
    <n v="296"/>
    <n v="456"/>
    <n v="20"/>
    <x v="1361"/>
    <x v="0"/>
  </r>
  <r>
    <n v="27093"/>
    <x v="23"/>
    <s v="Meeker"/>
    <n v="711"/>
    <n v="378"/>
    <n v="91"/>
    <n v="70"/>
    <n v="99"/>
    <n v="73"/>
    <n v="99"/>
    <n v="134"/>
    <n v="478"/>
    <n v="683"/>
    <n v="28"/>
    <x v="1362"/>
    <x v="0"/>
  </r>
  <r>
    <n v="27095"/>
    <x v="23"/>
    <s v="Mille Lacs"/>
    <n v="991"/>
    <n v="445"/>
    <n v="112"/>
    <n v="99"/>
    <n v="202"/>
    <n v="133"/>
    <n v="161"/>
    <n v="213"/>
    <n v="617"/>
    <n v="927"/>
    <n v="64"/>
    <x v="1363"/>
    <x v="0"/>
  </r>
  <r>
    <n v="27097"/>
    <x v="23"/>
    <s v="Morrison"/>
    <n v="1398"/>
    <n v="548"/>
    <n v="175"/>
    <n v="140"/>
    <n v="299"/>
    <n v="236"/>
    <n v="223"/>
    <n v="355"/>
    <n v="820"/>
    <n v="1275"/>
    <n v="123"/>
    <x v="1364"/>
    <x v="0"/>
  </r>
  <r>
    <n v="27099"/>
    <x v="23"/>
    <s v="Mower"/>
    <n v="752"/>
    <n v="320"/>
    <n v="108"/>
    <n v="77"/>
    <n v="148"/>
    <n v="99"/>
    <n v="126"/>
    <n v="153"/>
    <n v="473"/>
    <n v="700"/>
    <n v="48"/>
    <x v="1365"/>
    <x v="0"/>
  </r>
  <r>
    <n v="27101"/>
    <x v="23"/>
    <s v="Murray"/>
    <n v="195"/>
    <n v="71"/>
    <n v="35"/>
    <n v="27"/>
    <n v="37"/>
    <n v="25"/>
    <n v="29"/>
    <n v="36"/>
    <n v="130"/>
    <m/>
    <m/>
    <x v="1366"/>
    <x v="0"/>
  </r>
  <r>
    <n v="27103"/>
    <x v="23"/>
    <s v="Nicollet"/>
    <n v="768"/>
    <n v="363"/>
    <n v="84"/>
    <n v="79"/>
    <n v="143"/>
    <n v="99"/>
    <n v="152"/>
    <n v="179"/>
    <n v="437"/>
    <n v="724"/>
    <n v="43"/>
    <x v="1367"/>
    <x v="0"/>
  </r>
  <r>
    <n v="27105"/>
    <x v="23"/>
    <s v="Nobles"/>
    <n v="276"/>
    <n v="86"/>
    <n v="43"/>
    <n v="38"/>
    <n v="61"/>
    <n v="48"/>
    <n v="34"/>
    <n v="56"/>
    <n v="186"/>
    <n v="250"/>
    <n v="26"/>
    <x v="1368"/>
    <x v="0"/>
  </r>
  <r>
    <n v="27107"/>
    <x v="23"/>
    <s v="Norman"/>
    <n v="145"/>
    <n v="43"/>
    <n v="23"/>
    <n v="14"/>
    <n v="36"/>
    <n v="29"/>
    <n v="25"/>
    <n v="44"/>
    <n v="76"/>
    <m/>
    <m/>
    <x v="1369"/>
    <x v="0"/>
  </r>
  <r>
    <n v="27109"/>
    <x v="23"/>
    <s v="Olmsted"/>
    <n v="2700"/>
    <n v="949"/>
    <n v="374"/>
    <n v="293"/>
    <n v="652"/>
    <n v="432"/>
    <n v="748"/>
    <n v="616"/>
    <n v="1336"/>
    <n v="2463"/>
    <n v="231"/>
    <x v="1370"/>
    <x v="0"/>
  </r>
  <r>
    <n v="27111"/>
    <x v="23"/>
    <s v="Otter Tail"/>
    <n v="1563"/>
    <n v="473"/>
    <n v="174"/>
    <n v="191"/>
    <n v="405"/>
    <n v="320"/>
    <n v="227"/>
    <n v="348"/>
    <n v="988"/>
    <n v="1452"/>
    <n v="110"/>
    <x v="1371"/>
    <x v="0"/>
  </r>
  <r>
    <n v="27113"/>
    <x v="23"/>
    <s v="Pennington"/>
    <n v="279"/>
    <n v="94"/>
    <n v="24"/>
    <n v="30"/>
    <n v="79"/>
    <n v="52"/>
    <n v="56"/>
    <n v="66"/>
    <n v="157"/>
    <n v="263"/>
    <n v="15"/>
    <x v="1372"/>
    <x v="0"/>
  </r>
  <r>
    <n v="27115"/>
    <x v="23"/>
    <s v="Pine"/>
    <n v="934"/>
    <n v="347"/>
    <n v="109"/>
    <n v="111"/>
    <n v="181"/>
    <n v="186"/>
    <n v="132"/>
    <n v="234"/>
    <n v="568"/>
    <n v="871"/>
    <n v="62"/>
    <x v="1373"/>
    <x v="0"/>
  </r>
  <r>
    <n v="27117"/>
    <x v="23"/>
    <s v="Pipestone"/>
    <n v="140"/>
    <n v="49"/>
    <n v="26"/>
    <n v="20"/>
    <n v="26"/>
    <n v="19"/>
    <n v="26"/>
    <n v="31"/>
    <n v="83"/>
    <m/>
    <m/>
    <x v="1374"/>
    <x v="0"/>
  </r>
  <r>
    <n v="27119"/>
    <x v="23"/>
    <s v="Polk"/>
    <n v="708"/>
    <n v="192"/>
    <n v="89"/>
    <n v="83"/>
    <n v="181"/>
    <n v="163"/>
    <n v="129"/>
    <n v="186"/>
    <n v="393"/>
    <n v="654"/>
    <n v="54"/>
    <x v="1375"/>
    <x v="0"/>
  </r>
  <r>
    <n v="27121"/>
    <x v="23"/>
    <s v="Pope"/>
    <n v="318"/>
    <n v="143"/>
    <n v="47"/>
    <n v="37"/>
    <n v="57"/>
    <n v="34"/>
    <n v="39"/>
    <n v="60"/>
    <n v="219"/>
    <n v="298"/>
    <n v="20"/>
    <x v="1376"/>
    <x v="0"/>
  </r>
  <r>
    <n v="27123"/>
    <x v="23"/>
    <s v="Ramsey"/>
    <n v="5727"/>
    <n v="2110"/>
    <n v="768"/>
    <n v="680"/>
    <n v="1245"/>
    <n v="924"/>
    <n v="1403"/>
    <n v="1270"/>
    <n v="3054"/>
    <n v="5171"/>
    <n v="547"/>
    <x v="1377"/>
    <x v="0"/>
  </r>
  <r>
    <n v="27125"/>
    <x v="23"/>
    <s v="Red Lake"/>
    <n v="90"/>
    <n v="28"/>
    <m/>
    <m/>
    <n v="28"/>
    <n v="21"/>
    <n v="15"/>
    <n v="18"/>
    <n v="57"/>
    <m/>
    <m/>
    <x v="1378"/>
    <x v="0"/>
  </r>
  <r>
    <n v="27127"/>
    <x v="23"/>
    <s v="Redwood"/>
    <n v="330"/>
    <n v="149"/>
    <n v="28"/>
    <n v="31"/>
    <n v="63"/>
    <n v="59"/>
    <n v="48"/>
    <n v="69"/>
    <n v="213"/>
    <n v="315"/>
    <n v="15"/>
    <x v="1379"/>
    <x v="0"/>
  </r>
  <r>
    <n v="27129"/>
    <x v="23"/>
    <s v="Renville"/>
    <n v="361"/>
    <n v="148"/>
    <n v="47"/>
    <n v="41"/>
    <n v="73"/>
    <n v="52"/>
    <n v="54"/>
    <n v="80"/>
    <n v="227"/>
    <n v="346"/>
    <n v="15"/>
    <x v="1380"/>
    <x v="0"/>
  </r>
  <r>
    <n v="27131"/>
    <x v="23"/>
    <s v="Rice"/>
    <n v="1083"/>
    <n v="449"/>
    <n v="148"/>
    <n v="111"/>
    <n v="202"/>
    <n v="173"/>
    <n v="226"/>
    <n v="249"/>
    <n v="608"/>
    <n v="991"/>
    <n v="91"/>
    <x v="1381"/>
    <x v="0"/>
  </r>
  <r>
    <n v="27133"/>
    <x v="23"/>
    <s v="Rock"/>
    <n v="182"/>
    <n v="46"/>
    <n v="23"/>
    <n v="34"/>
    <n v="56"/>
    <n v="23"/>
    <n v="36"/>
    <n v="53"/>
    <n v="93"/>
    <n v="169"/>
    <n v="13"/>
    <x v="1382"/>
    <x v="0"/>
  </r>
  <r>
    <n v="27135"/>
    <x v="23"/>
    <s v="Roseau"/>
    <n v="281"/>
    <n v="101"/>
    <n v="42"/>
    <n v="32"/>
    <n v="62"/>
    <n v="44"/>
    <n v="46"/>
    <n v="78"/>
    <n v="157"/>
    <n v="267"/>
    <n v="14"/>
    <x v="1383"/>
    <x v="0"/>
  </r>
  <r>
    <n v="27137"/>
    <x v="23"/>
    <s v="St. Louis"/>
    <n v="5704"/>
    <n v="2096"/>
    <n v="693"/>
    <n v="642"/>
    <n v="1230"/>
    <n v="1043"/>
    <n v="960"/>
    <n v="1568"/>
    <n v="3176"/>
    <n v="5259"/>
    <n v="417"/>
    <x v="1384"/>
    <x v="0"/>
  </r>
  <r>
    <n v="27139"/>
    <x v="23"/>
    <s v="Scott"/>
    <n v="2508"/>
    <n v="907"/>
    <n v="351"/>
    <n v="292"/>
    <n v="553"/>
    <n v="405"/>
    <n v="654"/>
    <n v="708"/>
    <n v="1146"/>
    <n v="2283"/>
    <n v="223"/>
    <x v="1385"/>
    <x v="0"/>
  </r>
  <r>
    <n v="27141"/>
    <x v="23"/>
    <s v="Sherburne"/>
    <n v="2806"/>
    <n v="1225"/>
    <n v="362"/>
    <n v="296"/>
    <n v="519"/>
    <n v="404"/>
    <n v="718"/>
    <n v="721"/>
    <n v="1367"/>
    <n v="2598"/>
    <n v="206"/>
    <x v="1386"/>
    <x v="0"/>
  </r>
  <r>
    <n v="27143"/>
    <x v="23"/>
    <s v="Sibley"/>
    <n v="391"/>
    <n v="169"/>
    <n v="53"/>
    <n v="48"/>
    <n v="77"/>
    <n v="44"/>
    <n v="74"/>
    <n v="75"/>
    <n v="242"/>
    <n v="361"/>
    <n v="30"/>
    <x v="1387"/>
    <x v="0"/>
  </r>
  <r>
    <n v="27145"/>
    <x v="23"/>
    <s v="Stearns"/>
    <n v="4755"/>
    <n v="1991"/>
    <n v="501"/>
    <n v="464"/>
    <n v="1030"/>
    <n v="769"/>
    <n v="811"/>
    <n v="1119"/>
    <n v="2825"/>
    <n v="4412"/>
    <n v="340"/>
    <x v="1388"/>
    <x v="0"/>
  </r>
  <r>
    <n v="27147"/>
    <x v="23"/>
    <s v="Steele"/>
    <n v="746"/>
    <n v="280"/>
    <n v="117"/>
    <n v="90"/>
    <n v="167"/>
    <n v="92"/>
    <n v="189"/>
    <n v="178"/>
    <n v="379"/>
    <n v="697"/>
    <n v="49"/>
    <x v="1389"/>
    <x v="0"/>
  </r>
  <r>
    <n v="27149"/>
    <x v="23"/>
    <s v="Stevens"/>
    <n v="139"/>
    <n v="61"/>
    <n v="26"/>
    <m/>
    <n v="26"/>
    <m/>
    <n v="20"/>
    <n v="28"/>
    <n v="91"/>
    <m/>
    <m/>
    <x v="1390"/>
    <x v="0"/>
  </r>
  <r>
    <n v="27151"/>
    <x v="23"/>
    <s v="Swift"/>
    <n v="264"/>
    <n v="108"/>
    <n v="37"/>
    <n v="33"/>
    <n v="54"/>
    <n v="32"/>
    <n v="31"/>
    <n v="64"/>
    <n v="169"/>
    <n v="242"/>
    <n v="21"/>
    <x v="1391"/>
    <x v="0"/>
  </r>
  <r>
    <n v="27153"/>
    <x v="23"/>
    <s v="Todd"/>
    <n v="812"/>
    <n v="325"/>
    <n v="103"/>
    <n v="80"/>
    <n v="179"/>
    <n v="125"/>
    <n v="91"/>
    <n v="160"/>
    <n v="561"/>
    <n v="764"/>
    <n v="47"/>
    <x v="1392"/>
    <x v="0"/>
  </r>
  <r>
    <n v="27155"/>
    <x v="23"/>
    <s v="Traverse"/>
    <n v="110"/>
    <n v="47"/>
    <n v="18"/>
    <m/>
    <n v="21"/>
    <m/>
    <m/>
    <m/>
    <n v="76"/>
    <m/>
    <m/>
    <x v="1393"/>
    <x v="0"/>
  </r>
  <r>
    <n v="27157"/>
    <x v="23"/>
    <s v="Wabasha"/>
    <n v="640"/>
    <n v="280"/>
    <n v="66"/>
    <n v="70"/>
    <n v="131"/>
    <n v="93"/>
    <n v="119"/>
    <n v="133"/>
    <n v="388"/>
    <n v="592"/>
    <n v="47"/>
    <x v="1394"/>
    <x v="0"/>
  </r>
  <r>
    <n v="27159"/>
    <x v="23"/>
    <s v="Wadena"/>
    <n v="497"/>
    <n v="215"/>
    <n v="55"/>
    <n v="61"/>
    <n v="93"/>
    <n v="73"/>
    <n v="69"/>
    <n v="105"/>
    <n v="323"/>
    <n v="462"/>
    <n v="35"/>
    <x v="1395"/>
    <x v="0"/>
  </r>
  <r>
    <n v="27161"/>
    <x v="23"/>
    <s v="Waseca"/>
    <n v="475"/>
    <n v="224"/>
    <n v="65"/>
    <n v="52"/>
    <n v="74"/>
    <n v="60"/>
    <n v="78"/>
    <n v="113"/>
    <n v="284"/>
    <n v="450"/>
    <n v="25"/>
    <x v="1396"/>
    <x v="0"/>
  </r>
  <r>
    <n v="27163"/>
    <x v="23"/>
    <s v="Washington"/>
    <n v="4540"/>
    <n v="1564"/>
    <n v="608"/>
    <n v="513"/>
    <n v="1036"/>
    <n v="819"/>
    <n v="1155"/>
    <n v="1229"/>
    <n v="2156"/>
    <n v="4146"/>
    <n v="384"/>
    <x v="1397"/>
    <x v="0"/>
  </r>
  <r>
    <n v="27165"/>
    <x v="23"/>
    <s v="Watonwan"/>
    <n v="258"/>
    <n v="125"/>
    <n v="33"/>
    <n v="28"/>
    <n v="45"/>
    <n v="27"/>
    <n v="43"/>
    <n v="54"/>
    <n v="161"/>
    <n v="241"/>
    <n v="17"/>
    <x v="1398"/>
    <x v="0"/>
  </r>
  <r>
    <n v="27167"/>
    <x v="23"/>
    <s v="Wilkin"/>
    <n v="113"/>
    <n v="42"/>
    <n v="18"/>
    <n v="16"/>
    <n v="25"/>
    <n v="12"/>
    <n v="22"/>
    <n v="33"/>
    <n v="58"/>
    <m/>
    <m/>
    <x v="1399"/>
    <x v="0"/>
  </r>
  <r>
    <n v="27169"/>
    <x v="23"/>
    <s v="Winona"/>
    <n v="870"/>
    <n v="295"/>
    <n v="125"/>
    <n v="97"/>
    <n v="202"/>
    <n v="151"/>
    <n v="182"/>
    <n v="179"/>
    <n v="509"/>
    <n v="800"/>
    <n v="70"/>
    <x v="1400"/>
    <x v="0"/>
  </r>
  <r>
    <n v="27171"/>
    <x v="23"/>
    <s v="Wright"/>
    <n v="2973"/>
    <n v="1132"/>
    <n v="409"/>
    <n v="344"/>
    <n v="621"/>
    <n v="467"/>
    <n v="789"/>
    <n v="712"/>
    <n v="1472"/>
    <n v="2757"/>
    <n v="215"/>
    <x v="1401"/>
    <x v="0"/>
  </r>
  <r>
    <n v="27173"/>
    <x v="23"/>
    <s v="Yellow Medicine"/>
    <n v="261"/>
    <n v="123"/>
    <n v="21"/>
    <n v="26"/>
    <n v="58"/>
    <n v="33"/>
    <n v="41"/>
    <n v="60"/>
    <n v="160"/>
    <n v="246"/>
    <n v="15"/>
    <x v="1402"/>
    <x v="0"/>
  </r>
  <r>
    <n v="28001"/>
    <x v="24"/>
    <s v="Adams"/>
    <n v="519"/>
    <n v="75"/>
    <n v="46"/>
    <n v="55"/>
    <n v="182"/>
    <n v="161"/>
    <n v="73"/>
    <n v="159"/>
    <n v="287"/>
    <n v="448"/>
    <n v="71"/>
    <x v="1403"/>
    <x v="0"/>
  </r>
  <r>
    <n v="28003"/>
    <x v="24"/>
    <s v="Alcorn"/>
    <n v="592"/>
    <n v="132"/>
    <n v="72"/>
    <n v="59"/>
    <n v="180"/>
    <n v="149"/>
    <n v="147"/>
    <n v="167"/>
    <n v="278"/>
    <n v="547"/>
    <n v="45"/>
    <x v="1404"/>
    <x v="0"/>
  </r>
  <r>
    <n v="28005"/>
    <x v="24"/>
    <s v="Amite"/>
    <n v="212"/>
    <n v="44"/>
    <n v="31"/>
    <n v="22"/>
    <n v="60"/>
    <n v="55"/>
    <n v="33"/>
    <n v="67"/>
    <n v="112"/>
    <n v="191"/>
    <n v="21"/>
    <x v="1405"/>
    <x v="0"/>
  </r>
  <r>
    <n v="28007"/>
    <x v="24"/>
    <s v="Attala"/>
    <n v="276"/>
    <n v="51"/>
    <n v="24"/>
    <n v="43"/>
    <n v="83"/>
    <n v="75"/>
    <n v="35"/>
    <n v="101"/>
    <n v="140"/>
    <n v="262"/>
    <n v="14"/>
    <x v="1406"/>
    <x v="0"/>
  </r>
  <r>
    <n v="28009"/>
    <x v="24"/>
    <s v="Benton"/>
    <n v="104"/>
    <n v="21"/>
    <n v="11"/>
    <n v="10"/>
    <n v="31"/>
    <n v="31"/>
    <n v="30"/>
    <n v="23"/>
    <n v="51"/>
    <m/>
    <m/>
    <x v="1407"/>
    <x v="0"/>
  </r>
  <r>
    <n v="28011"/>
    <x v="24"/>
    <s v="Bolivar"/>
    <n v="380"/>
    <n v="60"/>
    <n v="34"/>
    <n v="40"/>
    <n v="135"/>
    <n v="111"/>
    <n v="66"/>
    <n v="149"/>
    <n v="165"/>
    <n v="347"/>
    <n v="33"/>
    <x v="1408"/>
    <x v="0"/>
  </r>
  <r>
    <n v="28013"/>
    <x v="24"/>
    <s v="Calhoun"/>
    <n v="224"/>
    <n v="33"/>
    <n v="22"/>
    <n v="18"/>
    <n v="83"/>
    <n v="68"/>
    <n v="41"/>
    <n v="70"/>
    <n v="113"/>
    <n v="206"/>
    <n v="18"/>
    <x v="1409"/>
    <x v="0"/>
  </r>
  <r>
    <n v="28015"/>
    <x v="24"/>
    <s v="Carroll"/>
    <n v="177"/>
    <n v="29"/>
    <n v="17"/>
    <n v="18"/>
    <n v="51"/>
    <n v="62"/>
    <n v="36"/>
    <n v="44"/>
    <n v="97"/>
    <n v="165"/>
    <n v="12"/>
    <x v="1410"/>
    <x v="0"/>
  </r>
  <r>
    <n v="28017"/>
    <x v="24"/>
    <s v="Chickasaw"/>
    <n v="238"/>
    <n v="55"/>
    <n v="14"/>
    <n v="31"/>
    <n v="70"/>
    <n v="68"/>
    <n v="48"/>
    <n v="92"/>
    <n v="98"/>
    <n v="208"/>
    <n v="30"/>
    <x v="1411"/>
    <x v="0"/>
  </r>
  <r>
    <n v="28019"/>
    <x v="24"/>
    <s v="Choctaw"/>
    <n v="150"/>
    <n v="25"/>
    <n v="15"/>
    <n v="15"/>
    <n v="59"/>
    <n v="36"/>
    <n v="36"/>
    <n v="59"/>
    <n v="55"/>
    <n v="134"/>
    <n v="16"/>
    <x v="1412"/>
    <x v="0"/>
  </r>
  <r>
    <n v="28021"/>
    <x v="24"/>
    <s v="Claiborne"/>
    <n v="115"/>
    <n v="16"/>
    <n v="11"/>
    <n v="14"/>
    <n v="33"/>
    <n v="41"/>
    <n v="21"/>
    <n v="43"/>
    <n v="51"/>
    <n v="102"/>
    <n v="13"/>
    <x v="1413"/>
    <x v="0"/>
  </r>
  <r>
    <n v="28023"/>
    <x v="24"/>
    <s v="Clarke"/>
    <n v="322"/>
    <n v="52"/>
    <n v="29"/>
    <n v="29"/>
    <n v="105"/>
    <n v="107"/>
    <n v="72"/>
    <n v="100"/>
    <n v="150"/>
    <n v="297"/>
    <n v="25"/>
    <x v="1414"/>
    <x v="0"/>
  </r>
  <r>
    <n v="28025"/>
    <x v="24"/>
    <s v="Clay"/>
    <n v="337"/>
    <n v="56"/>
    <n v="35"/>
    <n v="36"/>
    <n v="106"/>
    <n v="104"/>
    <n v="65"/>
    <n v="126"/>
    <n v="146"/>
    <n v="294"/>
    <n v="43"/>
    <x v="1415"/>
    <x v="0"/>
  </r>
  <r>
    <n v="28027"/>
    <x v="24"/>
    <s v="Coahoma"/>
    <n v="286"/>
    <n v="55"/>
    <n v="27"/>
    <n v="33"/>
    <n v="87"/>
    <n v="84"/>
    <n v="46"/>
    <n v="95"/>
    <n v="145"/>
    <n v="254"/>
    <n v="32"/>
    <x v="1416"/>
    <x v="0"/>
  </r>
  <r>
    <n v="28029"/>
    <x v="24"/>
    <s v="Copiah"/>
    <n v="476"/>
    <n v="85"/>
    <n v="48"/>
    <n v="62"/>
    <n v="139"/>
    <n v="142"/>
    <n v="81"/>
    <n v="165"/>
    <n v="230"/>
    <n v="426"/>
    <n v="50"/>
    <x v="1417"/>
    <x v="0"/>
  </r>
  <r>
    <n v="28031"/>
    <x v="24"/>
    <s v="Covington"/>
    <n v="342"/>
    <n v="71"/>
    <n v="30"/>
    <n v="30"/>
    <n v="109"/>
    <n v="102"/>
    <n v="66"/>
    <n v="118"/>
    <n v="158"/>
    <n v="293"/>
    <n v="49"/>
    <x v="1418"/>
    <x v="0"/>
  </r>
  <r>
    <n v="28033"/>
    <x v="24"/>
    <s v="DeSoto"/>
    <n v="4706"/>
    <n v="778"/>
    <n v="414"/>
    <n v="510"/>
    <n v="1498"/>
    <n v="1506"/>
    <n v="1395"/>
    <n v="1874"/>
    <n v="1437"/>
    <n v="3993"/>
    <n v="713"/>
    <x v="1419"/>
    <x v="0"/>
  </r>
  <r>
    <n v="28035"/>
    <x v="24"/>
    <s v="Forrest"/>
    <n v="1714"/>
    <n v="286"/>
    <n v="146"/>
    <n v="196"/>
    <n v="525"/>
    <n v="561"/>
    <n v="371"/>
    <n v="701"/>
    <n v="642"/>
    <n v="1488"/>
    <n v="226"/>
    <x v="1420"/>
    <x v="0"/>
  </r>
  <r>
    <n v="28037"/>
    <x v="24"/>
    <s v="Franklin"/>
    <n v="131"/>
    <n v="26"/>
    <n v="11"/>
    <n v="16"/>
    <n v="39"/>
    <n v="39"/>
    <n v="20"/>
    <n v="54"/>
    <n v="57"/>
    <n v="112"/>
    <n v="19"/>
    <x v="1421"/>
    <x v="0"/>
  </r>
  <r>
    <n v="28039"/>
    <x v="24"/>
    <s v="George"/>
    <n v="577"/>
    <n v="96"/>
    <n v="75"/>
    <n v="69"/>
    <n v="179"/>
    <n v="158"/>
    <n v="133"/>
    <n v="199"/>
    <n v="245"/>
    <n v="532"/>
    <n v="45"/>
    <x v="1422"/>
    <x v="0"/>
  </r>
  <r>
    <n v="28041"/>
    <x v="24"/>
    <s v="Greene"/>
    <n v="204"/>
    <n v="41"/>
    <n v="18"/>
    <n v="34"/>
    <n v="63"/>
    <n v="48"/>
    <n v="26"/>
    <n v="77"/>
    <n v="101"/>
    <n v="193"/>
    <n v="11"/>
    <x v="1423"/>
    <x v="0"/>
  </r>
  <r>
    <n v="28043"/>
    <x v="24"/>
    <s v="Grenada"/>
    <n v="410"/>
    <n v="78"/>
    <n v="36"/>
    <n v="48"/>
    <n v="123"/>
    <n v="125"/>
    <n v="76"/>
    <n v="163"/>
    <n v="171"/>
    <n v="364"/>
    <n v="46"/>
    <x v="1424"/>
    <x v="0"/>
  </r>
  <r>
    <n v="28045"/>
    <x v="24"/>
    <s v="Hancock"/>
    <n v="1398"/>
    <n v="271"/>
    <n v="149"/>
    <n v="173"/>
    <n v="410"/>
    <n v="395"/>
    <n v="312"/>
    <n v="505"/>
    <n v="581"/>
    <n v="1238"/>
    <n v="160"/>
    <x v="1425"/>
    <x v="0"/>
  </r>
  <r>
    <n v="28047"/>
    <x v="24"/>
    <s v="Harrison"/>
    <n v="10759"/>
    <n v="1723"/>
    <n v="1016"/>
    <n v="1251"/>
    <n v="3239"/>
    <n v="3530"/>
    <n v="2614"/>
    <n v="4302"/>
    <n v="3843"/>
    <n v="8819"/>
    <n v="1940"/>
    <x v="1426"/>
    <x v="0"/>
  </r>
  <r>
    <n v="28049"/>
    <x v="24"/>
    <s v="Hinds"/>
    <n v="4039"/>
    <n v="655"/>
    <n v="385"/>
    <n v="432"/>
    <n v="1334"/>
    <n v="1233"/>
    <n v="782"/>
    <n v="1522"/>
    <n v="1735"/>
    <n v="3362"/>
    <n v="677"/>
    <x v="1427"/>
    <x v="0"/>
  </r>
  <r>
    <n v="28051"/>
    <x v="24"/>
    <s v="Holmes"/>
    <n v="213"/>
    <n v="28"/>
    <n v="16"/>
    <n v="25"/>
    <n v="70"/>
    <n v="74"/>
    <n v="26"/>
    <n v="74"/>
    <n v="113"/>
    <n v="191"/>
    <n v="22"/>
    <x v="1428"/>
    <x v="0"/>
  </r>
  <r>
    <n v="28053"/>
    <x v="24"/>
    <s v="Humphreys"/>
    <n v="94"/>
    <n v="16"/>
    <m/>
    <m/>
    <n v="31"/>
    <n v="32"/>
    <n v="25"/>
    <n v="31"/>
    <n v="38"/>
    <n v="82"/>
    <n v="12"/>
    <x v="1429"/>
    <x v="0"/>
  </r>
  <r>
    <n v="28055"/>
    <x v="24"/>
    <s v="Issaquena"/>
    <n v="18"/>
    <m/>
    <m/>
    <m/>
    <m/>
    <m/>
    <m/>
    <m/>
    <m/>
    <m/>
    <m/>
    <x v="1430"/>
    <x v="0"/>
  </r>
  <r>
    <n v="28057"/>
    <x v="24"/>
    <s v="Itawamba"/>
    <n v="366"/>
    <n v="54"/>
    <n v="33"/>
    <n v="45"/>
    <n v="115"/>
    <n v="119"/>
    <n v="110"/>
    <n v="109"/>
    <n v="147"/>
    <n v="340"/>
    <n v="26"/>
    <x v="1431"/>
    <x v="0"/>
  </r>
  <r>
    <n v="28059"/>
    <x v="24"/>
    <s v="Jackson"/>
    <n v="5418"/>
    <n v="883"/>
    <n v="555"/>
    <n v="637"/>
    <n v="1699"/>
    <n v="1644"/>
    <n v="1343"/>
    <n v="2242"/>
    <n v="1833"/>
    <n v="4563"/>
    <n v="855"/>
    <x v="1432"/>
    <x v="0"/>
  </r>
  <r>
    <n v="28061"/>
    <x v="24"/>
    <s v="Jasper"/>
    <n v="345"/>
    <n v="54"/>
    <n v="31"/>
    <n v="40"/>
    <n v="117"/>
    <n v="103"/>
    <n v="55"/>
    <n v="125"/>
    <n v="165"/>
    <n v="309"/>
    <n v="36"/>
    <x v="1433"/>
    <x v="0"/>
  </r>
  <r>
    <n v="28063"/>
    <x v="24"/>
    <s v="Jefferson"/>
    <n v="78"/>
    <m/>
    <m/>
    <n v="11"/>
    <n v="26"/>
    <n v="28"/>
    <m/>
    <m/>
    <n v="40"/>
    <m/>
    <m/>
    <x v="1434"/>
    <x v="0"/>
  </r>
  <r>
    <n v="28065"/>
    <x v="24"/>
    <s v="Jefferson Davis"/>
    <n v="243"/>
    <n v="29"/>
    <n v="15"/>
    <n v="26"/>
    <n v="74"/>
    <n v="99"/>
    <n v="39"/>
    <n v="100"/>
    <n v="104"/>
    <n v="204"/>
    <n v="39"/>
    <x v="1435"/>
    <x v="0"/>
  </r>
  <r>
    <n v="28067"/>
    <x v="24"/>
    <s v="Jones"/>
    <n v="1028"/>
    <n v="186"/>
    <n v="99"/>
    <n v="137"/>
    <n v="314"/>
    <n v="292"/>
    <n v="176"/>
    <n v="378"/>
    <n v="474"/>
    <n v="941"/>
    <n v="87"/>
    <x v="1436"/>
    <x v="0"/>
  </r>
  <r>
    <n v="28069"/>
    <x v="24"/>
    <s v="Kemper"/>
    <n v="169"/>
    <n v="34"/>
    <n v="13"/>
    <n v="24"/>
    <n v="46"/>
    <n v="52"/>
    <n v="30"/>
    <n v="58"/>
    <n v="81"/>
    <n v="145"/>
    <n v="24"/>
    <x v="1437"/>
    <x v="0"/>
  </r>
  <r>
    <n v="28071"/>
    <x v="24"/>
    <s v="Lafayette"/>
    <n v="619"/>
    <n v="98"/>
    <n v="56"/>
    <n v="81"/>
    <n v="192"/>
    <n v="192"/>
    <n v="183"/>
    <n v="193"/>
    <n v="243"/>
    <n v="557"/>
    <n v="61"/>
    <x v="1438"/>
    <x v="0"/>
  </r>
  <r>
    <n v="28073"/>
    <x v="24"/>
    <s v="Lamar"/>
    <n v="1627"/>
    <n v="255"/>
    <n v="133"/>
    <n v="189"/>
    <n v="524"/>
    <n v="526"/>
    <n v="387"/>
    <n v="703"/>
    <n v="537"/>
    <n v="1402"/>
    <n v="225"/>
    <x v="1439"/>
    <x v="0"/>
  </r>
  <r>
    <n v="28075"/>
    <x v="24"/>
    <s v="Lauderdale"/>
    <n v="1851"/>
    <n v="276"/>
    <n v="165"/>
    <n v="220"/>
    <n v="628"/>
    <n v="562"/>
    <n v="499"/>
    <n v="699"/>
    <n v="653"/>
    <n v="1575"/>
    <n v="276"/>
    <x v="1440"/>
    <x v="0"/>
  </r>
  <r>
    <n v="28077"/>
    <x v="24"/>
    <s v="Lawrence"/>
    <n v="233"/>
    <n v="36"/>
    <n v="22"/>
    <n v="38"/>
    <n v="72"/>
    <n v="65"/>
    <n v="55"/>
    <n v="72"/>
    <n v="106"/>
    <n v="204"/>
    <n v="29"/>
    <x v="1441"/>
    <x v="0"/>
  </r>
  <r>
    <n v="28079"/>
    <x v="24"/>
    <s v="Leake"/>
    <n v="351"/>
    <n v="51"/>
    <n v="25"/>
    <n v="45"/>
    <n v="112"/>
    <n v="118"/>
    <n v="63"/>
    <n v="128"/>
    <n v="160"/>
    <n v="310"/>
    <n v="41"/>
    <x v="1442"/>
    <x v="0"/>
  </r>
  <r>
    <n v="28081"/>
    <x v="24"/>
    <s v="Lee"/>
    <n v="1368"/>
    <n v="248"/>
    <n v="119"/>
    <n v="155"/>
    <n v="414"/>
    <n v="432"/>
    <n v="388"/>
    <n v="452"/>
    <n v="528"/>
    <n v="1226"/>
    <n v="142"/>
    <x v="1443"/>
    <x v="0"/>
  </r>
  <r>
    <n v="28083"/>
    <x v="24"/>
    <s v="Leflore"/>
    <n v="345"/>
    <n v="56"/>
    <n v="32"/>
    <n v="46"/>
    <n v="121"/>
    <n v="90"/>
    <n v="63"/>
    <n v="132"/>
    <n v="150"/>
    <n v="313"/>
    <n v="32"/>
    <x v="1444"/>
    <x v="0"/>
  </r>
  <r>
    <n v="28085"/>
    <x v="24"/>
    <s v="Lincoln"/>
    <n v="487"/>
    <n v="82"/>
    <n v="42"/>
    <n v="60"/>
    <n v="169"/>
    <n v="134"/>
    <n v="94"/>
    <n v="190"/>
    <n v="203"/>
    <n v="424"/>
    <n v="63"/>
    <x v="1445"/>
    <x v="0"/>
  </r>
  <r>
    <n v="28087"/>
    <x v="24"/>
    <s v="Lowndes"/>
    <n v="1869"/>
    <n v="313"/>
    <n v="193"/>
    <n v="222"/>
    <n v="578"/>
    <n v="563"/>
    <n v="497"/>
    <n v="683"/>
    <n v="689"/>
    <n v="1604"/>
    <n v="264"/>
    <x v="1446"/>
    <x v="0"/>
  </r>
  <r>
    <n v="28089"/>
    <x v="24"/>
    <s v="Madison"/>
    <n v="1901"/>
    <n v="282"/>
    <n v="192"/>
    <n v="184"/>
    <n v="608"/>
    <n v="635"/>
    <n v="433"/>
    <n v="824"/>
    <n v="644"/>
    <n v="1600"/>
    <n v="301"/>
    <x v="1447"/>
    <x v="0"/>
  </r>
  <r>
    <n v="28091"/>
    <x v="24"/>
    <s v="Marion"/>
    <n v="398"/>
    <n v="65"/>
    <n v="43"/>
    <n v="37"/>
    <n v="129"/>
    <n v="124"/>
    <n v="64"/>
    <n v="154"/>
    <n v="180"/>
    <n v="346"/>
    <n v="52"/>
    <x v="1448"/>
    <x v="0"/>
  </r>
  <r>
    <n v="28093"/>
    <x v="24"/>
    <s v="Marshall"/>
    <n v="502"/>
    <n v="99"/>
    <n v="56"/>
    <n v="64"/>
    <n v="148"/>
    <n v="135"/>
    <n v="108"/>
    <n v="165"/>
    <n v="229"/>
    <n v="447"/>
    <n v="55"/>
    <x v="1449"/>
    <x v="0"/>
  </r>
  <r>
    <n v="28095"/>
    <x v="24"/>
    <s v="Monroe"/>
    <n v="731"/>
    <n v="128"/>
    <n v="59"/>
    <n v="87"/>
    <n v="237"/>
    <n v="220"/>
    <n v="164"/>
    <n v="245"/>
    <n v="322"/>
    <n v="680"/>
    <n v="51"/>
    <x v="1450"/>
    <x v="0"/>
  </r>
  <r>
    <n v="28097"/>
    <x v="24"/>
    <s v="Montgomery"/>
    <n v="222"/>
    <n v="36"/>
    <n v="20"/>
    <n v="19"/>
    <n v="92"/>
    <n v="55"/>
    <n v="50"/>
    <n v="59"/>
    <n v="113"/>
    <n v="202"/>
    <n v="20"/>
    <x v="1451"/>
    <x v="0"/>
  </r>
  <r>
    <n v="28099"/>
    <x v="24"/>
    <s v="Neshoba"/>
    <n v="423"/>
    <n v="71"/>
    <n v="42"/>
    <n v="55"/>
    <n v="158"/>
    <n v="97"/>
    <n v="92"/>
    <n v="159"/>
    <n v="172"/>
    <n v="377"/>
    <n v="46"/>
    <x v="1452"/>
    <x v="0"/>
  </r>
  <r>
    <n v="28101"/>
    <x v="24"/>
    <s v="Newton"/>
    <n v="447"/>
    <n v="74"/>
    <n v="48"/>
    <n v="50"/>
    <n v="147"/>
    <n v="128"/>
    <n v="71"/>
    <n v="190"/>
    <n v="186"/>
    <n v="396"/>
    <n v="51"/>
    <x v="1453"/>
    <x v="0"/>
  </r>
  <r>
    <n v="28103"/>
    <x v="24"/>
    <s v="Noxubee"/>
    <n v="104"/>
    <n v="15"/>
    <m/>
    <m/>
    <n v="43"/>
    <n v="27"/>
    <n v="22"/>
    <n v="32"/>
    <n v="50"/>
    <n v="84"/>
    <n v="20"/>
    <x v="1454"/>
    <x v="0"/>
  </r>
  <r>
    <n v="28105"/>
    <x v="24"/>
    <s v="Oktibbeha"/>
    <n v="616"/>
    <n v="106"/>
    <n v="53"/>
    <n v="69"/>
    <n v="186"/>
    <n v="202"/>
    <n v="194"/>
    <n v="214"/>
    <n v="208"/>
    <n v="532"/>
    <n v="84"/>
    <x v="1455"/>
    <x v="0"/>
  </r>
  <r>
    <n v="28107"/>
    <x v="24"/>
    <s v="Panola"/>
    <n v="487"/>
    <n v="92"/>
    <n v="62"/>
    <n v="46"/>
    <n v="166"/>
    <n v="121"/>
    <n v="98"/>
    <n v="166"/>
    <n v="223"/>
    <n v="439"/>
    <n v="47"/>
    <x v="1456"/>
    <x v="0"/>
  </r>
  <r>
    <n v="28109"/>
    <x v="24"/>
    <s v="Pearl River"/>
    <n v="1498"/>
    <n v="281"/>
    <n v="179"/>
    <n v="195"/>
    <n v="415"/>
    <n v="428"/>
    <n v="321"/>
    <n v="539"/>
    <n v="638"/>
    <n v="1352"/>
    <n v="146"/>
    <x v="1457"/>
    <x v="0"/>
  </r>
  <r>
    <n v="28111"/>
    <x v="24"/>
    <s v="Perry"/>
    <n v="290"/>
    <n v="52"/>
    <n v="22"/>
    <n v="35"/>
    <n v="94"/>
    <n v="87"/>
    <n v="66"/>
    <n v="104"/>
    <n v="120"/>
    <n v="250"/>
    <n v="40"/>
    <x v="1458"/>
    <x v="0"/>
  </r>
  <r>
    <n v="28113"/>
    <x v="24"/>
    <s v="Pike"/>
    <n v="776"/>
    <n v="115"/>
    <n v="75"/>
    <n v="97"/>
    <n v="243"/>
    <n v="246"/>
    <n v="143"/>
    <n v="283"/>
    <n v="350"/>
    <n v="662"/>
    <n v="114"/>
    <x v="1459"/>
    <x v="0"/>
  </r>
  <r>
    <n v="28115"/>
    <x v="24"/>
    <s v="Pontotoc"/>
    <n v="520"/>
    <n v="99"/>
    <n v="54"/>
    <n v="56"/>
    <n v="164"/>
    <n v="147"/>
    <n v="144"/>
    <n v="148"/>
    <n v="228"/>
    <n v="492"/>
    <n v="28"/>
    <x v="1460"/>
    <x v="0"/>
  </r>
  <r>
    <n v="28117"/>
    <x v="24"/>
    <s v="Prentiss"/>
    <n v="350"/>
    <n v="57"/>
    <n v="39"/>
    <n v="36"/>
    <n v="125"/>
    <n v="93"/>
    <n v="96"/>
    <n v="114"/>
    <n v="140"/>
    <n v="322"/>
    <n v="28"/>
    <x v="1461"/>
    <x v="0"/>
  </r>
  <r>
    <n v="28119"/>
    <x v="24"/>
    <s v="Quitman"/>
    <n v="104"/>
    <n v="17"/>
    <n v="12"/>
    <n v="13"/>
    <n v="38"/>
    <n v="24"/>
    <n v="20"/>
    <n v="39"/>
    <n v="45"/>
    <n v="90"/>
    <n v="14"/>
    <x v="1462"/>
    <x v="0"/>
  </r>
  <r>
    <n v="28121"/>
    <x v="24"/>
    <s v="Rankin"/>
    <n v="3114"/>
    <n v="508"/>
    <n v="337"/>
    <n v="353"/>
    <n v="993"/>
    <n v="923"/>
    <n v="861"/>
    <n v="1218"/>
    <n v="1035"/>
    <n v="2678"/>
    <n v="436"/>
    <x v="1463"/>
    <x v="0"/>
  </r>
  <r>
    <n v="28123"/>
    <x v="24"/>
    <s v="Scott"/>
    <n v="307"/>
    <n v="56"/>
    <n v="27"/>
    <n v="37"/>
    <n v="89"/>
    <n v="98"/>
    <n v="55"/>
    <n v="117"/>
    <n v="135"/>
    <n v="284"/>
    <n v="23"/>
    <x v="1464"/>
    <x v="0"/>
  </r>
  <r>
    <n v="28125"/>
    <x v="24"/>
    <s v="Sharkey"/>
    <n v="50"/>
    <m/>
    <m/>
    <m/>
    <n v="18"/>
    <n v="18"/>
    <m/>
    <m/>
    <n v="26"/>
    <m/>
    <m/>
    <x v="1465"/>
    <x v="0"/>
  </r>
  <r>
    <n v="28127"/>
    <x v="24"/>
    <s v="Simpson"/>
    <n v="505"/>
    <n v="85"/>
    <n v="44"/>
    <n v="56"/>
    <n v="175"/>
    <n v="145"/>
    <n v="116"/>
    <n v="169"/>
    <n v="220"/>
    <n v="445"/>
    <n v="60"/>
    <x v="1466"/>
    <x v="0"/>
  </r>
  <r>
    <n v="28129"/>
    <x v="24"/>
    <s v="Smith"/>
    <n v="232"/>
    <n v="28"/>
    <n v="27"/>
    <n v="41"/>
    <n v="71"/>
    <n v="65"/>
    <n v="44"/>
    <n v="80"/>
    <n v="108"/>
    <n v="202"/>
    <n v="30"/>
    <x v="1467"/>
    <x v="0"/>
  </r>
  <r>
    <n v="28131"/>
    <x v="24"/>
    <s v="Stone"/>
    <n v="660"/>
    <n v="96"/>
    <n v="64"/>
    <n v="84"/>
    <n v="213"/>
    <n v="203"/>
    <n v="156"/>
    <n v="262"/>
    <n v="242"/>
    <n v="587"/>
    <n v="72"/>
    <x v="1468"/>
    <x v="0"/>
  </r>
  <r>
    <n v="28133"/>
    <x v="24"/>
    <s v="Sunflower"/>
    <n v="279"/>
    <n v="53"/>
    <n v="23"/>
    <n v="34"/>
    <n v="79"/>
    <n v="90"/>
    <n v="56"/>
    <n v="105"/>
    <n v="118"/>
    <n v="244"/>
    <n v="35"/>
    <x v="1469"/>
    <x v="0"/>
  </r>
  <r>
    <n v="28135"/>
    <x v="24"/>
    <s v="Tallahatchie"/>
    <n v="179"/>
    <n v="24"/>
    <n v="16"/>
    <n v="26"/>
    <n v="56"/>
    <n v="57"/>
    <n v="30"/>
    <n v="72"/>
    <n v="77"/>
    <n v="166"/>
    <n v="13"/>
    <x v="1470"/>
    <x v="0"/>
  </r>
  <r>
    <n v="28137"/>
    <x v="24"/>
    <s v="Tate"/>
    <n v="491"/>
    <n v="92"/>
    <n v="60"/>
    <n v="55"/>
    <n v="158"/>
    <n v="126"/>
    <n v="134"/>
    <n v="157"/>
    <n v="200"/>
    <n v="442"/>
    <n v="49"/>
    <x v="1471"/>
    <x v="0"/>
  </r>
  <r>
    <n v="28139"/>
    <x v="24"/>
    <s v="Tippah"/>
    <n v="243"/>
    <n v="56"/>
    <n v="23"/>
    <n v="25"/>
    <n v="80"/>
    <n v="59"/>
    <n v="58"/>
    <n v="71"/>
    <n v="114"/>
    <n v="221"/>
    <n v="22"/>
    <x v="1472"/>
    <x v="0"/>
  </r>
  <r>
    <n v="28141"/>
    <x v="24"/>
    <s v="Tishomingo"/>
    <n v="328"/>
    <n v="56"/>
    <n v="32"/>
    <n v="44"/>
    <n v="106"/>
    <n v="90"/>
    <n v="98"/>
    <n v="91"/>
    <n v="139"/>
    <n v="308"/>
    <n v="20"/>
    <x v="1473"/>
    <x v="0"/>
  </r>
  <r>
    <n v="28143"/>
    <x v="24"/>
    <s v="Tunica"/>
    <n v="138"/>
    <n v="33"/>
    <m/>
    <m/>
    <n v="45"/>
    <n v="36"/>
    <n v="22"/>
    <n v="56"/>
    <n v="60"/>
    <n v="113"/>
    <n v="25"/>
    <x v="1474"/>
    <x v="0"/>
  </r>
  <r>
    <n v="28145"/>
    <x v="24"/>
    <s v="Union"/>
    <n v="384"/>
    <n v="62"/>
    <n v="46"/>
    <n v="46"/>
    <n v="120"/>
    <n v="110"/>
    <n v="96"/>
    <n v="115"/>
    <n v="173"/>
    <n v="350"/>
    <n v="34"/>
    <x v="1475"/>
    <x v="0"/>
  </r>
  <r>
    <n v="28147"/>
    <x v="24"/>
    <s v="Walthall"/>
    <n v="240"/>
    <n v="51"/>
    <n v="26"/>
    <n v="27"/>
    <n v="57"/>
    <n v="79"/>
    <n v="44"/>
    <n v="82"/>
    <n v="114"/>
    <n v="218"/>
    <n v="22"/>
    <x v="1476"/>
    <x v="0"/>
  </r>
  <r>
    <n v="28149"/>
    <x v="24"/>
    <s v="Warren"/>
    <n v="786"/>
    <n v="148"/>
    <n v="70"/>
    <n v="99"/>
    <n v="239"/>
    <n v="230"/>
    <n v="163"/>
    <n v="310"/>
    <n v="313"/>
    <n v="663"/>
    <n v="123"/>
    <x v="1477"/>
    <x v="0"/>
  </r>
  <r>
    <n v="28151"/>
    <x v="24"/>
    <s v="Washington"/>
    <n v="666"/>
    <n v="109"/>
    <n v="75"/>
    <n v="69"/>
    <n v="221"/>
    <n v="192"/>
    <n v="112"/>
    <n v="234"/>
    <n v="320"/>
    <n v="600"/>
    <n v="66"/>
    <x v="1478"/>
    <x v="0"/>
  </r>
  <r>
    <n v="28153"/>
    <x v="24"/>
    <s v="Wayne"/>
    <n v="306"/>
    <n v="52"/>
    <n v="30"/>
    <n v="49"/>
    <n v="90"/>
    <n v="85"/>
    <n v="39"/>
    <n v="113"/>
    <n v="154"/>
    <n v="280"/>
    <n v="26"/>
    <x v="1479"/>
    <x v="0"/>
  </r>
  <r>
    <n v="28155"/>
    <x v="24"/>
    <s v="Webster"/>
    <n v="193"/>
    <n v="34"/>
    <n v="16"/>
    <n v="36"/>
    <n v="60"/>
    <n v="47"/>
    <n v="40"/>
    <n v="79"/>
    <n v="74"/>
    <m/>
    <m/>
    <x v="1480"/>
    <x v="0"/>
  </r>
  <r>
    <n v="28157"/>
    <x v="24"/>
    <s v="Wilkinson"/>
    <n v="88"/>
    <n v="20"/>
    <m/>
    <m/>
    <n v="25"/>
    <n v="30"/>
    <n v="15"/>
    <n v="33"/>
    <n v="40"/>
    <m/>
    <m/>
    <x v="1481"/>
    <x v="0"/>
  </r>
  <r>
    <n v="28159"/>
    <x v="24"/>
    <s v="Winston"/>
    <n v="291"/>
    <n v="53"/>
    <n v="29"/>
    <n v="28"/>
    <n v="84"/>
    <n v="97"/>
    <n v="46"/>
    <n v="126"/>
    <n v="119"/>
    <n v="253"/>
    <n v="38"/>
    <x v="1482"/>
    <x v="0"/>
  </r>
  <r>
    <n v="28161"/>
    <x v="24"/>
    <s v="Yalobusha"/>
    <n v="248"/>
    <n v="52"/>
    <n v="22"/>
    <n v="28"/>
    <n v="85"/>
    <n v="61"/>
    <n v="37"/>
    <n v="95"/>
    <n v="116"/>
    <n v="225"/>
    <n v="23"/>
    <x v="1483"/>
    <x v="0"/>
  </r>
  <r>
    <n v="28163"/>
    <x v="24"/>
    <s v="Yazoo"/>
    <n v="368"/>
    <n v="57"/>
    <n v="38"/>
    <n v="45"/>
    <n v="112"/>
    <n v="116"/>
    <n v="87"/>
    <n v="135"/>
    <n v="146"/>
    <n v="332"/>
    <n v="36"/>
    <x v="1484"/>
    <x v="0"/>
  </r>
  <r>
    <n v="29001"/>
    <x v="25"/>
    <s v="Adair"/>
    <n v="422"/>
    <n v="136"/>
    <n v="45"/>
    <n v="44"/>
    <n v="115"/>
    <n v="82"/>
    <n v="100"/>
    <n v="128"/>
    <n v="194"/>
    <n v="383"/>
    <n v="39"/>
    <x v="1485"/>
    <x v="0"/>
  </r>
  <r>
    <n v="29003"/>
    <x v="25"/>
    <s v="Andrew"/>
    <n v="374"/>
    <n v="101"/>
    <n v="51"/>
    <n v="44"/>
    <n v="92"/>
    <n v="86"/>
    <n v="81"/>
    <n v="115"/>
    <n v="178"/>
    <n v="353"/>
    <n v="21"/>
    <x v="1486"/>
    <x v="0"/>
  </r>
  <r>
    <n v="29005"/>
    <x v="25"/>
    <s v="Atchison"/>
    <n v="94"/>
    <n v="27"/>
    <n v="11"/>
    <n v="14"/>
    <n v="30"/>
    <n v="12"/>
    <n v="18"/>
    <n v="27"/>
    <n v="49"/>
    <m/>
    <m/>
    <x v="1487"/>
    <x v="0"/>
  </r>
  <r>
    <n v="29007"/>
    <x v="25"/>
    <s v="Audrain"/>
    <n v="551"/>
    <n v="179"/>
    <n v="67"/>
    <n v="71"/>
    <n v="145"/>
    <n v="89"/>
    <n v="90"/>
    <n v="121"/>
    <n v="340"/>
    <n v="528"/>
    <n v="23"/>
    <x v="1488"/>
    <x v="0"/>
  </r>
  <r>
    <n v="29009"/>
    <x v="25"/>
    <s v="Barry"/>
    <n v="727"/>
    <n v="170"/>
    <n v="85"/>
    <n v="116"/>
    <n v="194"/>
    <n v="162"/>
    <n v="170"/>
    <n v="217"/>
    <n v="340"/>
    <n v="677"/>
    <n v="50"/>
    <x v="1489"/>
    <x v="0"/>
  </r>
  <r>
    <n v="29011"/>
    <x v="25"/>
    <s v="Barton"/>
    <n v="170"/>
    <n v="43"/>
    <n v="23"/>
    <n v="25"/>
    <n v="48"/>
    <n v="31"/>
    <n v="43"/>
    <n v="43"/>
    <n v="84"/>
    <n v="159"/>
    <n v="11"/>
    <x v="1490"/>
    <x v="0"/>
  </r>
  <r>
    <n v="29013"/>
    <x v="25"/>
    <s v="Bates"/>
    <n v="267"/>
    <n v="57"/>
    <n v="41"/>
    <n v="24"/>
    <n v="83"/>
    <n v="62"/>
    <n v="76"/>
    <n v="75"/>
    <n v="116"/>
    <n v="249"/>
    <n v="18"/>
    <x v="1491"/>
    <x v="0"/>
  </r>
  <r>
    <n v="29015"/>
    <x v="25"/>
    <s v="Benton"/>
    <n v="898"/>
    <n v="263"/>
    <n v="79"/>
    <n v="99"/>
    <n v="271"/>
    <n v="186"/>
    <n v="106"/>
    <n v="283"/>
    <n v="509"/>
    <n v="822"/>
    <n v="76"/>
    <x v="1492"/>
    <x v="0"/>
  </r>
  <r>
    <n v="29017"/>
    <x v="25"/>
    <s v="Bollinger"/>
    <n v="291"/>
    <n v="55"/>
    <n v="33"/>
    <n v="39"/>
    <n v="82"/>
    <n v="82"/>
    <n v="60"/>
    <n v="87"/>
    <n v="144"/>
    <n v="268"/>
    <n v="23"/>
    <x v="1493"/>
    <x v="0"/>
  </r>
  <r>
    <n v="29019"/>
    <x v="25"/>
    <s v="Boone"/>
    <n v="3771"/>
    <n v="1055"/>
    <n v="486"/>
    <n v="422"/>
    <n v="1070"/>
    <n v="738"/>
    <n v="1093"/>
    <n v="1174"/>
    <n v="1504"/>
    <n v="3322"/>
    <n v="449"/>
    <x v="1494"/>
    <x v="0"/>
  </r>
  <r>
    <n v="29021"/>
    <x v="25"/>
    <s v="Buchanan"/>
    <n v="1480"/>
    <n v="413"/>
    <n v="177"/>
    <n v="187"/>
    <n v="431"/>
    <n v="272"/>
    <n v="321"/>
    <n v="478"/>
    <n v="681"/>
    <n v="1357"/>
    <n v="123"/>
    <x v="1495"/>
    <x v="0"/>
  </r>
  <r>
    <n v="29023"/>
    <x v="25"/>
    <s v="Butler"/>
    <n v="1533"/>
    <n v="297"/>
    <n v="172"/>
    <n v="176"/>
    <n v="500"/>
    <n v="388"/>
    <n v="307"/>
    <n v="523"/>
    <n v="703"/>
    <n v="1395"/>
    <n v="138"/>
    <x v="1496"/>
    <x v="0"/>
  </r>
  <r>
    <n v="29025"/>
    <x v="25"/>
    <s v="Caldwell"/>
    <n v="209"/>
    <n v="57"/>
    <n v="24"/>
    <n v="24"/>
    <n v="63"/>
    <n v="41"/>
    <n v="39"/>
    <n v="78"/>
    <n v="92"/>
    <n v="189"/>
    <n v="20"/>
    <x v="1497"/>
    <x v="0"/>
  </r>
  <r>
    <n v="29027"/>
    <x v="25"/>
    <s v="Callaway"/>
    <n v="1383"/>
    <n v="417"/>
    <n v="156"/>
    <n v="173"/>
    <n v="387"/>
    <n v="250"/>
    <n v="289"/>
    <n v="453"/>
    <n v="641"/>
    <n v="1260"/>
    <n v="123"/>
    <x v="1498"/>
    <x v="0"/>
  </r>
  <r>
    <n v="29029"/>
    <x v="25"/>
    <s v="Camden"/>
    <n v="1493"/>
    <n v="389"/>
    <n v="149"/>
    <n v="179"/>
    <n v="401"/>
    <n v="375"/>
    <n v="220"/>
    <n v="492"/>
    <n v="781"/>
    <n v="1355"/>
    <n v="136"/>
    <x v="1499"/>
    <x v="0"/>
  </r>
  <r>
    <n v="29031"/>
    <x v="25"/>
    <s v="Cape Girardeau"/>
    <n v="1887"/>
    <n v="470"/>
    <n v="235"/>
    <n v="203"/>
    <n v="513"/>
    <n v="466"/>
    <n v="481"/>
    <n v="522"/>
    <n v="884"/>
    <n v="1727"/>
    <n v="160"/>
    <x v="1500"/>
    <x v="0"/>
  </r>
  <r>
    <n v="29033"/>
    <x v="25"/>
    <s v="Carroll"/>
    <n v="168"/>
    <n v="54"/>
    <n v="20"/>
    <n v="25"/>
    <n v="44"/>
    <n v="25"/>
    <n v="28"/>
    <n v="51"/>
    <n v="89"/>
    <m/>
    <m/>
    <x v="1501"/>
    <x v="0"/>
  </r>
  <r>
    <n v="29035"/>
    <x v="25"/>
    <s v="Carter"/>
    <n v="203"/>
    <n v="54"/>
    <n v="24"/>
    <n v="18"/>
    <n v="55"/>
    <n v="52"/>
    <n v="39"/>
    <n v="65"/>
    <n v="99"/>
    <n v="190"/>
    <n v="13"/>
    <x v="1502"/>
    <x v="0"/>
  </r>
  <r>
    <n v="29037"/>
    <x v="25"/>
    <s v="Cass"/>
    <n v="2632"/>
    <n v="552"/>
    <n v="291"/>
    <n v="334"/>
    <n v="829"/>
    <n v="626"/>
    <n v="814"/>
    <n v="863"/>
    <n v="955"/>
    <n v="2380"/>
    <n v="252"/>
    <x v="1503"/>
    <x v="0"/>
  </r>
  <r>
    <n v="29039"/>
    <x v="25"/>
    <s v="Cedar"/>
    <n v="417"/>
    <n v="96"/>
    <n v="47"/>
    <n v="58"/>
    <n v="141"/>
    <n v="75"/>
    <n v="76"/>
    <n v="126"/>
    <n v="215"/>
    <n v="377"/>
    <n v="40"/>
    <x v="1504"/>
    <x v="0"/>
  </r>
  <r>
    <n v="29041"/>
    <x v="25"/>
    <s v="Chariton"/>
    <n v="206"/>
    <n v="64"/>
    <n v="25"/>
    <n v="24"/>
    <n v="64"/>
    <n v="29"/>
    <n v="37"/>
    <n v="61"/>
    <n v="108"/>
    <n v="191"/>
    <n v="15"/>
    <x v="1505"/>
    <x v="0"/>
  </r>
  <r>
    <n v="29043"/>
    <x v="25"/>
    <s v="Christian"/>
    <n v="2235"/>
    <n v="466"/>
    <n v="240"/>
    <n v="305"/>
    <n v="725"/>
    <n v="499"/>
    <n v="681"/>
    <n v="709"/>
    <n v="845"/>
    <n v="2016"/>
    <n v="218"/>
    <x v="1506"/>
    <x v="0"/>
  </r>
  <r>
    <n v="29045"/>
    <x v="25"/>
    <s v="Clark"/>
    <n v="117"/>
    <n v="28"/>
    <n v="10"/>
    <n v="17"/>
    <n v="34"/>
    <n v="28"/>
    <n v="22"/>
    <n v="35"/>
    <n v="60"/>
    <m/>
    <m/>
    <x v="1507"/>
    <x v="0"/>
  </r>
  <r>
    <n v="29047"/>
    <x v="25"/>
    <s v="Clay"/>
    <n v="4689"/>
    <n v="915"/>
    <n v="549"/>
    <n v="571"/>
    <n v="1523"/>
    <n v="1131"/>
    <n v="1562"/>
    <n v="1475"/>
    <n v="1652"/>
    <n v="4200"/>
    <n v="488"/>
    <x v="1508"/>
    <x v="0"/>
  </r>
  <r>
    <n v="29049"/>
    <x v="25"/>
    <s v="Clinton"/>
    <n v="575"/>
    <n v="140"/>
    <n v="65"/>
    <n v="57"/>
    <n v="168"/>
    <n v="145"/>
    <n v="130"/>
    <n v="143"/>
    <n v="302"/>
    <n v="526"/>
    <n v="49"/>
    <x v="1509"/>
    <x v="0"/>
  </r>
  <r>
    <n v="29051"/>
    <x v="25"/>
    <s v="Cole"/>
    <n v="2053"/>
    <n v="588"/>
    <n v="236"/>
    <n v="277"/>
    <n v="565"/>
    <n v="387"/>
    <n v="462"/>
    <n v="635"/>
    <n v="956"/>
    <n v="1851"/>
    <n v="201"/>
    <x v="1510"/>
    <x v="0"/>
  </r>
  <r>
    <n v="29053"/>
    <x v="25"/>
    <s v="Cooper"/>
    <n v="481"/>
    <n v="147"/>
    <n v="70"/>
    <n v="50"/>
    <n v="129"/>
    <n v="85"/>
    <n v="111"/>
    <n v="135"/>
    <n v="235"/>
    <n v="448"/>
    <n v="33"/>
    <x v="1511"/>
    <x v="0"/>
  </r>
  <r>
    <n v="29055"/>
    <x v="25"/>
    <s v="Crawford"/>
    <n v="604"/>
    <n v="153"/>
    <n v="75"/>
    <n v="58"/>
    <n v="174"/>
    <n v="144"/>
    <n v="122"/>
    <n v="182"/>
    <n v="300"/>
    <n v="558"/>
    <n v="45"/>
    <x v="1512"/>
    <x v="0"/>
  </r>
  <r>
    <n v="29057"/>
    <x v="25"/>
    <s v="Dade"/>
    <n v="184"/>
    <n v="38"/>
    <n v="22"/>
    <n v="28"/>
    <n v="60"/>
    <n v="36"/>
    <n v="45"/>
    <n v="43"/>
    <n v="96"/>
    <n v="171"/>
    <n v="13"/>
    <x v="1513"/>
    <x v="0"/>
  </r>
  <r>
    <n v="29059"/>
    <x v="25"/>
    <s v="Dallas"/>
    <n v="487"/>
    <n v="103"/>
    <n v="61"/>
    <n v="63"/>
    <n v="163"/>
    <n v="97"/>
    <n v="98"/>
    <n v="146"/>
    <n v="243"/>
    <n v="450"/>
    <n v="35"/>
    <x v="1514"/>
    <x v="0"/>
  </r>
  <r>
    <n v="29061"/>
    <x v="25"/>
    <s v="Daviess"/>
    <n v="183"/>
    <n v="56"/>
    <n v="20"/>
    <n v="18"/>
    <n v="49"/>
    <n v="40"/>
    <n v="32"/>
    <n v="52"/>
    <n v="99"/>
    <n v="168"/>
    <n v="15"/>
    <x v="1515"/>
    <x v="0"/>
  </r>
  <r>
    <n v="29063"/>
    <x v="25"/>
    <s v="DeKalb"/>
    <n v="236"/>
    <n v="54"/>
    <n v="27"/>
    <n v="33"/>
    <n v="70"/>
    <n v="52"/>
    <n v="55"/>
    <n v="79"/>
    <n v="102"/>
    <n v="221"/>
    <n v="15"/>
    <x v="1516"/>
    <x v="0"/>
  </r>
  <r>
    <n v="29065"/>
    <x v="25"/>
    <s v="Dent"/>
    <n v="485"/>
    <n v="102"/>
    <n v="59"/>
    <n v="57"/>
    <n v="137"/>
    <n v="130"/>
    <n v="88"/>
    <n v="183"/>
    <n v="214"/>
    <n v="445"/>
    <n v="40"/>
    <x v="1517"/>
    <x v="0"/>
  </r>
  <r>
    <n v="29067"/>
    <x v="25"/>
    <s v="Douglas"/>
    <n v="301"/>
    <n v="66"/>
    <n v="36"/>
    <n v="41"/>
    <n v="92"/>
    <n v="66"/>
    <n v="56"/>
    <n v="90"/>
    <n v="155"/>
    <n v="271"/>
    <n v="30"/>
    <x v="1518"/>
    <x v="0"/>
  </r>
  <r>
    <n v="29069"/>
    <x v="25"/>
    <s v="Dunklin"/>
    <n v="509"/>
    <n v="128"/>
    <n v="58"/>
    <n v="69"/>
    <n v="133"/>
    <n v="121"/>
    <n v="83"/>
    <n v="145"/>
    <n v="281"/>
    <n v="480"/>
    <n v="29"/>
    <x v="1519"/>
    <x v="0"/>
  </r>
  <r>
    <n v="29071"/>
    <x v="25"/>
    <s v="Franklin"/>
    <n v="1808"/>
    <n v="392"/>
    <n v="215"/>
    <n v="227"/>
    <n v="568"/>
    <n v="406"/>
    <n v="544"/>
    <n v="522"/>
    <n v="742"/>
    <n v="1638"/>
    <n v="169"/>
    <x v="1520"/>
    <x v="0"/>
  </r>
  <r>
    <n v="29073"/>
    <x v="25"/>
    <s v="Gasconade"/>
    <n v="349"/>
    <n v="103"/>
    <n v="44"/>
    <n v="43"/>
    <n v="91"/>
    <n v="68"/>
    <n v="69"/>
    <n v="91"/>
    <n v="189"/>
    <n v="319"/>
    <n v="30"/>
    <x v="1521"/>
    <x v="0"/>
  </r>
  <r>
    <n v="29075"/>
    <x v="25"/>
    <s v="Gentry"/>
    <n v="109"/>
    <n v="32"/>
    <n v="13"/>
    <n v="14"/>
    <n v="23"/>
    <n v="27"/>
    <n v="31"/>
    <n v="36"/>
    <n v="42"/>
    <m/>
    <m/>
    <x v="1522"/>
    <x v="0"/>
  </r>
  <r>
    <n v="29077"/>
    <x v="25"/>
    <s v="Greene"/>
    <n v="5884"/>
    <n v="1421"/>
    <n v="716"/>
    <n v="717"/>
    <n v="1798"/>
    <n v="1232"/>
    <n v="1692"/>
    <n v="1795"/>
    <n v="2397"/>
    <n v="5292"/>
    <n v="592"/>
    <x v="1523"/>
    <x v="0"/>
  </r>
  <r>
    <n v="29079"/>
    <x v="25"/>
    <s v="Grundy"/>
    <n v="211"/>
    <n v="60"/>
    <n v="30"/>
    <n v="28"/>
    <n v="60"/>
    <n v="33"/>
    <n v="41"/>
    <n v="58"/>
    <n v="112"/>
    <n v="195"/>
    <n v="16"/>
    <x v="1524"/>
    <x v="0"/>
  </r>
  <r>
    <n v="29081"/>
    <x v="25"/>
    <s v="Harrison"/>
    <n v="162"/>
    <n v="46"/>
    <n v="19"/>
    <n v="22"/>
    <n v="43"/>
    <n v="32"/>
    <n v="26"/>
    <n v="37"/>
    <n v="99"/>
    <n v="144"/>
    <n v="18"/>
    <x v="1525"/>
    <x v="0"/>
  </r>
  <r>
    <n v="29083"/>
    <x v="25"/>
    <s v="Henry"/>
    <n v="654"/>
    <n v="135"/>
    <n v="91"/>
    <n v="88"/>
    <n v="205"/>
    <n v="135"/>
    <n v="152"/>
    <n v="216"/>
    <n v="286"/>
    <n v="601"/>
    <n v="53"/>
    <x v="1526"/>
    <x v="0"/>
  </r>
  <r>
    <n v="29085"/>
    <x v="25"/>
    <s v="Hickory"/>
    <n v="346"/>
    <n v="73"/>
    <n v="51"/>
    <n v="44"/>
    <n v="99"/>
    <n v="79"/>
    <n v="56"/>
    <n v="101"/>
    <n v="189"/>
    <n v="319"/>
    <n v="27"/>
    <x v="1527"/>
    <x v="0"/>
  </r>
  <r>
    <n v="29087"/>
    <x v="25"/>
    <s v="Holt"/>
    <n v="86"/>
    <n v="20"/>
    <n v="15"/>
    <n v="13"/>
    <n v="23"/>
    <n v="15"/>
    <n v="16"/>
    <n v="31"/>
    <n v="39"/>
    <m/>
    <m/>
    <x v="1528"/>
    <x v="0"/>
  </r>
  <r>
    <n v="29089"/>
    <x v="25"/>
    <s v="Howard"/>
    <n v="219"/>
    <n v="62"/>
    <n v="24"/>
    <n v="27"/>
    <n v="55"/>
    <n v="51"/>
    <n v="36"/>
    <n v="78"/>
    <n v="105"/>
    <n v="200"/>
    <n v="19"/>
    <x v="1529"/>
    <x v="0"/>
  </r>
  <r>
    <n v="29091"/>
    <x v="25"/>
    <s v="Howell"/>
    <n v="1136"/>
    <n v="222"/>
    <n v="114"/>
    <n v="150"/>
    <n v="363"/>
    <n v="287"/>
    <n v="281"/>
    <n v="341"/>
    <n v="514"/>
    <n v="1025"/>
    <n v="111"/>
    <x v="1530"/>
    <x v="0"/>
  </r>
  <r>
    <n v="29093"/>
    <x v="25"/>
    <s v="Iron"/>
    <n v="305"/>
    <n v="86"/>
    <n v="28"/>
    <n v="40"/>
    <n v="78"/>
    <n v="73"/>
    <n v="60"/>
    <n v="86"/>
    <n v="159"/>
    <n v="284"/>
    <n v="21"/>
    <x v="1531"/>
    <x v="0"/>
  </r>
  <r>
    <n v="29095"/>
    <x v="25"/>
    <s v="Jackson"/>
    <n v="11274"/>
    <n v="2382"/>
    <n v="1277"/>
    <n v="1351"/>
    <n v="3609"/>
    <n v="2655"/>
    <n v="3488"/>
    <n v="3345"/>
    <n v="4440"/>
    <n v="9925"/>
    <n v="1347"/>
    <x v="1532"/>
    <x v="0"/>
  </r>
  <r>
    <n v="29097"/>
    <x v="25"/>
    <s v="Jasper"/>
    <n v="2175"/>
    <n v="461"/>
    <n v="278"/>
    <n v="282"/>
    <n v="670"/>
    <n v="484"/>
    <n v="629"/>
    <n v="685"/>
    <n v="861"/>
    <n v="1996"/>
    <n v="179"/>
    <x v="1533"/>
    <x v="0"/>
  </r>
  <r>
    <n v="29099"/>
    <x v="25"/>
    <s v="Jefferson"/>
    <n v="4697"/>
    <n v="976"/>
    <n v="560"/>
    <n v="612"/>
    <n v="1433"/>
    <n v="1116"/>
    <n v="1492"/>
    <n v="1429"/>
    <n v="1776"/>
    <n v="4260"/>
    <n v="437"/>
    <x v="1534"/>
    <x v="0"/>
  </r>
  <r>
    <n v="29101"/>
    <x v="25"/>
    <s v="Johnson"/>
    <n v="2705"/>
    <n v="476"/>
    <n v="342"/>
    <n v="383"/>
    <n v="835"/>
    <n v="669"/>
    <n v="940"/>
    <n v="1036"/>
    <n v="729"/>
    <n v="2286"/>
    <n v="419"/>
    <x v="1535"/>
    <x v="0"/>
  </r>
  <r>
    <n v="29103"/>
    <x v="25"/>
    <s v="Knox"/>
    <n v="100"/>
    <n v="38"/>
    <m/>
    <m/>
    <n v="19"/>
    <n v="23"/>
    <n v="11"/>
    <n v="24"/>
    <n v="65"/>
    <m/>
    <m/>
    <x v="1536"/>
    <x v="0"/>
  </r>
  <r>
    <n v="29105"/>
    <x v="25"/>
    <s v="Laclede"/>
    <n v="1255"/>
    <n v="255"/>
    <n v="110"/>
    <n v="134"/>
    <n v="381"/>
    <n v="375"/>
    <n v="243"/>
    <n v="501"/>
    <n v="511"/>
    <n v="1132"/>
    <n v="122"/>
    <x v="1537"/>
    <x v="0"/>
  </r>
  <r>
    <n v="29107"/>
    <x v="25"/>
    <s v="Lafayette"/>
    <n v="759"/>
    <n v="172"/>
    <n v="71"/>
    <n v="115"/>
    <n v="234"/>
    <n v="167"/>
    <n v="194"/>
    <n v="232"/>
    <n v="333"/>
    <n v="704"/>
    <n v="55"/>
    <x v="1538"/>
    <x v="0"/>
  </r>
  <r>
    <n v="29109"/>
    <x v="25"/>
    <s v="Lawrence"/>
    <n v="832"/>
    <n v="197"/>
    <n v="102"/>
    <n v="100"/>
    <n v="258"/>
    <n v="175"/>
    <n v="208"/>
    <n v="258"/>
    <n v="366"/>
    <n v="741"/>
    <n v="91"/>
    <x v="1539"/>
    <x v="0"/>
  </r>
  <r>
    <n v="29111"/>
    <x v="25"/>
    <s v="Lewis"/>
    <n v="178"/>
    <n v="35"/>
    <n v="24"/>
    <n v="23"/>
    <n v="48"/>
    <n v="48"/>
    <n v="35"/>
    <n v="47"/>
    <n v="96"/>
    <n v="161"/>
    <n v="17"/>
    <x v="1540"/>
    <x v="0"/>
  </r>
  <r>
    <n v="29113"/>
    <x v="25"/>
    <s v="Lincoln"/>
    <n v="1257"/>
    <n v="259"/>
    <n v="134"/>
    <n v="175"/>
    <n v="387"/>
    <n v="302"/>
    <n v="436"/>
    <n v="352"/>
    <n v="469"/>
    <n v="1155"/>
    <n v="101"/>
    <x v="1541"/>
    <x v="0"/>
  </r>
  <r>
    <n v="29115"/>
    <x v="25"/>
    <s v="Linn"/>
    <n v="298"/>
    <n v="85"/>
    <n v="34"/>
    <n v="36"/>
    <n v="94"/>
    <n v="49"/>
    <n v="60"/>
    <n v="75"/>
    <n v="163"/>
    <n v="283"/>
    <n v="15"/>
    <x v="1542"/>
    <x v="0"/>
  </r>
  <r>
    <n v="29117"/>
    <x v="25"/>
    <s v="Livingston"/>
    <n v="289"/>
    <n v="68"/>
    <n v="30"/>
    <n v="42"/>
    <n v="98"/>
    <n v="51"/>
    <n v="86"/>
    <n v="76"/>
    <n v="127"/>
    <n v="266"/>
    <n v="23"/>
    <x v="1543"/>
    <x v="0"/>
  </r>
  <r>
    <n v="29119"/>
    <x v="25"/>
    <s v="McDonald"/>
    <n v="389"/>
    <n v="79"/>
    <n v="40"/>
    <n v="50"/>
    <n v="123"/>
    <n v="97"/>
    <n v="93"/>
    <n v="134"/>
    <n v="162"/>
    <n v="355"/>
    <n v="34"/>
    <x v="1544"/>
    <x v="0"/>
  </r>
  <r>
    <n v="29121"/>
    <x v="25"/>
    <s v="Macon"/>
    <n v="394"/>
    <n v="105"/>
    <n v="57"/>
    <n v="38"/>
    <n v="112"/>
    <n v="82"/>
    <n v="73"/>
    <n v="104"/>
    <n v="217"/>
    <n v="376"/>
    <n v="18"/>
    <x v="1545"/>
    <x v="0"/>
  </r>
  <r>
    <n v="29123"/>
    <x v="25"/>
    <s v="Madison"/>
    <n v="354"/>
    <n v="83"/>
    <n v="44"/>
    <n v="43"/>
    <n v="93"/>
    <n v="91"/>
    <n v="64"/>
    <n v="124"/>
    <n v="166"/>
    <n v="327"/>
    <n v="27"/>
    <x v="1546"/>
    <x v="0"/>
  </r>
  <r>
    <n v="29125"/>
    <x v="25"/>
    <s v="Maries"/>
    <n v="313"/>
    <n v="58"/>
    <n v="44"/>
    <n v="30"/>
    <n v="90"/>
    <n v="91"/>
    <n v="55"/>
    <n v="109"/>
    <n v="149"/>
    <n v="279"/>
    <n v="33"/>
    <x v="1547"/>
    <x v="0"/>
  </r>
  <r>
    <n v="29127"/>
    <x v="25"/>
    <s v="Marion"/>
    <n v="631"/>
    <n v="196"/>
    <n v="66"/>
    <n v="83"/>
    <n v="162"/>
    <n v="124"/>
    <n v="134"/>
    <n v="162"/>
    <n v="335"/>
    <n v="591"/>
    <n v="40"/>
    <x v="1548"/>
    <x v="0"/>
  </r>
  <r>
    <n v="29129"/>
    <x v="25"/>
    <s v="Mercer"/>
    <n v="91"/>
    <n v="34"/>
    <m/>
    <m/>
    <n v="19"/>
    <n v="21"/>
    <n v="14"/>
    <n v="16"/>
    <n v="61"/>
    <m/>
    <m/>
    <x v="1549"/>
    <x v="0"/>
  </r>
  <r>
    <n v="29131"/>
    <x v="25"/>
    <s v="Miller"/>
    <n v="679"/>
    <n v="164"/>
    <n v="72"/>
    <n v="92"/>
    <n v="201"/>
    <n v="150"/>
    <n v="132"/>
    <n v="201"/>
    <n v="346"/>
    <n v="642"/>
    <n v="37"/>
    <x v="1550"/>
    <x v="0"/>
  </r>
  <r>
    <n v="29133"/>
    <x v="25"/>
    <s v="Mississippi"/>
    <n v="210"/>
    <n v="42"/>
    <n v="22"/>
    <n v="33"/>
    <n v="64"/>
    <n v="49"/>
    <n v="34"/>
    <n v="57"/>
    <n v="119"/>
    <n v="196"/>
    <n v="14"/>
    <x v="1551"/>
    <x v="0"/>
  </r>
  <r>
    <n v="29135"/>
    <x v="25"/>
    <s v="Moniteau"/>
    <n v="305"/>
    <n v="98"/>
    <n v="39"/>
    <n v="44"/>
    <n v="72"/>
    <n v="52"/>
    <n v="60"/>
    <n v="89"/>
    <n v="156"/>
    <n v="283"/>
    <n v="22"/>
    <x v="1552"/>
    <x v="0"/>
  </r>
  <r>
    <n v="29137"/>
    <x v="25"/>
    <s v="Monroe"/>
    <n v="248"/>
    <n v="66"/>
    <n v="38"/>
    <n v="35"/>
    <n v="56"/>
    <n v="53"/>
    <n v="33"/>
    <n v="79"/>
    <n v="136"/>
    <n v="234"/>
    <n v="14"/>
    <x v="1553"/>
    <x v="0"/>
  </r>
  <r>
    <n v="29139"/>
    <x v="25"/>
    <s v="Montgomery"/>
    <n v="270"/>
    <n v="91"/>
    <n v="34"/>
    <n v="29"/>
    <n v="70"/>
    <n v="46"/>
    <n v="51"/>
    <n v="72"/>
    <n v="147"/>
    <n v="252"/>
    <n v="18"/>
    <x v="1554"/>
    <x v="0"/>
  </r>
  <r>
    <n v="29141"/>
    <x v="25"/>
    <s v="Morgan"/>
    <n v="624"/>
    <n v="146"/>
    <n v="79"/>
    <n v="73"/>
    <n v="203"/>
    <n v="123"/>
    <n v="91"/>
    <n v="166"/>
    <n v="367"/>
    <n v="583"/>
    <n v="41"/>
    <x v="1555"/>
    <x v="0"/>
  </r>
  <r>
    <n v="29143"/>
    <x v="25"/>
    <s v="New Madrid"/>
    <n v="418"/>
    <n v="92"/>
    <n v="43"/>
    <n v="46"/>
    <n v="139"/>
    <n v="98"/>
    <n v="81"/>
    <n v="130"/>
    <n v="207"/>
    <n v="385"/>
    <n v="33"/>
    <x v="1556"/>
    <x v="0"/>
  </r>
  <r>
    <n v="29145"/>
    <x v="25"/>
    <s v="Newton"/>
    <n v="1285"/>
    <n v="277"/>
    <n v="135"/>
    <n v="163"/>
    <n v="404"/>
    <n v="306"/>
    <n v="325"/>
    <n v="405"/>
    <n v="555"/>
    <n v="1180"/>
    <n v="105"/>
    <x v="1557"/>
    <x v="0"/>
  </r>
  <r>
    <n v="29147"/>
    <x v="25"/>
    <s v="Nodaway"/>
    <n v="328"/>
    <n v="95"/>
    <n v="40"/>
    <n v="43"/>
    <n v="85"/>
    <n v="65"/>
    <n v="64"/>
    <n v="105"/>
    <n v="159"/>
    <n v="312"/>
    <n v="16"/>
    <x v="1558"/>
    <x v="0"/>
  </r>
  <r>
    <n v="29149"/>
    <x v="25"/>
    <s v="Oregon"/>
    <n v="290"/>
    <n v="66"/>
    <n v="30"/>
    <n v="32"/>
    <n v="87"/>
    <n v="75"/>
    <n v="59"/>
    <n v="80"/>
    <n v="151"/>
    <n v="267"/>
    <n v="23"/>
    <x v="1559"/>
    <x v="0"/>
  </r>
  <r>
    <n v="29151"/>
    <x v="25"/>
    <s v="Osage"/>
    <n v="332"/>
    <n v="90"/>
    <n v="40"/>
    <n v="49"/>
    <n v="96"/>
    <n v="57"/>
    <n v="68"/>
    <n v="89"/>
    <n v="175"/>
    <n v="299"/>
    <n v="31"/>
    <x v="1560"/>
    <x v="0"/>
  </r>
  <r>
    <n v="29153"/>
    <x v="25"/>
    <s v="Ozark"/>
    <n v="341"/>
    <n v="57"/>
    <n v="38"/>
    <n v="59"/>
    <n v="94"/>
    <n v="93"/>
    <n v="59"/>
    <n v="103"/>
    <n v="179"/>
    <n v="307"/>
    <n v="34"/>
    <x v="1561"/>
    <x v="0"/>
  </r>
  <r>
    <n v="29155"/>
    <x v="25"/>
    <s v="Pemiscot"/>
    <n v="231"/>
    <n v="57"/>
    <n v="30"/>
    <n v="36"/>
    <n v="64"/>
    <n v="44"/>
    <n v="38"/>
    <n v="71"/>
    <n v="122"/>
    <n v="218"/>
    <n v="13"/>
    <x v="1562"/>
    <x v="0"/>
  </r>
  <r>
    <n v="29157"/>
    <x v="25"/>
    <s v="Perry"/>
    <n v="416"/>
    <n v="107"/>
    <n v="55"/>
    <n v="52"/>
    <n v="115"/>
    <n v="87"/>
    <n v="98"/>
    <n v="110"/>
    <n v="208"/>
    <n v="382"/>
    <n v="34"/>
    <x v="1563"/>
    <x v="0"/>
  </r>
  <r>
    <n v="29159"/>
    <x v="25"/>
    <s v="Pettis"/>
    <n v="1225"/>
    <n v="337"/>
    <n v="153"/>
    <n v="135"/>
    <n v="328"/>
    <n v="272"/>
    <n v="302"/>
    <n v="376"/>
    <n v="547"/>
    <n v="1117"/>
    <n v="108"/>
    <x v="1564"/>
    <x v="0"/>
  </r>
  <r>
    <n v="29161"/>
    <x v="25"/>
    <s v="Phelps"/>
    <n v="1565"/>
    <n v="324"/>
    <n v="159"/>
    <n v="180"/>
    <n v="484"/>
    <n v="418"/>
    <n v="324"/>
    <n v="551"/>
    <n v="690"/>
    <n v="1421"/>
    <n v="144"/>
    <x v="1565"/>
    <x v="0"/>
  </r>
  <r>
    <n v="29163"/>
    <x v="25"/>
    <s v="Pike"/>
    <n v="330"/>
    <n v="89"/>
    <n v="51"/>
    <n v="34"/>
    <n v="87"/>
    <n v="69"/>
    <n v="69"/>
    <n v="94"/>
    <n v="167"/>
    <n v="306"/>
    <n v="24"/>
    <x v="1566"/>
    <x v="0"/>
  </r>
  <r>
    <n v="29165"/>
    <x v="25"/>
    <s v="Platte"/>
    <n v="2695"/>
    <n v="509"/>
    <n v="273"/>
    <n v="299"/>
    <n v="837"/>
    <n v="777"/>
    <n v="742"/>
    <n v="1122"/>
    <n v="831"/>
    <n v="2389"/>
    <n v="306"/>
    <x v="1567"/>
    <x v="0"/>
  </r>
  <r>
    <n v="29167"/>
    <x v="25"/>
    <s v="Polk"/>
    <n v="714"/>
    <n v="169"/>
    <n v="79"/>
    <n v="79"/>
    <n v="231"/>
    <n v="156"/>
    <n v="162"/>
    <n v="211"/>
    <n v="341"/>
    <n v="653"/>
    <n v="61"/>
    <x v="1568"/>
    <x v="0"/>
  </r>
  <r>
    <n v="29169"/>
    <x v="25"/>
    <s v="Pulaski"/>
    <n v="4979"/>
    <n v="514"/>
    <n v="375"/>
    <n v="456"/>
    <n v="1606"/>
    <n v="2028"/>
    <n v="1649"/>
    <n v="2140"/>
    <n v="1190"/>
    <n v="4073"/>
    <n v="905"/>
    <x v="1569"/>
    <x v="0"/>
  </r>
  <r>
    <n v="29171"/>
    <x v="25"/>
    <s v="Putnam"/>
    <n v="85"/>
    <n v="21"/>
    <n v="11"/>
    <n v="16"/>
    <n v="24"/>
    <n v="13"/>
    <n v="14"/>
    <n v="23"/>
    <n v="48"/>
    <n v="75"/>
    <n v="10"/>
    <x v="1570"/>
    <x v="0"/>
  </r>
  <r>
    <n v="29173"/>
    <x v="25"/>
    <s v="Ralls"/>
    <n v="305"/>
    <n v="91"/>
    <n v="28"/>
    <n v="29"/>
    <n v="97"/>
    <n v="60"/>
    <n v="55"/>
    <n v="92"/>
    <n v="158"/>
    <n v="294"/>
    <n v="11"/>
    <x v="1571"/>
    <x v="0"/>
  </r>
  <r>
    <n v="29175"/>
    <x v="25"/>
    <s v="Randolph"/>
    <n v="616"/>
    <n v="175"/>
    <n v="86"/>
    <n v="75"/>
    <n v="178"/>
    <n v="102"/>
    <n v="158"/>
    <n v="209"/>
    <n v="249"/>
    <n v="569"/>
    <n v="46"/>
    <x v="1572"/>
    <x v="0"/>
  </r>
  <r>
    <n v="29177"/>
    <x v="25"/>
    <s v="Ray"/>
    <n v="478"/>
    <n v="122"/>
    <n v="60"/>
    <n v="65"/>
    <n v="140"/>
    <n v="91"/>
    <n v="99"/>
    <n v="128"/>
    <n v="251"/>
    <n v="445"/>
    <n v="33"/>
    <x v="1573"/>
    <x v="0"/>
  </r>
  <r>
    <n v="29179"/>
    <x v="25"/>
    <s v="Reynolds"/>
    <n v="196"/>
    <n v="43"/>
    <n v="21"/>
    <n v="13"/>
    <n v="64"/>
    <n v="55"/>
    <n v="35"/>
    <n v="56"/>
    <n v="105"/>
    <n v="185"/>
    <n v="11"/>
    <x v="1574"/>
    <x v="0"/>
  </r>
  <r>
    <n v="29181"/>
    <x v="25"/>
    <s v="Ripley"/>
    <n v="408"/>
    <n v="86"/>
    <n v="39"/>
    <n v="36"/>
    <n v="133"/>
    <n v="114"/>
    <n v="80"/>
    <n v="137"/>
    <n v="191"/>
    <n v="371"/>
    <n v="37"/>
    <x v="1575"/>
    <x v="0"/>
  </r>
  <r>
    <n v="29183"/>
    <x v="25"/>
    <s v="St. Charles"/>
    <n v="6818"/>
    <n v="1452"/>
    <n v="821"/>
    <n v="875"/>
    <n v="1986"/>
    <n v="1684"/>
    <n v="2185"/>
    <n v="2102"/>
    <n v="2531"/>
    <n v="6059"/>
    <n v="757"/>
    <x v="1576"/>
    <x v="0"/>
  </r>
  <r>
    <n v="29185"/>
    <x v="25"/>
    <s v="St. Clair"/>
    <n v="271"/>
    <n v="57"/>
    <n v="44"/>
    <n v="30"/>
    <n v="88"/>
    <n v="52"/>
    <n v="57"/>
    <n v="74"/>
    <n v="140"/>
    <n v="244"/>
    <n v="27"/>
    <x v="1577"/>
    <x v="0"/>
  </r>
  <r>
    <n v="29186"/>
    <x v="25"/>
    <s v="Ste. Genevieve"/>
    <n v="403"/>
    <n v="90"/>
    <n v="44"/>
    <n v="57"/>
    <n v="113"/>
    <n v="99"/>
    <n v="84"/>
    <n v="114"/>
    <n v="205"/>
    <n v="372"/>
    <n v="31"/>
    <x v="1578"/>
    <x v="0"/>
  </r>
  <r>
    <n v="29187"/>
    <x v="25"/>
    <s v="St. Francois"/>
    <n v="1614"/>
    <n v="347"/>
    <n v="152"/>
    <n v="205"/>
    <n v="507"/>
    <n v="403"/>
    <n v="409"/>
    <n v="512"/>
    <n v="693"/>
    <n v="1486"/>
    <n v="127"/>
    <x v="1579"/>
    <x v="0"/>
  </r>
  <r>
    <n v="29189"/>
    <x v="25"/>
    <s v="St. Louis"/>
    <n v="12088"/>
    <n v="2488"/>
    <n v="1461"/>
    <n v="1594"/>
    <n v="3596"/>
    <n v="2949"/>
    <n v="2974"/>
    <n v="3609"/>
    <n v="5505"/>
    <n v="10511"/>
    <n v="1574"/>
    <x v="1580"/>
    <x v="0"/>
  </r>
  <r>
    <n v="29195"/>
    <x v="25"/>
    <s v="Saline"/>
    <n v="449"/>
    <n v="134"/>
    <n v="54"/>
    <n v="60"/>
    <n v="112"/>
    <n v="89"/>
    <n v="100"/>
    <n v="118"/>
    <n v="231"/>
    <n v="425"/>
    <n v="24"/>
    <x v="1581"/>
    <x v="0"/>
  </r>
  <r>
    <n v="29197"/>
    <x v="25"/>
    <s v="Schuyler"/>
    <n v="75"/>
    <n v="22"/>
    <n v="14"/>
    <n v="10"/>
    <n v="17"/>
    <n v="12"/>
    <n v="12"/>
    <n v="20"/>
    <n v="43"/>
    <m/>
    <m/>
    <x v="1582"/>
    <x v="0"/>
  </r>
  <r>
    <n v="29199"/>
    <x v="25"/>
    <s v="Scotland"/>
    <n v="79"/>
    <n v="25"/>
    <m/>
    <m/>
    <n v="18"/>
    <n v="18"/>
    <n v="14"/>
    <n v="21"/>
    <n v="44"/>
    <m/>
    <m/>
    <x v="1583"/>
    <x v="0"/>
  </r>
  <r>
    <n v="29201"/>
    <x v="25"/>
    <s v="Scott"/>
    <n v="881"/>
    <n v="203"/>
    <n v="112"/>
    <n v="96"/>
    <n v="253"/>
    <n v="217"/>
    <n v="198"/>
    <n v="271"/>
    <n v="412"/>
    <n v="821"/>
    <n v="59"/>
    <x v="1584"/>
    <x v="0"/>
  </r>
  <r>
    <n v="29203"/>
    <x v="25"/>
    <s v="Shannon"/>
    <n v="256"/>
    <n v="55"/>
    <n v="26"/>
    <n v="27"/>
    <n v="62"/>
    <n v="86"/>
    <n v="52"/>
    <n v="85"/>
    <n v="119"/>
    <n v="230"/>
    <n v="26"/>
    <x v="1585"/>
    <x v="0"/>
  </r>
  <r>
    <n v="29205"/>
    <x v="25"/>
    <s v="Shelby"/>
    <n v="149"/>
    <n v="43"/>
    <n v="20"/>
    <n v="24"/>
    <n v="36"/>
    <n v="26"/>
    <n v="27"/>
    <n v="39"/>
    <n v="83"/>
    <m/>
    <m/>
    <x v="1586"/>
    <x v="0"/>
  </r>
  <r>
    <n v="29207"/>
    <x v="25"/>
    <s v="Stoddard"/>
    <n v="814"/>
    <n v="179"/>
    <n v="81"/>
    <n v="108"/>
    <n v="241"/>
    <n v="205"/>
    <n v="155"/>
    <n v="227"/>
    <n v="432"/>
    <n v="749"/>
    <n v="65"/>
    <x v="1587"/>
    <x v="0"/>
  </r>
  <r>
    <n v="29209"/>
    <x v="25"/>
    <s v="Stone"/>
    <n v="919"/>
    <n v="235"/>
    <n v="94"/>
    <n v="122"/>
    <n v="277"/>
    <n v="191"/>
    <n v="130"/>
    <n v="274"/>
    <n v="515"/>
    <n v="834"/>
    <n v="85"/>
    <x v="1588"/>
    <x v="0"/>
  </r>
  <r>
    <n v="29211"/>
    <x v="25"/>
    <s v="Sullivan"/>
    <n v="92"/>
    <n v="28"/>
    <n v="13"/>
    <n v="17"/>
    <n v="21"/>
    <n v="13"/>
    <n v="14"/>
    <n v="25"/>
    <n v="53"/>
    <m/>
    <m/>
    <x v="1589"/>
    <x v="0"/>
  </r>
  <r>
    <n v="29213"/>
    <x v="25"/>
    <s v="Taney"/>
    <n v="1375"/>
    <n v="356"/>
    <n v="159"/>
    <n v="174"/>
    <n v="389"/>
    <n v="297"/>
    <n v="271"/>
    <n v="419"/>
    <n v="685"/>
    <n v="1261"/>
    <n v="114"/>
    <x v="1590"/>
    <x v="0"/>
  </r>
  <r>
    <n v="29215"/>
    <x v="25"/>
    <s v="Texas"/>
    <n v="1159"/>
    <n v="216"/>
    <n v="102"/>
    <n v="134"/>
    <n v="370"/>
    <n v="337"/>
    <n v="199"/>
    <n v="443"/>
    <n v="517"/>
    <n v="1048"/>
    <n v="111"/>
    <x v="1591"/>
    <x v="0"/>
  </r>
  <r>
    <n v="29217"/>
    <x v="25"/>
    <s v="Vernon"/>
    <n v="364"/>
    <n v="84"/>
    <n v="48"/>
    <n v="40"/>
    <n v="126"/>
    <n v="66"/>
    <n v="80"/>
    <n v="108"/>
    <n v="175"/>
    <n v="338"/>
    <n v="26"/>
    <x v="1592"/>
    <x v="0"/>
  </r>
  <r>
    <n v="29219"/>
    <x v="25"/>
    <s v="Warren"/>
    <n v="783"/>
    <n v="199"/>
    <n v="82"/>
    <n v="108"/>
    <n v="216"/>
    <n v="178"/>
    <n v="253"/>
    <n v="207"/>
    <n v="323"/>
    <n v="722"/>
    <n v="61"/>
    <x v="1593"/>
    <x v="0"/>
  </r>
  <r>
    <n v="29221"/>
    <x v="25"/>
    <s v="Washington"/>
    <n v="506"/>
    <n v="109"/>
    <n v="59"/>
    <n v="71"/>
    <n v="140"/>
    <n v="127"/>
    <n v="116"/>
    <n v="158"/>
    <n v="232"/>
    <n v="467"/>
    <n v="38"/>
    <x v="1594"/>
    <x v="0"/>
  </r>
  <r>
    <n v="29223"/>
    <x v="25"/>
    <s v="Wayne"/>
    <n v="430"/>
    <n v="96"/>
    <n v="34"/>
    <n v="56"/>
    <n v="149"/>
    <n v="95"/>
    <n v="73"/>
    <n v="134"/>
    <n v="223"/>
    <n v="402"/>
    <n v="28"/>
    <x v="1595"/>
    <x v="0"/>
  </r>
  <r>
    <n v="29225"/>
    <x v="25"/>
    <s v="Webster"/>
    <n v="954"/>
    <n v="206"/>
    <n v="107"/>
    <n v="141"/>
    <n v="292"/>
    <n v="208"/>
    <n v="243"/>
    <n v="320"/>
    <n v="391"/>
    <n v="867"/>
    <n v="87"/>
    <x v="1596"/>
    <x v="0"/>
  </r>
  <r>
    <n v="29227"/>
    <x v="25"/>
    <s v="Worth"/>
    <n v="38"/>
    <n v="13"/>
    <m/>
    <m/>
    <n v="10"/>
    <m/>
    <m/>
    <m/>
    <n v="21"/>
    <m/>
    <m/>
    <x v="1597"/>
    <x v="0"/>
  </r>
  <r>
    <n v="29229"/>
    <x v="25"/>
    <s v="Wright"/>
    <n v="523"/>
    <n v="123"/>
    <n v="50"/>
    <n v="61"/>
    <n v="157"/>
    <n v="132"/>
    <n v="104"/>
    <n v="174"/>
    <n v="245"/>
    <n v="480"/>
    <n v="43"/>
    <x v="1598"/>
    <x v="0"/>
  </r>
  <r>
    <n v="29510"/>
    <x v="25"/>
    <s v="St. Louis City"/>
    <n v="3360"/>
    <n v="671"/>
    <n v="404"/>
    <n v="454"/>
    <n v="1033"/>
    <n v="798"/>
    <n v="1053"/>
    <n v="1051"/>
    <n v="1256"/>
    <n v="2842"/>
    <n v="517"/>
    <x v="1599"/>
    <x v="0"/>
  </r>
  <r>
    <n v="30001"/>
    <x v="26"/>
    <s v="Beaverhead"/>
    <n v="241"/>
    <n v="71"/>
    <n v="35"/>
    <n v="22"/>
    <n v="68"/>
    <n v="45"/>
    <n v="56"/>
    <n v="73"/>
    <n v="112"/>
    <n v="216"/>
    <n v="25"/>
    <x v="1600"/>
    <x v="0"/>
  </r>
  <r>
    <n v="30003"/>
    <x v="26"/>
    <s v="Big Horn"/>
    <n v="165"/>
    <n v="35"/>
    <n v="22"/>
    <n v="22"/>
    <n v="48"/>
    <n v="38"/>
    <n v="30"/>
    <n v="60"/>
    <n v="75"/>
    <n v="147"/>
    <n v="18"/>
    <x v="1601"/>
    <x v="0"/>
  </r>
  <r>
    <n v="30005"/>
    <x v="26"/>
    <s v="Blaine"/>
    <n v="138"/>
    <n v="33"/>
    <n v="19"/>
    <n v="20"/>
    <n v="43"/>
    <n v="23"/>
    <n v="40"/>
    <n v="34"/>
    <n v="64"/>
    <n v="123"/>
    <n v="15"/>
    <x v="1602"/>
    <x v="0"/>
  </r>
  <r>
    <n v="30007"/>
    <x v="26"/>
    <s v="Broadwater"/>
    <n v="353"/>
    <n v="74"/>
    <n v="46"/>
    <n v="34"/>
    <n v="104"/>
    <n v="95"/>
    <n v="89"/>
    <n v="119"/>
    <n v="145"/>
    <n v="319"/>
    <n v="34"/>
    <x v="1603"/>
    <x v="0"/>
  </r>
  <r>
    <n v="30009"/>
    <x v="26"/>
    <s v="Carbon"/>
    <n v="323"/>
    <n v="62"/>
    <n v="49"/>
    <n v="43"/>
    <n v="75"/>
    <n v="94"/>
    <n v="61"/>
    <n v="113"/>
    <n v="149"/>
    <n v="285"/>
    <n v="38"/>
    <x v="1604"/>
    <x v="0"/>
  </r>
  <r>
    <n v="30011"/>
    <x v="26"/>
    <s v="Carter"/>
    <n v="21"/>
    <m/>
    <m/>
    <m/>
    <m/>
    <m/>
    <m/>
    <m/>
    <m/>
    <m/>
    <m/>
    <x v="1605"/>
    <x v="0"/>
  </r>
  <r>
    <n v="30013"/>
    <x v="26"/>
    <s v="Cascade"/>
    <n v="4164"/>
    <n v="819"/>
    <n v="612"/>
    <n v="600"/>
    <n v="1202"/>
    <n v="931"/>
    <n v="1220"/>
    <n v="1502"/>
    <n v="1442"/>
    <n v="3576"/>
    <n v="588"/>
    <x v="1606"/>
    <x v="0"/>
  </r>
  <r>
    <n v="30015"/>
    <x v="26"/>
    <s v="Chouteau"/>
    <n v="132"/>
    <n v="31"/>
    <n v="19"/>
    <n v="12"/>
    <n v="37"/>
    <n v="33"/>
    <n v="28"/>
    <n v="47"/>
    <n v="57"/>
    <n v="116"/>
    <n v="16"/>
    <x v="1607"/>
    <x v="0"/>
  </r>
  <r>
    <n v="30017"/>
    <x v="26"/>
    <s v="Custer"/>
    <n v="318"/>
    <n v="78"/>
    <n v="36"/>
    <n v="57"/>
    <n v="69"/>
    <n v="78"/>
    <n v="59"/>
    <n v="114"/>
    <n v="145"/>
    <n v="292"/>
    <n v="26"/>
    <x v="1608"/>
    <x v="0"/>
  </r>
  <r>
    <n v="30019"/>
    <x v="26"/>
    <s v="Daniels"/>
    <n v="36"/>
    <n v="10"/>
    <m/>
    <m/>
    <m/>
    <m/>
    <m/>
    <m/>
    <n v="18"/>
    <m/>
    <m/>
    <x v="1609"/>
    <x v="0"/>
  </r>
  <r>
    <n v="30021"/>
    <x v="26"/>
    <s v="Dawson"/>
    <n v="203"/>
    <n v="48"/>
    <n v="25"/>
    <n v="23"/>
    <n v="64"/>
    <n v="43"/>
    <n v="39"/>
    <n v="56"/>
    <n v="108"/>
    <n v="181"/>
    <n v="22"/>
    <x v="1610"/>
    <x v="0"/>
  </r>
  <r>
    <n v="30023"/>
    <x v="26"/>
    <s v="Deer Lodge"/>
    <n v="236"/>
    <n v="56"/>
    <n v="36"/>
    <n v="36"/>
    <n v="57"/>
    <n v="51"/>
    <n v="43"/>
    <n v="82"/>
    <n v="111"/>
    <n v="217"/>
    <n v="19"/>
    <x v="1611"/>
    <x v="0"/>
  </r>
  <r>
    <n v="30025"/>
    <x v="26"/>
    <s v="Fallon"/>
    <n v="43"/>
    <n v="14"/>
    <m/>
    <m/>
    <n v="15"/>
    <m/>
    <m/>
    <m/>
    <n v="20"/>
    <m/>
    <m/>
    <x v="1612"/>
    <x v="0"/>
  </r>
  <r>
    <n v="30027"/>
    <x v="26"/>
    <s v="Fergus"/>
    <n v="278"/>
    <n v="65"/>
    <n v="47"/>
    <n v="41"/>
    <n v="67"/>
    <n v="58"/>
    <n v="45"/>
    <n v="74"/>
    <n v="159"/>
    <n v="254"/>
    <n v="24"/>
    <x v="1613"/>
    <x v="0"/>
  </r>
  <r>
    <n v="30029"/>
    <x v="26"/>
    <s v="Flathead"/>
    <n v="2989"/>
    <n v="554"/>
    <n v="337"/>
    <n v="394"/>
    <n v="876"/>
    <n v="828"/>
    <n v="923"/>
    <n v="981"/>
    <n v="1085"/>
    <n v="2676"/>
    <n v="313"/>
    <x v="1614"/>
    <x v="0"/>
  </r>
  <r>
    <n v="30031"/>
    <x v="26"/>
    <s v="Gallatin"/>
    <n v="2158"/>
    <n v="537"/>
    <n v="260"/>
    <n v="267"/>
    <n v="593"/>
    <n v="501"/>
    <n v="830"/>
    <n v="605"/>
    <n v="723"/>
    <n v="1934"/>
    <n v="223"/>
    <x v="1615"/>
    <x v="0"/>
  </r>
  <r>
    <n v="30033"/>
    <x v="26"/>
    <s v="Garfield"/>
    <n v="21"/>
    <m/>
    <m/>
    <m/>
    <m/>
    <m/>
    <m/>
    <m/>
    <m/>
    <m/>
    <m/>
    <x v="1616"/>
    <x v="0"/>
  </r>
  <r>
    <n v="30035"/>
    <x v="26"/>
    <s v="Glacier"/>
    <n v="232"/>
    <n v="43"/>
    <n v="35"/>
    <n v="27"/>
    <n v="75"/>
    <n v="52"/>
    <n v="67"/>
    <n v="79"/>
    <n v="86"/>
    <n v="211"/>
    <n v="21"/>
    <x v="1617"/>
    <x v="0"/>
  </r>
  <r>
    <n v="30037"/>
    <x v="26"/>
    <s v="Golden Valley"/>
    <n v="23"/>
    <m/>
    <m/>
    <m/>
    <m/>
    <m/>
    <m/>
    <m/>
    <n v="12"/>
    <m/>
    <m/>
    <x v="1618"/>
    <x v="0"/>
  </r>
  <r>
    <n v="30039"/>
    <x v="26"/>
    <s v="Granite"/>
    <n v="103"/>
    <n v="20"/>
    <m/>
    <m/>
    <n v="36"/>
    <n v="30"/>
    <n v="27"/>
    <n v="40"/>
    <n v="36"/>
    <n v="89"/>
    <n v="14"/>
    <x v="1619"/>
    <x v="0"/>
  </r>
  <r>
    <n v="30041"/>
    <x v="26"/>
    <s v="Hill"/>
    <n v="380"/>
    <n v="112"/>
    <n v="48"/>
    <n v="52"/>
    <n v="110"/>
    <n v="58"/>
    <n v="82"/>
    <n v="116"/>
    <n v="182"/>
    <n v="343"/>
    <n v="37"/>
    <x v="1620"/>
    <x v="0"/>
  </r>
  <r>
    <n v="30043"/>
    <x v="26"/>
    <s v="Jefferson"/>
    <n v="574"/>
    <n v="123"/>
    <n v="63"/>
    <n v="63"/>
    <n v="166"/>
    <n v="159"/>
    <n v="115"/>
    <n v="213"/>
    <n v="246"/>
    <n v="515"/>
    <n v="59"/>
    <x v="1621"/>
    <x v="0"/>
  </r>
  <r>
    <n v="30045"/>
    <x v="26"/>
    <s v="Judith Basin"/>
    <n v="80"/>
    <n v="21"/>
    <m/>
    <m/>
    <n v="25"/>
    <n v="16"/>
    <n v="21"/>
    <n v="19"/>
    <n v="40"/>
    <n v="70"/>
    <n v="10"/>
    <x v="1622"/>
    <x v="0"/>
  </r>
  <r>
    <n v="30047"/>
    <x v="26"/>
    <s v="Lake"/>
    <n v="785"/>
    <n v="150"/>
    <n v="86"/>
    <n v="99"/>
    <n v="243"/>
    <n v="207"/>
    <n v="178"/>
    <n v="219"/>
    <n v="388"/>
    <n v="689"/>
    <n v="96"/>
    <x v="1623"/>
    <x v="0"/>
  </r>
  <r>
    <n v="30049"/>
    <x v="26"/>
    <s v="Lewis and Clark"/>
    <n v="2956"/>
    <n v="602"/>
    <n v="337"/>
    <n v="349"/>
    <n v="874"/>
    <n v="794"/>
    <n v="759"/>
    <n v="1144"/>
    <n v="1053"/>
    <n v="2575"/>
    <n v="380"/>
    <x v="1624"/>
    <x v="0"/>
  </r>
  <r>
    <n v="30051"/>
    <x v="26"/>
    <s v="Liberty"/>
    <n v="28"/>
    <m/>
    <m/>
    <m/>
    <m/>
    <m/>
    <m/>
    <m/>
    <n v="17"/>
    <m/>
    <m/>
    <x v="1625"/>
    <x v="0"/>
  </r>
  <r>
    <n v="30053"/>
    <x v="26"/>
    <s v="Lincoln"/>
    <n v="896"/>
    <n v="148"/>
    <n v="94"/>
    <n v="109"/>
    <n v="270"/>
    <n v="275"/>
    <n v="205"/>
    <n v="280"/>
    <n v="411"/>
    <n v="796"/>
    <n v="99"/>
    <x v="1626"/>
    <x v="0"/>
  </r>
  <r>
    <n v="30055"/>
    <x v="26"/>
    <s v="McCone"/>
    <n v="32"/>
    <m/>
    <m/>
    <m/>
    <m/>
    <n v="12"/>
    <m/>
    <m/>
    <n v="15"/>
    <m/>
    <m/>
    <x v="1627"/>
    <x v="0"/>
  </r>
  <r>
    <n v="30057"/>
    <x v="26"/>
    <s v="Madison"/>
    <n v="264"/>
    <n v="70"/>
    <n v="40"/>
    <n v="31"/>
    <n v="61"/>
    <n v="62"/>
    <n v="47"/>
    <n v="70"/>
    <n v="147"/>
    <n v="247"/>
    <n v="17"/>
    <x v="1628"/>
    <x v="0"/>
  </r>
  <r>
    <n v="30059"/>
    <x v="26"/>
    <s v="Meagher"/>
    <n v="69"/>
    <n v="19"/>
    <m/>
    <m/>
    <n v="15"/>
    <n v="23"/>
    <m/>
    <m/>
    <n v="46"/>
    <m/>
    <m/>
    <x v="1629"/>
    <x v="0"/>
  </r>
  <r>
    <n v="30061"/>
    <x v="26"/>
    <s v="Mineral"/>
    <n v="200"/>
    <n v="32"/>
    <n v="22"/>
    <n v="25"/>
    <n v="64"/>
    <n v="57"/>
    <n v="48"/>
    <n v="58"/>
    <n v="94"/>
    <n v="179"/>
    <n v="21"/>
    <x v="1630"/>
    <x v="0"/>
  </r>
  <r>
    <n v="30063"/>
    <x v="26"/>
    <s v="Missoula"/>
    <n v="2584"/>
    <n v="552"/>
    <n v="302"/>
    <n v="307"/>
    <n v="775"/>
    <n v="648"/>
    <n v="986"/>
    <n v="730"/>
    <n v="868"/>
    <n v="2292"/>
    <n v="292"/>
    <x v="1631"/>
    <x v="0"/>
  </r>
  <r>
    <n v="30065"/>
    <x v="26"/>
    <s v="Musselshell"/>
    <n v="233"/>
    <n v="41"/>
    <n v="35"/>
    <n v="37"/>
    <n v="74"/>
    <n v="46"/>
    <n v="48"/>
    <n v="69"/>
    <n v="116"/>
    <n v="209"/>
    <n v="24"/>
    <x v="1632"/>
    <x v="0"/>
  </r>
  <r>
    <n v="30067"/>
    <x v="26"/>
    <s v="Park"/>
    <n v="388"/>
    <n v="107"/>
    <n v="57"/>
    <n v="39"/>
    <n v="92"/>
    <n v="93"/>
    <n v="112"/>
    <n v="120"/>
    <n v="156"/>
    <n v="354"/>
    <n v="34"/>
    <x v="1633"/>
    <x v="0"/>
  </r>
  <r>
    <n v="30069"/>
    <x v="26"/>
    <s v="Petroleum"/>
    <n v="14"/>
    <m/>
    <m/>
    <m/>
    <m/>
    <m/>
    <m/>
    <m/>
    <m/>
    <m/>
    <m/>
    <x v="1634"/>
    <x v="0"/>
  </r>
  <r>
    <n v="30071"/>
    <x v="26"/>
    <s v="Phillips"/>
    <n v="92"/>
    <n v="25"/>
    <m/>
    <m/>
    <n v="17"/>
    <n v="29"/>
    <n v="16"/>
    <n v="29"/>
    <n v="47"/>
    <m/>
    <m/>
    <x v="1635"/>
    <x v="0"/>
  </r>
  <r>
    <n v="30073"/>
    <x v="26"/>
    <s v="Pondera"/>
    <n v="128"/>
    <n v="21"/>
    <n v="24"/>
    <n v="21"/>
    <n v="33"/>
    <n v="29"/>
    <n v="29"/>
    <n v="28"/>
    <n v="71"/>
    <m/>
    <m/>
    <x v="1636"/>
    <x v="0"/>
  </r>
  <r>
    <n v="30075"/>
    <x v="26"/>
    <s v="Powder River"/>
    <n v="31"/>
    <m/>
    <m/>
    <m/>
    <n v="13"/>
    <m/>
    <m/>
    <m/>
    <n v="14"/>
    <m/>
    <m/>
    <x v="1637"/>
    <x v="0"/>
  </r>
  <r>
    <n v="30077"/>
    <x v="26"/>
    <s v="Powell"/>
    <n v="224"/>
    <n v="53"/>
    <n v="29"/>
    <n v="33"/>
    <n v="59"/>
    <n v="50"/>
    <n v="45"/>
    <n v="82"/>
    <n v="97"/>
    <n v="200"/>
    <n v="24"/>
    <x v="1638"/>
    <x v="0"/>
  </r>
  <r>
    <n v="30079"/>
    <x v="26"/>
    <s v="Prairie"/>
    <n v="48"/>
    <n v="14"/>
    <m/>
    <m/>
    <n v="12"/>
    <n v="10"/>
    <m/>
    <m/>
    <n v="26"/>
    <m/>
    <m/>
    <x v="1639"/>
    <x v="0"/>
  </r>
  <r>
    <n v="30081"/>
    <x v="26"/>
    <s v="Ravalli"/>
    <n v="1817"/>
    <n v="336"/>
    <n v="202"/>
    <n v="219"/>
    <n v="521"/>
    <n v="539"/>
    <n v="387"/>
    <n v="602"/>
    <n v="828"/>
    <n v="1630"/>
    <n v="187"/>
    <x v="1640"/>
    <x v="0"/>
  </r>
  <r>
    <n v="30083"/>
    <x v="26"/>
    <s v="Richland"/>
    <n v="155"/>
    <n v="42"/>
    <n v="21"/>
    <n v="25"/>
    <n v="36"/>
    <n v="31"/>
    <n v="50"/>
    <n v="57"/>
    <n v="48"/>
    <n v="139"/>
    <n v="16"/>
    <x v="1641"/>
    <x v="0"/>
  </r>
  <r>
    <n v="30085"/>
    <x v="26"/>
    <s v="Roosevelt"/>
    <n v="146"/>
    <n v="35"/>
    <n v="19"/>
    <n v="22"/>
    <n v="43"/>
    <n v="27"/>
    <n v="42"/>
    <n v="45"/>
    <n v="59"/>
    <n v="128"/>
    <n v="18"/>
    <x v="1642"/>
    <x v="0"/>
  </r>
  <r>
    <n v="30087"/>
    <x v="26"/>
    <s v="Rosebud"/>
    <n v="186"/>
    <n v="51"/>
    <n v="22"/>
    <n v="27"/>
    <n v="52"/>
    <n v="34"/>
    <n v="41"/>
    <n v="68"/>
    <n v="77"/>
    <n v="174"/>
    <n v="11"/>
    <x v="1643"/>
    <x v="0"/>
  </r>
  <r>
    <n v="30089"/>
    <x v="26"/>
    <s v="Sanders"/>
    <n v="530"/>
    <n v="97"/>
    <n v="50"/>
    <n v="57"/>
    <n v="180"/>
    <n v="146"/>
    <n v="98"/>
    <n v="150"/>
    <n v="282"/>
    <n v="494"/>
    <n v="36"/>
    <x v="1644"/>
    <x v="0"/>
  </r>
  <r>
    <n v="30091"/>
    <x v="26"/>
    <s v="Sheridan"/>
    <n v="68"/>
    <n v="19"/>
    <m/>
    <n v="13"/>
    <n v="17"/>
    <m/>
    <n v="16"/>
    <n v="27"/>
    <n v="25"/>
    <m/>
    <m/>
    <x v="1645"/>
    <x v="0"/>
  </r>
  <r>
    <n v="30093"/>
    <x v="26"/>
    <s v="Silver Bow"/>
    <n v="880"/>
    <n v="223"/>
    <n v="118"/>
    <n v="97"/>
    <n v="244"/>
    <n v="198"/>
    <n v="231"/>
    <n v="273"/>
    <n v="376"/>
    <n v="789"/>
    <n v="91"/>
    <x v="1646"/>
    <x v="0"/>
  </r>
  <r>
    <n v="30095"/>
    <x v="26"/>
    <s v="Stillwater"/>
    <n v="288"/>
    <n v="77"/>
    <n v="29"/>
    <n v="28"/>
    <n v="80"/>
    <n v="74"/>
    <n v="66"/>
    <n v="79"/>
    <n v="143"/>
    <n v="263"/>
    <n v="25"/>
    <x v="1647"/>
    <x v="0"/>
  </r>
  <r>
    <n v="30097"/>
    <x v="26"/>
    <s v="Sweet Grass"/>
    <n v="118"/>
    <n v="31"/>
    <n v="11"/>
    <n v="14"/>
    <n v="39"/>
    <n v="23"/>
    <n v="22"/>
    <n v="38"/>
    <n v="58"/>
    <n v="102"/>
    <n v="16"/>
    <x v="1648"/>
    <x v="0"/>
  </r>
  <r>
    <n v="30099"/>
    <x v="26"/>
    <s v="Teton"/>
    <n v="166"/>
    <n v="29"/>
    <n v="22"/>
    <n v="21"/>
    <n v="61"/>
    <n v="33"/>
    <n v="33"/>
    <n v="55"/>
    <n v="78"/>
    <n v="143"/>
    <n v="23"/>
    <x v="1649"/>
    <x v="0"/>
  </r>
  <r>
    <n v="30101"/>
    <x v="26"/>
    <s v="Toole"/>
    <n v="130"/>
    <n v="41"/>
    <n v="15"/>
    <n v="12"/>
    <n v="34"/>
    <n v="28"/>
    <n v="39"/>
    <n v="41"/>
    <n v="50"/>
    <n v="114"/>
    <n v="16"/>
    <x v="1650"/>
    <x v="0"/>
  </r>
  <r>
    <n v="30103"/>
    <x v="26"/>
    <s v="Treasure"/>
    <n v="10"/>
    <m/>
    <m/>
    <m/>
    <m/>
    <m/>
    <m/>
    <m/>
    <m/>
    <m/>
    <m/>
    <x v="1651"/>
    <x v="0"/>
  </r>
  <r>
    <n v="30105"/>
    <x v="26"/>
    <s v="Valley"/>
    <n v="191"/>
    <n v="56"/>
    <n v="34"/>
    <n v="26"/>
    <n v="40"/>
    <n v="35"/>
    <n v="38"/>
    <n v="59"/>
    <n v="94"/>
    <n v="174"/>
    <n v="17"/>
    <x v="1652"/>
    <x v="0"/>
  </r>
  <r>
    <n v="30107"/>
    <x v="26"/>
    <s v="Wheatland"/>
    <n v="59"/>
    <n v="12"/>
    <n v="14"/>
    <m/>
    <n v="14"/>
    <m/>
    <n v="13"/>
    <n v="19"/>
    <n v="27"/>
    <n v="48"/>
    <n v="11"/>
    <x v="1653"/>
    <x v="0"/>
  </r>
  <r>
    <n v="30109"/>
    <x v="26"/>
    <s v="Wibaux"/>
    <n v="11"/>
    <m/>
    <m/>
    <m/>
    <m/>
    <m/>
    <m/>
    <m/>
    <m/>
    <m/>
    <m/>
    <x v="1654"/>
    <x v="0"/>
  </r>
  <r>
    <n v="30111"/>
    <x v="26"/>
    <s v="Yellowstone"/>
    <n v="4495"/>
    <n v="995"/>
    <n v="537"/>
    <n v="580"/>
    <n v="1256"/>
    <n v="1127"/>
    <n v="1360"/>
    <n v="1403"/>
    <n v="1732"/>
    <n v="4015"/>
    <n v="479"/>
    <x v="1655"/>
    <x v="0"/>
  </r>
  <r>
    <n v="31001"/>
    <x v="27"/>
    <s v="Adams"/>
    <n v="688"/>
    <n v="278"/>
    <n v="77"/>
    <n v="81"/>
    <n v="145"/>
    <n v="107"/>
    <n v="129"/>
    <n v="153"/>
    <n v="406"/>
    <n v="639"/>
    <n v="49"/>
    <x v="1656"/>
    <x v="0"/>
  </r>
  <r>
    <n v="31003"/>
    <x v="27"/>
    <s v="Antelope"/>
    <n v="180"/>
    <n v="69"/>
    <n v="28"/>
    <n v="27"/>
    <n v="41"/>
    <n v="15"/>
    <n v="26"/>
    <n v="33"/>
    <n v="121"/>
    <m/>
    <m/>
    <x v="1657"/>
    <x v="0"/>
  </r>
  <r>
    <n v="31005"/>
    <x v="27"/>
    <s v="Arthur"/>
    <m/>
    <m/>
    <m/>
    <m/>
    <m/>
    <m/>
    <m/>
    <m/>
    <m/>
    <m/>
    <m/>
    <x v="1658"/>
    <x v="0"/>
  </r>
  <r>
    <n v="31007"/>
    <x v="27"/>
    <s v="Banner"/>
    <n v="10"/>
    <m/>
    <m/>
    <m/>
    <m/>
    <m/>
    <m/>
    <m/>
    <m/>
    <m/>
    <m/>
    <x v="1659"/>
    <x v="0"/>
  </r>
  <r>
    <n v="31009"/>
    <x v="27"/>
    <s v="Blaine"/>
    <m/>
    <m/>
    <m/>
    <m/>
    <m/>
    <m/>
    <m/>
    <m/>
    <m/>
    <m/>
    <m/>
    <x v="1660"/>
    <x v="0"/>
  </r>
  <r>
    <n v="31011"/>
    <x v="27"/>
    <s v="Boone"/>
    <n v="150"/>
    <n v="71"/>
    <n v="17"/>
    <n v="17"/>
    <n v="25"/>
    <n v="20"/>
    <n v="15"/>
    <n v="24"/>
    <n v="111"/>
    <m/>
    <m/>
    <x v="1661"/>
    <x v="0"/>
  </r>
  <r>
    <n v="31013"/>
    <x v="27"/>
    <s v="Box Butte"/>
    <n v="279"/>
    <n v="66"/>
    <n v="51"/>
    <n v="35"/>
    <n v="66"/>
    <n v="61"/>
    <n v="67"/>
    <n v="82"/>
    <n v="130"/>
    <n v="255"/>
    <n v="24"/>
    <x v="1662"/>
    <x v="0"/>
  </r>
  <r>
    <n v="31015"/>
    <x v="27"/>
    <s v="Boyd"/>
    <n v="60"/>
    <n v="25"/>
    <m/>
    <m/>
    <n v="12"/>
    <m/>
    <m/>
    <m/>
    <n v="40"/>
    <m/>
    <m/>
    <x v="1663"/>
    <x v="0"/>
  </r>
  <r>
    <n v="31017"/>
    <x v="27"/>
    <s v="Brown"/>
    <n v="66"/>
    <n v="21"/>
    <n v="10"/>
    <n v="11"/>
    <n v="12"/>
    <n v="12"/>
    <m/>
    <m/>
    <n v="45"/>
    <m/>
    <m/>
    <x v="1664"/>
    <x v="0"/>
  </r>
  <r>
    <n v="31019"/>
    <x v="27"/>
    <s v="Buffalo"/>
    <n v="1155"/>
    <n v="398"/>
    <n v="148"/>
    <n v="123"/>
    <n v="261"/>
    <n v="225"/>
    <n v="235"/>
    <n v="257"/>
    <n v="663"/>
    <n v="1093"/>
    <n v="62"/>
    <x v="1665"/>
    <x v="0"/>
  </r>
  <r>
    <n v="31021"/>
    <x v="27"/>
    <s v="Burt"/>
    <n v="146"/>
    <n v="47"/>
    <n v="19"/>
    <n v="23"/>
    <n v="25"/>
    <n v="32"/>
    <n v="19"/>
    <n v="38"/>
    <n v="89"/>
    <n v="132"/>
    <n v="14"/>
    <x v="1666"/>
    <x v="0"/>
  </r>
  <r>
    <n v="31023"/>
    <x v="27"/>
    <s v="Butler"/>
    <n v="240"/>
    <n v="114"/>
    <n v="25"/>
    <n v="32"/>
    <n v="39"/>
    <n v="30"/>
    <n v="33"/>
    <n v="56"/>
    <n v="151"/>
    <n v="227"/>
    <n v="13"/>
    <x v="1667"/>
    <x v="0"/>
  </r>
  <r>
    <n v="31025"/>
    <x v="27"/>
    <s v="Cass"/>
    <n v="1303"/>
    <n v="337"/>
    <n v="162"/>
    <n v="188"/>
    <n v="311"/>
    <n v="305"/>
    <n v="277"/>
    <n v="484"/>
    <n v="542"/>
    <n v="1157"/>
    <n v="146"/>
    <x v="1668"/>
    <x v="0"/>
  </r>
  <r>
    <n v="31027"/>
    <x v="27"/>
    <s v="Cedar"/>
    <n v="177"/>
    <n v="73"/>
    <n v="24"/>
    <n v="16"/>
    <n v="36"/>
    <n v="28"/>
    <n v="29"/>
    <n v="43"/>
    <n v="105"/>
    <m/>
    <m/>
    <x v="1669"/>
    <x v="0"/>
  </r>
  <r>
    <n v="31029"/>
    <x v="27"/>
    <s v="Chase"/>
    <n v="68"/>
    <n v="22"/>
    <m/>
    <m/>
    <n v="15"/>
    <n v="16"/>
    <n v="15"/>
    <n v="18"/>
    <n v="35"/>
    <m/>
    <m/>
    <x v="1670"/>
    <x v="0"/>
  </r>
  <r>
    <n v="31031"/>
    <x v="27"/>
    <s v="Cherry"/>
    <n v="122"/>
    <n v="38"/>
    <n v="20"/>
    <n v="17"/>
    <n v="29"/>
    <n v="18"/>
    <n v="29"/>
    <n v="29"/>
    <n v="64"/>
    <n v="111"/>
    <n v="11"/>
    <x v="1671"/>
    <x v="0"/>
  </r>
  <r>
    <n v="31033"/>
    <x v="27"/>
    <s v="Cheyenne"/>
    <n v="320"/>
    <n v="128"/>
    <n v="31"/>
    <n v="38"/>
    <n v="69"/>
    <n v="54"/>
    <n v="70"/>
    <n v="83"/>
    <n v="167"/>
    <n v="296"/>
    <n v="24"/>
    <x v="1672"/>
    <x v="0"/>
  </r>
  <r>
    <n v="31035"/>
    <x v="27"/>
    <s v="Clay"/>
    <n v="182"/>
    <n v="70"/>
    <n v="22"/>
    <n v="21"/>
    <n v="41"/>
    <n v="28"/>
    <n v="40"/>
    <n v="33"/>
    <n v="109"/>
    <m/>
    <m/>
    <x v="1673"/>
    <x v="0"/>
  </r>
  <r>
    <n v="31037"/>
    <x v="27"/>
    <s v="Colfax"/>
    <n v="141"/>
    <n v="61"/>
    <n v="20"/>
    <n v="15"/>
    <n v="24"/>
    <n v="21"/>
    <n v="14"/>
    <n v="25"/>
    <n v="102"/>
    <m/>
    <m/>
    <x v="1674"/>
    <x v="0"/>
  </r>
  <r>
    <n v="31039"/>
    <x v="27"/>
    <s v="Cuming"/>
    <n v="206"/>
    <n v="78"/>
    <n v="29"/>
    <n v="44"/>
    <n v="34"/>
    <n v="21"/>
    <n v="35"/>
    <n v="35"/>
    <n v="136"/>
    <m/>
    <m/>
    <x v="1675"/>
    <x v="0"/>
  </r>
  <r>
    <n v="31041"/>
    <x v="27"/>
    <s v="Custer"/>
    <n v="289"/>
    <n v="119"/>
    <n v="42"/>
    <n v="30"/>
    <n v="48"/>
    <n v="50"/>
    <n v="36"/>
    <n v="54"/>
    <n v="199"/>
    <n v="271"/>
    <n v="17"/>
    <x v="1676"/>
    <x v="0"/>
  </r>
  <r>
    <n v="31043"/>
    <x v="27"/>
    <s v="Dakota"/>
    <n v="384"/>
    <n v="151"/>
    <n v="45"/>
    <n v="44"/>
    <n v="81"/>
    <n v="63"/>
    <n v="67"/>
    <n v="95"/>
    <n v="222"/>
    <n v="358"/>
    <n v="26"/>
    <x v="1677"/>
    <x v="0"/>
  </r>
  <r>
    <n v="31045"/>
    <x v="27"/>
    <s v="Dawes"/>
    <n v="192"/>
    <n v="49"/>
    <n v="22"/>
    <n v="22"/>
    <n v="61"/>
    <n v="38"/>
    <n v="41"/>
    <n v="62"/>
    <n v="89"/>
    <n v="175"/>
    <n v="17"/>
    <x v="1678"/>
    <x v="0"/>
  </r>
  <r>
    <n v="31047"/>
    <x v="27"/>
    <s v="Dawson"/>
    <n v="407"/>
    <n v="190"/>
    <n v="45"/>
    <n v="42"/>
    <n v="76"/>
    <n v="54"/>
    <n v="61"/>
    <n v="99"/>
    <n v="247"/>
    <n v="393"/>
    <n v="14"/>
    <x v="1679"/>
    <x v="0"/>
  </r>
  <r>
    <n v="31049"/>
    <x v="27"/>
    <s v="Deuel"/>
    <n v="64"/>
    <n v="32"/>
    <m/>
    <m/>
    <n v="11"/>
    <m/>
    <m/>
    <m/>
    <n v="42"/>
    <m/>
    <m/>
    <x v="1680"/>
    <x v="0"/>
  </r>
  <r>
    <n v="31051"/>
    <x v="27"/>
    <s v="Dixon"/>
    <n v="168"/>
    <n v="58"/>
    <n v="21"/>
    <n v="28"/>
    <n v="33"/>
    <n v="28"/>
    <n v="21"/>
    <n v="37"/>
    <n v="110"/>
    <n v="154"/>
    <n v="14"/>
    <x v="1681"/>
    <x v="0"/>
  </r>
  <r>
    <n v="31053"/>
    <x v="27"/>
    <s v="Dodge"/>
    <n v="1034"/>
    <n v="439"/>
    <n v="140"/>
    <n v="119"/>
    <n v="195"/>
    <n v="141"/>
    <n v="177"/>
    <n v="295"/>
    <n v="562"/>
    <n v="978"/>
    <n v="56"/>
    <x v="1682"/>
    <x v="0"/>
  </r>
  <r>
    <n v="31055"/>
    <x v="27"/>
    <s v="Douglas"/>
    <n v="9676"/>
    <n v="2495"/>
    <n v="1280"/>
    <n v="1260"/>
    <n v="2545"/>
    <n v="2096"/>
    <n v="2897"/>
    <n v="3000"/>
    <n v="3779"/>
    <n v="8602"/>
    <n v="1072"/>
    <x v="1683"/>
    <x v="0"/>
  </r>
  <r>
    <n v="31057"/>
    <x v="27"/>
    <s v="Dundy"/>
    <n v="33"/>
    <n v="13"/>
    <m/>
    <m/>
    <m/>
    <m/>
    <m/>
    <m/>
    <n v="23"/>
    <m/>
    <m/>
    <x v="1684"/>
    <x v="0"/>
  </r>
  <r>
    <n v="31059"/>
    <x v="27"/>
    <s v="Fillmore"/>
    <n v="178"/>
    <n v="63"/>
    <n v="24"/>
    <n v="20"/>
    <n v="36"/>
    <n v="35"/>
    <n v="33"/>
    <n v="41"/>
    <n v="104"/>
    <m/>
    <m/>
    <x v="1685"/>
    <x v="0"/>
  </r>
  <r>
    <n v="31061"/>
    <x v="27"/>
    <s v="Franklin"/>
    <n v="113"/>
    <n v="39"/>
    <n v="23"/>
    <n v="12"/>
    <n v="16"/>
    <n v="23"/>
    <n v="14"/>
    <n v="17"/>
    <n v="82"/>
    <m/>
    <m/>
    <x v="1686"/>
    <x v="0"/>
  </r>
  <r>
    <n v="31063"/>
    <x v="27"/>
    <s v="Frontier"/>
    <n v="58"/>
    <n v="16"/>
    <m/>
    <m/>
    <n v="16"/>
    <n v="11"/>
    <n v="12"/>
    <n v="14"/>
    <n v="32"/>
    <m/>
    <m/>
    <x v="1687"/>
    <x v="0"/>
  </r>
  <r>
    <n v="31065"/>
    <x v="27"/>
    <s v="Furnas"/>
    <n v="167"/>
    <n v="70"/>
    <n v="22"/>
    <n v="17"/>
    <n v="39"/>
    <n v="19"/>
    <n v="15"/>
    <n v="40"/>
    <n v="112"/>
    <m/>
    <m/>
    <x v="1688"/>
    <x v="0"/>
  </r>
  <r>
    <n v="31067"/>
    <x v="27"/>
    <s v="Gage"/>
    <n v="706"/>
    <n v="259"/>
    <n v="93"/>
    <n v="91"/>
    <n v="143"/>
    <n v="120"/>
    <n v="129"/>
    <n v="204"/>
    <n v="373"/>
    <n v="660"/>
    <n v="46"/>
    <x v="1689"/>
    <x v="0"/>
  </r>
  <r>
    <n v="31069"/>
    <x v="27"/>
    <s v="Garden"/>
    <n v="56"/>
    <n v="21"/>
    <m/>
    <n v="10"/>
    <m/>
    <m/>
    <n v="10"/>
    <n v="10"/>
    <n v="36"/>
    <m/>
    <m/>
    <x v="1690"/>
    <x v="0"/>
  </r>
  <r>
    <n v="31071"/>
    <x v="27"/>
    <s v="Garfield"/>
    <n v="57"/>
    <n v="21"/>
    <m/>
    <m/>
    <m/>
    <n v="14"/>
    <m/>
    <m/>
    <n v="43"/>
    <m/>
    <m/>
    <x v="1691"/>
    <x v="0"/>
  </r>
  <r>
    <n v="31073"/>
    <x v="27"/>
    <s v="Gosper"/>
    <n v="81"/>
    <n v="32"/>
    <m/>
    <n v="13"/>
    <n v="19"/>
    <m/>
    <m/>
    <m/>
    <n v="56"/>
    <m/>
    <m/>
    <x v="1692"/>
    <x v="0"/>
  </r>
  <r>
    <n v="31075"/>
    <x v="27"/>
    <s v="Grant"/>
    <n v="11"/>
    <m/>
    <m/>
    <m/>
    <m/>
    <m/>
    <m/>
    <m/>
    <m/>
    <m/>
    <m/>
    <x v="1693"/>
    <x v="0"/>
  </r>
  <r>
    <n v="31077"/>
    <x v="27"/>
    <s v="Greeley"/>
    <n v="85"/>
    <n v="41"/>
    <m/>
    <m/>
    <n v="17"/>
    <n v="13"/>
    <m/>
    <m/>
    <n v="66"/>
    <m/>
    <m/>
    <x v="1694"/>
    <x v="0"/>
  </r>
  <r>
    <n v="31079"/>
    <x v="27"/>
    <s v="Hall"/>
    <n v="1590"/>
    <n v="663"/>
    <n v="152"/>
    <n v="144"/>
    <n v="338"/>
    <n v="293"/>
    <n v="294"/>
    <n v="381"/>
    <n v="915"/>
    <n v="1488"/>
    <n v="102"/>
    <x v="1695"/>
    <x v="0"/>
  </r>
  <r>
    <n v="31081"/>
    <x v="27"/>
    <s v="Hamilton"/>
    <n v="279"/>
    <n v="117"/>
    <n v="27"/>
    <n v="37"/>
    <n v="52"/>
    <n v="46"/>
    <n v="56"/>
    <n v="66"/>
    <n v="157"/>
    <n v="259"/>
    <n v="20"/>
    <x v="1696"/>
    <x v="0"/>
  </r>
  <r>
    <n v="31083"/>
    <x v="27"/>
    <s v="Harlan"/>
    <n v="109"/>
    <n v="48"/>
    <n v="12"/>
    <n v="10"/>
    <n v="21"/>
    <n v="18"/>
    <m/>
    <m/>
    <n v="79"/>
    <m/>
    <m/>
    <x v="1697"/>
    <x v="0"/>
  </r>
  <r>
    <n v="31085"/>
    <x v="27"/>
    <s v="Hayes"/>
    <n v="17"/>
    <m/>
    <m/>
    <m/>
    <m/>
    <m/>
    <m/>
    <m/>
    <m/>
    <m/>
    <m/>
    <x v="1698"/>
    <x v="0"/>
  </r>
  <r>
    <n v="31087"/>
    <x v="27"/>
    <s v="Hitchcock"/>
    <n v="89"/>
    <n v="35"/>
    <m/>
    <m/>
    <n v="22"/>
    <n v="14"/>
    <n v="14"/>
    <n v="23"/>
    <n v="52"/>
    <m/>
    <m/>
    <x v="1699"/>
    <x v="0"/>
  </r>
  <r>
    <n v="31089"/>
    <x v="27"/>
    <s v="Holt"/>
    <n v="290"/>
    <n v="108"/>
    <n v="33"/>
    <n v="36"/>
    <n v="52"/>
    <n v="61"/>
    <n v="50"/>
    <n v="45"/>
    <n v="195"/>
    <n v="277"/>
    <n v="12"/>
    <x v="1700"/>
    <x v="0"/>
  </r>
  <r>
    <n v="31091"/>
    <x v="27"/>
    <s v="Hooker"/>
    <n v="15"/>
    <m/>
    <m/>
    <m/>
    <m/>
    <m/>
    <m/>
    <m/>
    <m/>
    <m/>
    <m/>
    <x v="1701"/>
    <x v="0"/>
  </r>
  <r>
    <n v="31093"/>
    <x v="27"/>
    <s v="Howard"/>
    <n v="243"/>
    <n v="108"/>
    <n v="30"/>
    <n v="23"/>
    <n v="42"/>
    <n v="40"/>
    <n v="34"/>
    <n v="55"/>
    <n v="154"/>
    <n v="229"/>
    <n v="14"/>
    <x v="1702"/>
    <x v="0"/>
  </r>
  <r>
    <n v="31095"/>
    <x v="27"/>
    <s v="Jefferson"/>
    <n v="160"/>
    <n v="62"/>
    <n v="22"/>
    <n v="18"/>
    <n v="33"/>
    <n v="25"/>
    <n v="21"/>
    <n v="44"/>
    <n v="95"/>
    <m/>
    <m/>
    <x v="1703"/>
    <x v="0"/>
  </r>
  <r>
    <n v="31097"/>
    <x v="27"/>
    <s v="Johnson"/>
    <n v="102"/>
    <n v="38"/>
    <m/>
    <n v="19"/>
    <n v="22"/>
    <m/>
    <n v="22"/>
    <n v="38"/>
    <n v="42"/>
    <n v="89"/>
    <n v="13"/>
    <x v="1704"/>
    <x v="0"/>
  </r>
  <r>
    <n v="31099"/>
    <x v="27"/>
    <s v="Kearney"/>
    <n v="181"/>
    <n v="69"/>
    <n v="20"/>
    <n v="23"/>
    <n v="37"/>
    <n v="32"/>
    <n v="43"/>
    <n v="50"/>
    <n v="88"/>
    <m/>
    <m/>
    <x v="1705"/>
    <x v="0"/>
  </r>
  <r>
    <n v="31101"/>
    <x v="27"/>
    <s v="Keith"/>
    <n v="254"/>
    <n v="113"/>
    <n v="34"/>
    <n v="34"/>
    <n v="32"/>
    <n v="41"/>
    <n v="36"/>
    <n v="63"/>
    <n v="155"/>
    <n v="236"/>
    <n v="18"/>
    <x v="1706"/>
    <x v="0"/>
  </r>
  <r>
    <n v="31103"/>
    <x v="27"/>
    <s v="Keya Paha"/>
    <n v="11"/>
    <m/>
    <m/>
    <m/>
    <m/>
    <m/>
    <m/>
    <m/>
    <m/>
    <m/>
    <m/>
    <x v="1707"/>
    <x v="0"/>
  </r>
  <r>
    <n v="31105"/>
    <x v="27"/>
    <s v="Kimball"/>
    <n v="105"/>
    <n v="29"/>
    <n v="11"/>
    <n v="10"/>
    <n v="25"/>
    <n v="30"/>
    <n v="17"/>
    <n v="34"/>
    <n v="54"/>
    <m/>
    <m/>
    <x v="1708"/>
    <x v="0"/>
  </r>
  <r>
    <n v="31107"/>
    <x v="27"/>
    <s v="Knox"/>
    <n v="272"/>
    <n v="95"/>
    <n v="31"/>
    <n v="43"/>
    <n v="56"/>
    <n v="47"/>
    <n v="32"/>
    <n v="52"/>
    <n v="188"/>
    <n v="251"/>
    <n v="21"/>
    <x v="1709"/>
    <x v="0"/>
  </r>
  <r>
    <n v="31109"/>
    <x v="27"/>
    <s v="Lancaster"/>
    <n v="7032"/>
    <n v="2141"/>
    <n v="827"/>
    <n v="859"/>
    <n v="1637"/>
    <n v="1568"/>
    <n v="1794"/>
    <n v="1950"/>
    <n v="3288"/>
    <n v="6343"/>
    <n v="685"/>
    <x v="1710"/>
    <x v="0"/>
  </r>
  <r>
    <n v="31111"/>
    <x v="27"/>
    <s v="Lincoln"/>
    <n v="968"/>
    <n v="356"/>
    <n v="137"/>
    <n v="97"/>
    <n v="214"/>
    <n v="164"/>
    <n v="173"/>
    <n v="279"/>
    <n v="516"/>
    <n v="907"/>
    <n v="61"/>
    <x v="1711"/>
    <x v="0"/>
  </r>
  <r>
    <n v="31113"/>
    <x v="27"/>
    <s v="Logan"/>
    <n v="26"/>
    <m/>
    <m/>
    <m/>
    <m/>
    <m/>
    <m/>
    <m/>
    <n v="10"/>
    <m/>
    <m/>
    <x v="1712"/>
    <x v="0"/>
  </r>
  <r>
    <n v="31115"/>
    <x v="27"/>
    <s v="Loup"/>
    <n v="31"/>
    <m/>
    <m/>
    <m/>
    <m/>
    <m/>
    <m/>
    <m/>
    <m/>
    <m/>
    <m/>
    <x v="1713"/>
    <x v="0"/>
  </r>
  <r>
    <n v="31117"/>
    <x v="27"/>
    <s v="McPherson"/>
    <m/>
    <m/>
    <m/>
    <m/>
    <m/>
    <m/>
    <m/>
    <m/>
    <m/>
    <m/>
    <m/>
    <x v="1714"/>
    <x v="0"/>
  </r>
  <r>
    <n v="31119"/>
    <x v="27"/>
    <s v="Madison"/>
    <n v="688"/>
    <n v="242"/>
    <n v="94"/>
    <n v="96"/>
    <n v="142"/>
    <n v="114"/>
    <n v="165"/>
    <n v="142"/>
    <n v="381"/>
    <n v="642"/>
    <n v="46"/>
    <x v="1715"/>
    <x v="0"/>
  </r>
  <r>
    <n v="31121"/>
    <x v="27"/>
    <s v="Merrick"/>
    <n v="282"/>
    <n v="119"/>
    <n v="35"/>
    <n v="31"/>
    <n v="51"/>
    <n v="46"/>
    <n v="35"/>
    <n v="61"/>
    <n v="186"/>
    <n v="265"/>
    <n v="17"/>
    <x v="1716"/>
    <x v="0"/>
  </r>
  <r>
    <n v="31123"/>
    <x v="27"/>
    <s v="Morrill"/>
    <n v="139"/>
    <n v="53"/>
    <n v="14"/>
    <n v="18"/>
    <n v="33"/>
    <n v="21"/>
    <n v="26"/>
    <n v="36"/>
    <n v="77"/>
    <n v="127"/>
    <n v="12"/>
    <x v="1717"/>
    <x v="0"/>
  </r>
  <r>
    <n v="31125"/>
    <x v="27"/>
    <s v="Nance"/>
    <n v="103"/>
    <n v="49"/>
    <m/>
    <n v="16"/>
    <n v="20"/>
    <m/>
    <n v="16"/>
    <n v="13"/>
    <n v="74"/>
    <m/>
    <m/>
    <x v="1718"/>
    <x v="0"/>
  </r>
  <r>
    <n v="31127"/>
    <x v="27"/>
    <s v="Nemaha"/>
    <n v="171"/>
    <n v="55"/>
    <n v="28"/>
    <n v="14"/>
    <n v="42"/>
    <n v="32"/>
    <n v="39"/>
    <n v="45"/>
    <n v="87"/>
    <n v="158"/>
    <n v="13"/>
    <x v="1719"/>
    <x v="0"/>
  </r>
  <r>
    <n v="31129"/>
    <x v="27"/>
    <s v="Nuckolls"/>
    <n v="119"/>
    <n v="52"/>
    <n v="14"/>
    <n v="16"/>
    <n v="11"/>
    <n v="26"/>
    <n v="12"/>
    <n v="21"/>
    <n v="86"/>
    <m/>
    <m/>
    <x v="1720"/>
    <x v="0"/>
  </r>
  <r>
    <n v="31131"/>
    <x v="27"/>
    <s v="Otoe"/>
    <n v="397"/>
    <n v="122"/>
    <n v="50"/>
    <n v="50"/>
    <n v="99"/>
    <n v="76"/>
    <n v="92"/>
    <n v="124"/>
    <n v="181"/>
    <n v="363"/>
    <n v="34"/>
    <x v="1721"/>
    <x v="0"/>
  </r>
  <r>
    <n v="31133"/>
    <x v="27"/>
    <s v="Pawnee"/>
    <n v="73"/>
    <n v="26"/>
    <m/>
    <m/>
    <n v="17"/>
    <n v="13"/>
    <n v="14"/>
    <n v="12"/>
    <n v="47"/>
    <m/>
    <m/>
    <x v="1722"/>
    <x v="0"/>
  </r>
  <r>
    <n v="31135"/>
    <x v="27"/>
    <s v="Perkins"/>
    <n v="51"/>
    <n v="22"/>
    <m/>
    <m/>
    <m/>
    <m/>
    <n v="10"/>
    <n v="10"/>
    <n v="31"/>
    <m/>
    <m/>
    <x v="1723"/>
    <x v="0"/>
  </r>
  <r>
    <n v="31137"/>
    <x v="27"/>
    <s v="Phelps"/>
    <n v="285"/>
    <n v="125"/>
    <n v="38"/>
    <n v="23"/>
    <n v="63"/>
    <n v="36"/>
    <n v="49"/>
    <n v="53"/>
    <n v="183"/>
    <n v="271"/>
    <n v="14"/>
    <x v="1724"/>
    <x v="0"/>
  </r>
  <r>
    <n v="31139"/>
    <x v="27"/>
    <s v="Pierce"/>
    <n v="145"/>
    <n v="44"/>
    <n v="26"/>
    <n v="19"/>
    <n v="35"/>
    <n v="21"/>
    <n v="42"/>
    <n v="32"/>
    <n v="71"/>
    <n v="133"/>
    <n v="12"/>
    <x v="1725"/>
    <x v="0"/>
  </r>
  <r>
    <n v="31141"/>
    <x v="27"/>
    <s v="Platte"/>
    <n v="745"/>
    <n v="321"/>
    <n v="85"/>
    <n v="98"/>
    <n v="133"/>
    <n v="108"/>
    <n v="105"/>
    <n v="145"/>
    <n v="495"/>
    <n v="716"/>
    <n v="29"/>
    <x v="1726"/>
    <x v="0"/>
  </r>
  <r>
    <n v="31143"/>
    <x v="27"/>
    <s v="Polk"/>
    <n v="156"/>
    <n v="77"/>
    <n v="20"/>
    <n v="16"/>
    <n v="28"/>
    <n v="15"/>
    <n v="19"/>
    <n v="27"/>
    <n v="110"/>
    <n v="146"/>
    <n v="10"/>
    <x v="1727"/>
    <x v="0"/>
  </r>
  <r>
    <n v="31145"/>
    <x v="27"/>
    <s v="Red Willow"/>
    <n v="331"/>
    <n v="139"/>
    <n v="36"/>
    <n v="28"/>
    <n v="77"/>
    <n v="51"/>
    <n v="57"/>
    <n v="89"/>
    <n v="185"/>
    <n v="309"/>
    <n v="22"/>
    <x v="1728"/>
    <x v="0"/>
  </r>
  <r>
    <n v="31147"/>
    <x v="27"/>
    <s v="Richardson"/>
    <n v="171"/>
    <n v="61"/>
    <n v="18"/>
    <n v="11"/>
    <n v="50"/>
    <n v="31"/>
    <n v="27"/>
    <n v="35"/>
    <n v="109"/>
    <m/>
    <m/>
    <x v="1729"/>
    <x v="0"/>
  </r>
  <r>
    <n v="31149"/>
    <x v="27"/>
    <s v="Rock"/>
    <n v="25"/>
    <m/>
    <m/>
    <m/>
    <m/>
    <m/>
    <m/>
    <m/>
    <m/>
    <m/>
    <m/>
    <x v="1730"/>
    <x v="0"/>
  </r>
  <r>
    <n v="31151"/>
    <x v="27"/>
    <s v="Saline"/>
    <n v="266"/>
    <n v="96"/>
    <n v="32"/>
    <n v="46"/>
    <n v="52"/>
    <n v="40"/>
    <n v="50"/>
    <n v="58"/>
    <n v="158"/>
    <n v="243"/>
    <n v="23"/>
    <x v="1731"/>
    <x v="0"/>
  </r>
  <r>
    <n v="31153"/>
    <x v="27"/>
    <s v="Sarpy"/>
    <n v="10481"/>
    <n v="2161"/>
    <n v="1346"/>
    <n v="1393"/>
    <n v="2835"/>
    <n v="2746"/>
    <n v="2890"/>
    <n v="4335"/>
    <n v="3256"/>
    <n v="8841"/>
    <n v="1637"/>
    <x v="1732"/>
    <x v="0"/>
  </r>
  <r>
    <n v="31155"/>
    <x v="27"/>
    <s v="Saunders"/>
    <n v="727"/>
    <n v="265"/>
    <n v="95"/>
    <n v="85"/>
    <n v="163"/>
    <n v="119"/>
    <n v="132"/>
    <n v="200"/>
    <n v="395"/>
    <n v="672"/>
    <n v="55"/>
    <x v="1733"/>
    <x v="0"/>
  </r>
  <r>
    <n v="31157"/>
    <x v="27"/>
    <s v="Scotts Bluff"/>
    <n v="1029"/>
    <n v="349"/>
    <n v="149"/>
    <n v="113"/>
    <n v="227"/>
    <n v="191"/>
    <n v="190"/>
    <n v="299"/>
    <n v="540"/>
    <n v="949"/>
    <n v="80"/>
    <x v="1734"/>
    <x v="0"/>
  </r>
  <r>
    <n v="31159"/>
    <x v="27"/>
    <s v="Seward"/>
    <n v="501"/>
    <n v="205"/>
    <n v="63"/>
    <n v="42"/>
    <n v="108"/>
    <n v="83"/>
    <n v="103"/>
    <n v="124"/>
    <n v="274"/>
    <n v="477"/>
    <n v="24"/>
    <x v="1735"/>
    <x v="0"/>
  </r>
  <r>
    <n v="31161"/>
    <x v="27"/>
    <s v="Sheridan"/>
    <n v="136"/>
    <n v="34"/>
    <n v="16"/>
    <n v="19"/>
    <n v="37"/>
    <n v="30"/>
    <n v="20"/>
    <n v="44"/>
    <n v="72"/>
    <m/>
    <m/>
    <x v="1736"/>
    <x v="0"/>
  </r>
  <r>
    <n v="31163"/>
    <x v="27"/>
    <s v="Sherman"/>
    <n v="107"/>
    <n v="45"/>
    <n v="10"/>
    <n v="15"/>
    <n v="19"/>
    <n v="18"/>
    <n v="16"/>
    <n v="18"/>
    <n v="73"/>
    <m/>
    <m/>
    <x v="1737"/>
    <x v="0"/>
  </r>
  <r>
    <n v="31165"/>
    <x v="27"/>
    <s v="Sioux"/>
    <n v="19"/>
    <m/>
    <m/>
    <m/>
    <m/>
    <m/>
    <m/>
    <m/>
    <m/>
    <m/>
    <m/>
    <x v="1738"/>
    <x v="0"/>
  </r>
  <r>
    <n v="31167"/>
    <x v="27"/>
    <s v="Stanton"/>
    <n v="132"/>
    <n v="61"/>
    <n v="11"/>
    <n v="22"/>
    <n v="28"/>
    <n v="10"/>
    <n v="22"/>
    <n v="33"/>
    <n v="77"/>
    <n v="121"/>
    <n v="11"/>
    <x v="1739"/>
    <x v="0"/>
  </r>
  <r>
    <n v="31169"/>
    <x v="27"/>
    <s v="Thayer"/>
    <n v="123"/>
    <n v="50"/>
    <n v="16"/>
    <n v="15"/>
    <n v="27"/>
    <n v="15"/>
    <n v="17"/>
    <n v="22"/>
    <n v="84"/>
    <m/>
    <m/>
    <x v="1740"/>
    <x v="0"/>
  </r>
  <r>
    <n v="31171"/>
    <x v="27"/>
    <s v="Thomas"/>
    <n v="20"/>
    <n v="10"/>
    <m/>
    <m/>
    <m/>
    <m/>
    <m/>
    <m/>
    <m/>
    <m/>
    <m/>
    <x v="1741"/>
    <x v="0"/>
  </r>
  <r>
    <n v="31173"/>
    <x v="27"/>
    <s v="Thurston"/>
    <n v="80"/>
    <n v="25"/>
    <n v="10"/>
    <n v="12"/>
    <n v="21"/>
    <n v="12"/>
    <n v="11"/>
    <n v="26"/>
    <n v="43"/>
    <m/>
    <m/>
    <x v="1742"/>
    <x v="0"/>
  </r>
  <r>
    <n v="31175"/>
    <x v="27"/>
    <s v="Valley"/>
    <n v="134"/>
    <n v="62"/>
    <n v="19"/>
    <n v="14"/>
    <n v="23"/>
    <n v="16"/>
    <n v="18"/>
    <n v="30"/>
    <n v="86"/>
    <m/>
    <m/>
    <x v="1743"/>
    <x v="0"/>
  </r>
  <r>
    <n v="31177"/>
    <x v="27"/>
    <s v="Washington"/>
    <n v="476"/>
    <n v="129"/>
    <n v="64"/>
    <n v="64"/>
    <n v="129"/>
    <n v="90"/>
    <n v="140"/>
    <n v="142"/>
    <n v="194"/>
    <n v="434"/>
    <n v="42"/>
    <x v="1744"/>
    <x v="0"/>
  </r>
  <r>
    <n v="31179"/>
    <x v="27"/>
    <s v="Wayne"/>
    <n v="184"/>
    <n v="83"/>
    <n v="26"/>
    <n v="24"/>
    <n v="28"/>
    <n v="23"/>
    <n v="38"/>
    <n v="40"/>
    <n v="106"/>
    <m/>
    <m/>
    <x v="1745"/>
    <x v="0"/>
  </r>
  <r>
    <n v="31181"/>
    <x v="27"/>
    <s v="Webster"/>
    <n v="98"/>
    <n v="40"/>
    <n v="10"/>
    <n v="10"/>
    <n v="17"/>
    <n v="21"/>
    <n v="14"/>
    <n v="21"/>
    <n v="63"/>
    <m/>
    <m/>
    <x v="1746"/>
    <x v="0"/>
  </r>
  <r>
    <n v="31183"/>
    <x v="27"/>
    <s v="Wheeler"/>
    <n v="20"/>
    <m/>
    <m/>
    <m/>
    <m/>
    <m/>
    <m/>
    <m/>
    <m/>
    <m/>
    <m/>
    <x v="1747"/>
    <x v="0"/>
  </r>
  <r>
    <n v="31185"/>
    <x v="27"/>
    <s v="York"/>
    <n v="498"/>
    <n v="273"/>
    <n v="48"/>
    <n v="42"/>
    <n v="86"/>
    <n v="49"/>
    <n v="80"/>
    <n v="100"/>
    <n v="318"/>
    <n v="475"/>
    <n v="23"/>
    <x v="1748"/>
    <x v="0"/>
  </r>
  <r>
    <n v="32001"/>
    <x v="28"/>
    <s v="Churchill"/>
    <n v="1694"/>
    <n v="238"/>
    <n v="152"/>
    <n v="187"/>
    <n v="570"/>
    <n v="547"/>
    <n v="535"/>
    <n v="569"/>
    <n v="590"/>
    <n v="1485"/>
    <n v="209"/>
    <x v="1749"/>
    <x v="0"/>
  </r>
  <r>
    <n v="32003"/>
    <x v="28"/>
    <s v="Clark"/>
    <n v="58508"/>
    <n v="8428"/>
    <n v="4806"/>
    <n v="5818"/>
    <n v="17980"/>
    <n v="21476"/>
    <n v="18308"/>
    <n v="20149"/>
    <n v="20051"/>
    <n v="50400"/>
    <n v="8107"/>
    <x v="1750"/>
    <x v="0"/>
  </r>
  <r>
    <n v="32005"/>
    <x v="28"/>
    <s v="Douglas"/>
    <n v="1452"/>
    <n v="307"/>
    <n v="151"/>
    <n v="163"/>
    <n v="448"/>
    <n v="383"/>
    <n v="323"/>
    <n v="386"/>
    <n v="743"/>
    <n v="1333"/>
    <n v="118"/>
    <x v="1751"/>
    <x v="0"/>
  </r>
  <r>
    <n v="32007"/>
    <x v="28"/>
    <s v="Elko"/>
    <n v="909"/>
    <n v="226"/>
    <n v="118"/>
    <n v="128"/>
    <n v="267"/>
    <n v="170"/>
    <n v="309"/>
    <n v="249"/>
    <n v="351"/>
    <n v="824"/>
    <n v="85"/>
    <x v="1752"/>
    <x v="0"/>
  </r>
  <r>
    <n v="32009"/>
    <x v="28"/>
    <s v="Esmeralda"/>
    <n v="16"/>
    <m/>
    <m/>
    <m/>
    <m/>
    <m/>
    <m/>
    <m/>
    <m/>
    <m/>
    <m/>
    <x v="1753"/>
    <x v="0"/>
  </r>
  <r>
    <n v="32011"/>
    <x v="28"/>
    <s v="Eureka"/>
    <n v="37"/>
    <m/>
    <m/>
    <m/>
    <n v="11"/>
    <m/>
    <n v="13"/>
    <n v="13"/>
    <n v="11"/>
    <m/>
    <m/>
    <x v="1754"/>
    <x v="0"/>
  </r>
  <r>
    <n v="32013"/>
    <x v="28"/>
    <s v="Humboldt"/>
    <n v="285"/>
    <n v="65"/>
    <n v="36"/>
    <n v="38"/>
    <n v="82"/>
    <n v="64"/>
    <n v="68"/>
    <n v="93"/>
    <n v="124"/>
    <n v="260"/>
    <n v="25"/>
    <x v="1755"/>
    <x v="0"/>
  </r>
  <r>
    <n v="32015"/>
    <x v="28"/>
    <s v="Lander"/>
    <n v="90"/>
    <n v="19"/>
    <n v="12"/>
    <n v="11"/>
    <n v="28"/>
    <n v="20"/>
    <n v="22"/>
    <n v="28"/>
    <n v="40"/>
    <m/>
    <m/>
    <x v="1756"/>
    <x v="0"/>
  </r>
  <r>
    <n v="32017"/>
    <x v="28"/>
    <s v="Lincoln"/>
    <n v="95"/>
    <n v="28"/>
    <m/>
    <m/>
    <n v="23"/>
    <n v="26"/>
    <n v="16"/>
    <n v="25"/>
    <n v="54"/>
    <n v="84"/>
    <n v="11"/>
    <x v="1757"/>
    <x v="0"/>
  </r>
  <r>
    <n v="32019"/>
    <x v="28"/>
    <s v="Lyon"/>
    <n v="2414"/>
    <n v="419"/>
    <n v="262"/>
    <n v="262"/>
    <n v="776"/>
    <n v="695"/>
    <n v="753"/>
    <n v="656"/>
    <n v="1005"/>
    <n v="2142"/>
    <n v="272"/>
    <x v="1758"/>
    <x v="0"/>
  </r>
  <r>
    <n v="32021"/>
    <x v="28"/>
    <s v="Mineral"/>
    <n v="157"/>
    <n v="35"/>
    <n v="16"/>
    <n v="24"/>
    <n v="48"/>
    <n v="34"/>
    <n v="34"/>
    <n v="43"/>
    <n v="80"/>
    <n v="142"/>
    <n v="15"/>
    <x v="1759"/>
    <x v="0"/>
  </r>
  <r>
    <n v="32023"/>
    <x v="28"/>
    <s v="Nye"/>
    <n v="2412"/>
    <n v="432"/>
    <n v="228"/>
    <n v="251"/>
    <n v="766"/>
    <n v="735"/>
    <n v="331"/>
    <n v="677"/>
    <n v="1404"/>
    <n v="2168"/>
    <n v="244"/>
    <x v="1760"/>
    <x v="0"/>
  </r>
  <r>
    <n v="32027"/>
    <x v="28"/>
    <s v="Pershing"/>
    <n v="123"/>
    <n v="35"/>
    <n v="13"/>
    <n v="12"/>
    <n v="34"/>
    <n v="29"/>
    <n v="26"/>
    <n v="44"/>
    <n v="53"/>
    <m/>
    <m/>
    <x v="1761"/>
    <x v="0"/>
  </r>
  <r>
    <n v="32029"/>
    <x v="28"/>
    <s v="Storey"/>
    <n v="173"/>
    <n v="39"/>
    <n v="17"/>
    <n v="18"/>
    <n v="49"/>
    <n v="50"/>
    <n v="42"/>
    <n v="43"/>
    <n v="88"/>
    <n v="156"/>
    <n v="17"/>
    <x v="1762"/>
    <x v="0"/>
  </r>
  <r>
    <n v="32031"/>
    <x v="28"/>
    <s v="Washoe"/>
    <n v="10542"/>
    <n v="2202"/>
    <n v="1086"/>
    <n v="1158"/>
    <n v="3063"/>
    <n v="3033"/>
    <n v="3074"/>
    <n v="3081"/>
    <n v="4387"/>
    <n v="9434"/>
    <n v="1107"/>
    <x v="1763"/>
    <x v="0"/>
  </r>
  <r>
    <n v="32033"/>
    <x v="28"/>
    <s v="White Pine"/>
    <n v="158"/>
    <n v="35"/>
    <n v="32"/>
    <n v="19"/>
    <n v="41"/>
    <n v="31"/>
    <n v="38"/>
    <n v="52"/>
    <n v="68"/>
    <m/>
    <m/>
    <x v="1764"/>
    <x v="0"/>
  </r>
  <r>
    <n v="32510"/>
    <x v="28"/>
    <s v="Carson City"/>
    <n v="1341"/>
    <n v="288"/>
    <n v="148"/>
    <n v="134"/>
    <n v="391"/>
    <n v="380"/>
    <n v="356"/>
    <n v="355"/>
    <n v="630"/>
    <n v="1207"/>
    <n v="134"/>
    <x v="1765"/>
    <x v="0"/>
  </r>
  <r>
    <n v="33001"/>
    <x v="29"/>
    <s v="Belknap"/>
    <n v="1534"/>
    <n v="357"/>
    <n v="194"/>
    <n v="207"/>
    <n v="462"/>
    <n v="314"/>
    <n v="367"/>
    <n v="435"/>
    <n v="732"/>
    <n v="1378"/>
    <n v="155"/>
    <x v="1766"/>
    <x v="0"/>
  </r>
  <r>
    <n v="33003"/>
    <x v="29"/>
    <s v="Carroll"/>
    <n v="1079"/>
    <n v="260"/>
    <n v="141"/>
    <n v="149"/>
    <n v="308"/>
    <n v="221"/>
    <n v="218"/>
    <n v="316"/>
    <n v="545"/>
    <n v="968"/>
    <n v="111"/>
    <x v="1767"/>
    <x v="0"/>
  </r>
  <r>
    <n v="33005"/>
    <x v="29"/>
    <s v="Cheshire"/>
    <n v="1474"/>
    <n v="315"/>
    <n v="186"/>
    <n v="196"/>
    <n v="427"/>
    <n v="350"/>
    <n v="400"/>
    <n v="436"/>
    <n v="638"/>
    <n v="1324"/>
    <n v="150"/>
    <x v="1768"/>
    <x v="0"/>
  </r>
  <r>
    <n v="33007"/>
    <x v="29"/>
    <s v="Coos"/>
    <n v="876"/>
    <n v="152"/>
    <n v="111"/>
    <n v="122"/>
    <n v="263"/>
    <n v="228"/>
    <n v="207"/>
    <n v="271"/>
    <n v="398"/>
    <n v="801"/>
    <n v="75"/>
    <x v="1769"/>
    <x v="0"/>
  </r>
  <r>
    <n v="33009"/>
    <x v="29"/>
    <s v="Grafton"/>
    <n v="1713"/>
    <n v="372"/>
    <n v="217"/>
    <n v="230"/>
    <n v="484"/>
    <n v="410"/>
    <n v="422"/>
    <n v="526"/>
    <n v="765"/>
    <n v="1530"/>
    <n v="183"/>
    <x v="1770"/>
    <x v="0"/>
  </r>
  <r>
    <n v="33011"/>
    <x v="29"/>
    <s v="Hillsborough"/>
    <n v="7673"/>
    <n v="1908"/>
    <n v="1074"/>
    <n v="1041"/>
    <n v="2117"/>
    <n v="1533"/>
    <n v="2478"/>
    <n v="2289"/>
    <n v="2906"/>
    <n v="6916"/>
    <n v="757"/>
    <x v="1771"/>
    <x v="0"/>
  </r>
  <r>
    <n v="33013"/>
    <x v="29"/>
    <s v="Merrimack"/>
    <n v="3077"/>
    <n v="761"/>
    <n v="375"/>
    <n v="438"/>
    <n v="895"/>
    <n v="608"/>
    <n v="940"/>
    <n v="886"/>
    <n v="1251"/>
    <n v="2751"/>
    <n v="326"/>
    <x v="1772"/>
    <x v="0"/>
  </r>
  <r>
    <n v="33015"/>
    <x v="29"/>
    <s v="Rockingham"/>
    <n v="5920"/>
    <n v="1572"/>
    <n v="778"/>
    <n v="768"/>
    <n v="1617"/>
    <n v="1185"/>
    <n v="1658"/>
    <n v="1728"/>
    <n v="2534"/>
    <n v="5421"/>
    <n v="499"/>
    <x v="1773"/>
    <x v="0"/>
  </r>
  <r>
    <n v="33017"/>
    <x v="29"/>
    <s v="Strafford"/>
    <n v="2737"/>
    <n v="653"/>
    <n v="367"/>
    <n v="379"/>
    <n v="793"/>
    <n v="545"/>
    <n v="847"/>
    <n v="799"/>
    <n v="1091"/>
    <n v="2456"/>
    <n v="281"/>
    <x v="1774"/>
    <x v="0"/>
  </r>
  <r>
    <n v="33019"/>
    <x v="29"/>
    <s v="Sullivan"/>
    <n v="977"/>
    <n v="202"/>
    <n v="145"/>
    <n v="117"/>
    <n v="297"/>
    <n v="216"/>
    <n v="233"/>
    <n v="295"/>
    <n v="449"/>
    <n v="887"/>
    <n v="90"/>
    <x v="1775"/>
    <x v="0"/>
  </r>
  <r>
    <n v="34001"/>
    <x v="30"/>
    <s v="Atlantic"/>
    <n v="3280"/>
    <n v="677"/>
    <n v="339"/>
    <n v="347"/>
    <n v="1013"/>
    <n v="904"/>
    <n v="900"/>
    <n v="836"/>
    <n v="1544"/>
    <n v="2947"/>
    <n v="330"/>
    <x v="1776"/>
    <x v="0"/>
  </r>
  <r>
    <n v="34003"/>
    <x v="30"/>
    <s v="Bergen"/>
    <n v="4717"/>
    <n v="1019"/>
    <n v="458"/>
    <n v="495"/>
    <n v="1324"/>
    <n v="1421"/>
    <n v="1762"/>
    <n v="1095"/>
    <n v="1860"/>
    <n v="4309"/>
    <n v="407"/>
    <x v="1777"/>
    <x v="0"/>
  </r>
  <r>
    <n v="34005"/>
    <x v="30"/>
    <s v="Burlington"/>
    <n v="9004"/>
    <n v="1514"/>
    <n v="858"/>
    <n v="960"/>
    <n v="2769"/>
    <n v="2903"/>
    <n v="2484"/>
    <n v="3100"/>
    <n v="3419"/>
    <n v="7631"/>
    <n v="1371"/>
    <x v="1778"/>
    <x v="0"/>
  </r>
  <r>
    <n v="34007"/>
    <x v="30"/>
    <s v="Camden"/>
    <n v="5912"/>
    <n v="1084"/>
    <n v="555"/>
    <n v="639"/>
    <n v="1836"/>
    <n v="1798"/>
    <n v="1726"/>
    <n v="1794"/>
    <n v="2392"/>
    <n v="5204"/>
    <n v="708"/>
    <x v="1779"/>
    <x v="0"/>
  </r>
  <r>
    <n v="34009"/>
    <x v="30"/>
    <s v="Cape May"/>
    <n v="1976"/>
    <n v="436"/>
    <n v="199"/>
    <n v="236"/>
    <n v="573"/>
    <n v="532"/>
    <n v="418"/>
    <n v="432"/>
    <n v="1126"/>
    <n v="1845"/>
    <n v="131"/>
    <x v="1780"/>
    <x v="0"/>
  </r>
  <r>
    <n v="34011"/>
    <x v="30"/>
    <s v="Cumberland"/>
    <n v="1765"/>
    <n v="353"/>
    <n v="166"/>
    <n v="205"/>
    <n v="544"/>
    <n v="497"/>
    <n v="483"/>
    <n v="483"/>
    <n v="799"/>
    <n v="1581"/>
    <n v="184"/>
    <x v="1781"/>
    <x v="0"/>
  </r>
  <r>
    <n v="34013"/>
    <x v="30"/>
    <s v="Essex"/>
    <n v="4145"/>
    <n v="843"/>
    <n v="408"/>
    <n v="456"/>
    <n v="1117"/>
    <n v="1321"/>
    <n v="1528"/>
    <n v="1161"/>
    <n v="1456"/>
    <n v="3565"/>
    <n v="578"/>
    <x v="1782"/>
    <x v="0"/>
  </r>
  <r>
    <n v="34015"/>
    <x v="30"/>
    <s v="Gloucester"/>
    <n v="4348"/>
    <n v="800"/>
    <n v="407"/>
    <n v="418"/>
    <n v="1347"/>
    <n v="1376"/>
    <n v="1235"/>
    <n v="1170"/>
    <n v="1943"/>
    <n v="3922"/>
    <n v="424"/>
    <x v="1783"/>
    <x v="0"/>
  </r>
  <r>
    <n v="34017"/>
    <x v="30"/>
    <s v="Hudson"/>
    <n v="2529"/>
    <n v="496"/>
    <n v="238"/>
    <n v="272"/>
    <n v="786"/>
    <n v="737"/>
    <n v="1316"/>
    <n v="600"/>
    <n v="613"/>
    <n v="2207"/>
    <n v="322"/>
    <x v="1784"/>
    <x v="0"/>
  </r>
  <r>
    <n v="34019"/>
    <x v="30"/>
    <s v="Hunterdon"/>
    <n v="1103"/>
    <n v="257"/>
    <n v="123"/>
    <n v="104"/>
    <n v="271"/>
    <n v="348"/>
    <n v="303"/>
    <n v="319"/>
    <n v="481"/>
    <n v="1041"/>
    <n v="62"/>
    <x v="1785"/>
    <x v="0"/>
  </r>
  <r>
    <n v="34021"/>
    <x v="30"/>
    <s v="Mercer"/>
    <n v="2349"/>
    <n v="520"/>
    <n v="247"/>
    <n v="272"/>
    <n v="663"/>
    <n v="647"/>
    <n v="712"/>
    <n v="594"/>
    <n v="1043"/>
    <n v="2090"/>
    <n v="259"/>
    <x v="1786"/>
    <x v="0"/>
  </r>
  <r>
    <n v="34023"/>
    <x v="30"/>
    <s v="Middlesex"/>
    <n v="4730"/>
    <n v="1053"/>
    <n v="537"/>
    <n v="519"/>
    <n v="1285"/>
    <n v="1336"/>
    <n v="1672"/>
    <n v="1144"/>
    <n v="1914"/>
    <n v="4253"/>
    <n v="477"/>
    <x v="1787"/>
    <x v="0"/>
  </r>
  <r>
    <n v="34025"/>
    <x v="30"/>
    <s v="Monmouth"/>
    <n v="4886"/>
    <n v="1162"/>
    <n v="499"/>
    <n v="507"/>
    <n v="1275"/>
    <n v="1443"/>
    <n v="1260"/>
    <n v="1206"/>
    <n v="2420"/>
    <n v="4526"/>
    <n v="358"/>
    <x v="1788"/>
    <x v="0"/>
  </r>
  <r>
    <n v="34027"/>
    <x v="30"/>
    <s v="Morris"/>
    <n v="3053"/>
    <n v="693"/>
    <n v="304"/>
    <n v="329"/>
    <n v="830"/>
    <n v="897"/>
    <n v="1092"/>
    <n v="713"/>
    <n v="1248"/>
    <n v="2827"/>
    <n v="226"/>
    <x v="1789"/>
    <x v="0"/>
  </r>
  <r>
    <n v="34029"/>
    <x v="30"/>
    <s v="Ocean"/>
    <n v="8069"/>
    <n v="1932"/>
    <n v="838"/>
    <n v="864"/>
    <n v="2330"/>
    <n v="2105"/>
    <n v="1672"/>
    <n v="1755"/>
    <n v="4642"/>
    <n v="7598"/>
    <n v="469"/>
    <x v="1790"/>
    <x v="0"/>
  </r>
  <r>
    <n v="34031"/>
    <x v="30"/>
    <s v="Passaic"/>
    <n v="2477"/>
    <n v="485"/>
    <n v="261"/>
    <n v="253"/>
    <n v="688"/>
    <n v="790"/>
    <n v="981"/>
    <n v="579"/>
    <n v="917"/>
    <n v="2248"/>
    <n v="228"/>
    <x v="1791"/>
    <x v="0"/>
  </r>
  <r>
    <n v="34033"/>
    <x v="30"/>
    <s v="Salem"/>
    <n v="1010"/>
    <n v="185"/>
    <n v="102"/>
    <n v="109"/>
    <n v="317"/>
    <n v="297"/>
    <n v="286"/>
    <n v="289"/>
    <n v="435"/>
    <n v="900"/>
    <n v="110"/>
    <x v="1792"/>
    <x v="0"/>
  </r>
  <r>
    <n v="34035"/>
    <x v="30"/>
    <s v="Somerset"/>
    <n v="1974"/>
    <n v="432"/>
    <n v="183"/>
    <n v="215"/>
    <n v="559"/>
    <n v="585"/>
    <n v="607"/>
    <n v="496"/>
    <n v="871"/>
    <n v="1811"/>
    <n v="163"/>
    <x v="1793"/>
    <x v="0"/>
  </r>
  <r>
    <n v="34037"/>
    <x v="30"/>
    <s v="Sussex"/>
    <n v="1642"/>
    <n v="343"/>
    <n v="151"/>
    <n v="168"/>
    <n v="449"/>
    <n v="531"/>
    <n v="573"/>
    <n v="390"/>
    <n v="679"/>
    <n v="1505"/>
    <n v="137"/>
    <x v="1794"/>
    <x v="0"/>
  </r>
  <r>
    <n v="34039"/>
    <x v="30"/>
    <s v="Union"/>
    <n v="3251"/>
    <n v="686"/>
    <n v="344"/>
    <n v="343"/>
    <n v="893"/>
    <n v="985"/>
    <n v="1180"/>
    <n v="924"/>
    <n v="1147"/>
    <n v="2884"/>
    <n v="367"/>
    <x v="1795"/>
    <x v="0"/>
  </r>
  <r>
    <n v="34041"/>
    <x v="30"/>
    <s v="Warren"/>
    <n v="1242"/>
    <n v="257"/>
    <n v="113"/>
    <n v="145"/>
    <n v="349"/>
    <n v="378"/>
    <n v="441"/>
    <n v="274"/>
    <n v="527"/>
    <n v="1129"/>
    <n v="113"/>
    <x v="1796"/>
    <x v="0"/>
  </r>
  <r>
    <n v="35001"/>
    <x v="31"/>
    <s v="Bernalillo"/>
    <n v="15993"/>
    <n v="2895"/>
    <n v="1575"/>
    <n v="1806"/>
    <n v="5306"/>
    <n v="4411"/>
    <n v="3980"/>
    <n v="5487"/>
    <n v="6526"/>
    <n v="13879"/>
    <n v="2114"/>
    <x v="1797"/>
    <x v="0"/>
  </r>
  <r>
    <n v="35003"/>
    <x v="31"/>
    <s v="Catron"/>
    <n v="134"/>
    <n v="28"/>
    <n v="10"/>
    <n v="11"/>
    <n v="41"/>
    <n v="44"/>
    <n v="13"/>
    <n v="35"/>
    <n v="86"/>
    <m/>
    <m/>
    <x v="1798"/>
    <x v="0"/>
  </r>
  <r>
    <n v="35005"/>
    <x v="31"/>
    <s v="Chaves"/>
    <n v="1009"/>
    <n v="220"/>
    <n v="98"/>
    <n v="131"/>
    <n v="302"/>
    <n v="258"/>
    <n v="235"/>
    <n v="300"/>
    <n v="474"/>
    <n v="924"/>
    <n v="84"/>
    <x v="1799"/>
    <x v="0"/>
  </r>
  <r>
    <n v="35006"/>
    <x v="31"/>
    <s v="Cibola"/>
    <n v="447"/>
    <n v="73"/>
    <n v="29"/>
    <n v="62"/>
    <n v="155"/>
    <n v="128"/>
    <n v="67"/>
    <n v="134"/>
    <n v="246"/>
    <n v="407"/>
    <n v="40"/>
    <x v="1800"/>
    <x v="0"/>
  </r>
  <r>
    <n v="35007"/>
    <x v="31"/>
    <s v="Colfax"/>
    <n v="285"/>
    <n v="39"/>
    <n v="21"/>
    <n v="36"/>
    <n v="96"/>
    <n v="93"/>
    <n v="46"/>
    <n v="78"/>
    <n v="161"/>
    <n v="258"/>
    <n v="27"/>
    <x v="1801"/>
    <x v="0"/>
  </r>
  <r>
    <n v="35009"/>
    <x v="31"/>
    <s v="Curry"/>
    <n v="1795"/>
    <n v="239"/>
    <n v="153"/>
    <n v="215"/>
    <n v="639"/>
    <n v="549"/>
    <n v="698"/>
    <n v="590"/>
    <n v="507"/>
    <n v="1511"/>
    <n v="284"/>
    <x v="1802"/>
    <x v="0"/>
  </r>
  <r>
    <n v="35011"/>
    <x v="31"/>
    <s v="De Baca"/>
    <n v="41"/>
    <m/>
    <m/>
    <m/>
    <n v="17"/>
    <n v="11"/>
    <n v="13"/>
    <n v="13"/>
    <n v="15"/>
    <m/>
    <m/>
    <x v="1803"/>
    <x v="0"/>
  </r>
  <r>
    <n v="35013"/>
    <x v="31"/>
    <s v="Dona Ana"/>
    <n v="5529"/>
    <n v="803"/>
    <n v="471"/>
    <n v="586"/>
    <n v="1902"/>
    <n v="1767"/>
    <n v="1550"/>
    <n v="1841"/>
    <n v="2138"/>
    <n v="4888"/>
    <n v="640"/>
    <x v="1804"/>
    <x v="0"/>
  </r>
  <r>
    <n v="35015"/>
    <x v="31"/>
    <s v="Eddy"/>
    <n v="838"/>
    <n v="158"/>
    <n v="96"/>
    <n v="105"/>
    <n v="290"/>
    <n v="189"/>
    <n v="239"/>
    <n v="266"/>
    <n v="333"/>
    <n v="767"/>
    <n v="70"/>
    <x v="1805"/>
    <x v="0"/>
  </r>
  <r>
    <n v="35017"/>
    <x v="31"/>
    <s v="Grant"/>
    <n v="660"/>
    <n v="120"/>
    <n v="56"/>
    <n v="62"/>
    <n v="243"/>
    <n v="179"/>
    <n v="98"/>
    <n v="178"/>
    <n v="384"/>
    <n v="611"/>
    <n v="49"/>
    <x v="1806"/>
    <x v="0"/>
  </r>
  <r>
    <n v="35019"/>
    <x v="31"/>
    <s v="Guadalupe"/>
    <n v="99"/>
    <n v="13"/>
    <m/>
    <m/>
    <n v="39"/>
    <n v="33"/>
    <n v="13"/>
    <n v="38"/>
    <n v="48"/>
    <m/>
    <m/>
    <x v="1807"/>
    <x v="0"/>
  </r>
  <r>
    <n v="35021"/>
    <x v="31"/>
    <s v="Harding"/>
    <n v="24"/>
    <m/>
    <m/>
    <m/>
    <m/>
    <m/>
    <m/>
    <n v="12"/>
    <m/>
    <m/>
    <m/>
    <x v="1808"/>
    <x v="0"/>
  </r>
  <r>
    <n v="35023"/>
    <x v="31"/>
    <s v="Hidalgo"/>
    <n v="78"/>
    <n v="12"/>
    <n v="11"/>
    <n v="12"/>
    <n v="28"/>
    <n v="15"/>
    <n v="13"/>
    <n v="30"/>
    <n v="35"/>
    <m/>
    <m/>
    <x v="1809"/>
    <x v="0"/>
  </r>
  <r>
    <n v="35025"/>
    <x v="31"/>
    <s v="Lea"/>
    <n v="663"/>
    <n v="153"/>
    <n v="83"/>
    <n v="78"/>
    <n v="197"/>
    <n v="152"/>
    <n v="202"/>
    <n v="222"/>
    <n v="239"/>
    <n v="608"/>
    <n v="55"/>
    <x v="1810"/>
    <x v="0"/>
  </r>
  <r>
    <n v="35027"/>
    <x v="31"/>
    <s v="Lincoln"/>
    <n v="466"/>
    <n v="91"/>
    <n v="59"/>
    <n v="47"/>
    <n v="136"/>
    <n v="133"/>
    <n v="94"/>
    <n v="115"/>
    <n v="257"/>
    <n v="413"/>
    <n v="53"/>
    <x v="1811"/>
    <x v="0"/>
  </r>
  <r>
    <n v="35028"/>
    <x v="31"/>
    <s v="Los Alamos"/>
    <n v="340"/>
    <n v="74"/>
    <n v="40"/>
    <n v="36"/>
    <n v="109"/>
    <n v="81"/>
    <n v="150"/>
    <n v="114"/>
    <n v="76"/>
    <n v="309"/>
    <n v="31"/>
    <x v="1812"/>
    <x v="0"/>
  </r>
  <r>
    <n v="35029"/>
    <x v="31"/>
    <s v="Luna"/>
    <n v="460"/>
    <n v="100"/>
    <n v="37"/>
    <n v="49"/>
    <n v="142"/>
    <n v="132"/>
    <n v="74"/>
    <n v="121"/>
    <n v="265"/>
    <n v="421"/>
    <n v="39"/>
    <x v="1813"/>
    <x v="0"/>
  </r>
  <r>
    <n v="35031"/>
    <x v="31"/>
    <s v="McKinley"/>
    <n v="932"/>
    <n v="156"/>
    <n v="88"/>
    <n v="115"/>
    <n v="316"/>
    <n v="257"/>
    <n v="247"/>
    <n v="283"/>
    <n v="402"/>
    <n v="792"/>
    <n v="140"/>
    <x v="1814"/>
    <x v="0"/>
  </r>
  <r>
    <n v="35033"/>
    <x v="31"/>
    <s v="Mora"/>
    <n v="145"/>
    <n v="12"/>
    <n v="11"/>
    <n v="10"/>
    <n v="60"/>
    <n v="52"/>
    <n v="15"/>
    <n v="49"/>
    <n v="81"/>
    <m/>
    <m/>
    <x v="1815"/>
    <x v="0"/>
  </r>
  <r>
    <n v="35035"/>
    <x v="31"/>
    <s v="Otero"/>
    <n v="3240"/>
    <n v="533"/>
    <n v="367"/>
    <n v="379"/>
    <n v="1156"/>
    <n v="805"/>
    <n v="914"/>
    <n v="1153"/>
    <n v="1173"/>
    <n v="2713"/>
    <n v="527"/>
    <x v="1816"/>
    <x v="0"/>
  </r>
  <r>
    <n v="35037"/>
    <x v="31"/>
    <s v="Quay"/>
    <n v="219"/>
    <n v="40"/>
    <n v="17"/>
    <n v="27"/>
    <n v="75"/>
    <n v="60"/>
    <n v="32"/>
    <n v="67"/>
    <n v="120"/>
    <n v="205"/>
    <n v="14"/>
    <x v="1817"/>
    <x v="0"/>
  </r>
  <r>
    <n v="35039"/>
    <x v="31"/>
    <s v="Rio Arriba"/>
    <n v="524"/>
    <n v="79"/>
    <n v="52"/>
    <n v="52"/>
    <n v="190"/>
    <n v="151"/>
    <n v="92"/>
    <n v="137"/>
    <n v="295"/>
    <n v="479"/>
    <n v="45"/>
    <x v="1818"/>
    <x v="0"/>
  </r>
  <r>
    <n v="35041"/>
    <x v="31"/>
    <s v="Roosevelt"/>
    <n v="409"/>
    <n v="65"/>
    <n v="39"/>
    <n v="60"/>
    <n v="144"/>
    <n v="101"/>
    <n v="163"/>
    <n v="122"/>
    <n v="124"/>
    <n v="351"/>
    <n v="58"/>
    <x v="1819"/>
    <x v="0"/>
  </r>
  <r>
    <n v="35043"/>
    <x v="31"/>
    <s v="Sandoval"/>
    <n v="5091"/>
    <n v="826"/>
    <n v="427"/>
    <n v="522"/>
    <n v="1789"/>
    <n v="1527"/>
    <n v="1303"/>
    <n v="1870"/>
    <n v="1918"/>
    <n v="4427"/>
    <n v="664"/>
    <x v="1820"/>
    <x v="0"/>
  </r>
  <r>
    <n v="35045"/>
    <x v="31"/>
    <s v="San Juan"/>
    <n v="1868"/>
    <n v="372"/>
    <n v="187"/>
    <n v="214"/>
    <n v="642"/>
    <n v="453"/>
    <n v="491"/>
    <n v="618"/>
    <n v="759"/>
    <n v="1640"/>
    <n v="227"/>
    <x v="1821"/>
    <x v="0"/>
  </r>
  <r>
    <n v="35047"/>
    <x v="31"/>
    <s v="San Miguel"/>
    <n v="642"/>
    <n v="99"/>
    <n v="47"/>
    <n v="52"/>
    <n v="236"/>
    <n v="208"/>
    <n v="64"/>
    <n v="230"/>
    <n v="348"/>
    <n v="579"/>
    <n v="63"/>
    <x v="1822"/>
    <x v="0"/>
  </r>
  <r>
    <n v="35049"/>
    <x v="31"/>
    <s v="Santa Fe"/>
    <n v="2489"/>
    <n v="427"/>
    <n v="254"/>
    <n v="264"/>
    <n v="891"/>
    <n v="653"/>
    <n v="516"/>
    <n v="674"/>
    <n v="1299"/>
    <n v="2193"/>
    <n v="296"/>
    <x v="1823"/>
    <x v="0"/>
  </r>
  <r>
    <n v="35051"/>
    <x v="31"/>
    <s v="Sierra"/>
    <n v="420"/>
    <n v="78"/>
    <n v="30"/>
    <n v="52"/>
    <n v="137"/>
    <n v="123"/>
    <n v="44"/>
    <n v="106"/>
    <n v="270"/>
    <n v="373"/>
    <n v="47"/>
    <x v="1824"/>
    <x v="0"/>
  </r>
  <r>
    <n v="35053"/>
    <x v="31"/>
    <s v="Socorro"/>
    <n v="304"/>
    <n v="54"/>
    <n v="30"/>
    <n v="33"/>
    <n v="113"/>
    <n v="74"/>
    <n v="47"/>
    <n v="87"/>
    <n v="170"/>
    <n v="279"/>
    <n v="25"/>
    <x v="1825"/>
    <x v="0"/>
  </r>
  <r>
    <n v="35055"/>
    <x v="31"/>
    <s v="Taos"/>
    <n v="681"/>
    <n v="103"/>
    <n v="58"/>
    <n v="59"/>
    <n v="271"/>
    <n v="190"/>
    <n v="98"/>
    <n v="191"/>
    <n v="392"/>
    <n v="614"/>
    <n v="67"/>
    <x v="1826"/>
    <x v="0"/>
  </r>
  <r>
    <n v="35057"/>
    <x v="31"/>
    <s v="Torrance"/>
    <n v="448"/>
    <n v="56"/>
    <n v="50"/>
    <n v="38"/>
    <n v="155"/>
    <n v="149"/>
    <n v="98"/>
    <n v="147"/>
    <n v="203"/>
    <n v="403"/>
    <n v="45"/>
    <x v="1827"/>
    <x v="0"/>
  </r>
  <r>
    <n v="35059"/>
    <x v="31"/>
    <s v="Union"/>
    <n v="69"/>
    <n v="14"/>
    <m/>
    <m/>
    <n v="20"/>
    <n v="22"/>
    <n v="11"/>
    <n v="23"/>
    <n v="35"/>
    <m/>
    <m/>
    <x v="1828"/>
    <x v="0"/>
  </r>
  <r>
    <n v="35061"/>
    <x v="31"/>
    <s v="Valencia"/>
    <n v="2189"/>
    <n v="357"/>
    <n v="200"/>
    <n v="230"/>
    <n v="795"/>
    <n v="607"/>
    <n v="522"/>
    <n v="692"/>
    <n v="975"/>
    <n v="1958"/>
    <n v="231"/>
    <x v="1829"/>
    <x v="0"/>
  </r>
  <r>
    <n v="36001"/>
    <x v="32"/>
    <s v="Albany"/>
    <n v="3069"/>
    <n v="748"/>
    <n v="389"/>
    <n v="381"/>
    <n v="850"/>
    <n v="701"/>
    <n v="825"/>
    <n v="871"/>
    <n v="1373"/>
    <n v="2724"/>
    <n v="344"/>
    <x v="1830"/>
    <x v="0"/>
  </r>
  <r>
    <n v="36003"/>
    <x v="32"/>
    <s v="Allegany"/>
    <n v="949"/>
    <n v="177"/>
    <n v="130"/>
    <n v="112"/>
    <n v="305"/>
    <n v="225"/>
    <n v="199"/>
    <n v="278"/>
    <n v="472"/>
    <n v="868"/>
    <n v="81"/>
    <x v="1831"/>
    <x v="0"/>
  </r>
  <r>
    <n v="36005"/>
    <x v="32"/>
    <s v="Bronx"/>
    <n v="5778"/>
    <n v="997"/>
    <n v="502"/>
    <n v="605"/>
    <n v="1817"/>
    <n v="1857"/>
    <n v="2152"/>
    <n v="1642"/>
    <n v="1984"/>
    <n v="4973"/>
    <n v="805"/>
    <x v="1832"/>
    <x v="0"/>
  </r>
  <r>
    <n v="36007"/>
    <x v="32"/>
    <s v="Broome"/>
    <n v="2044"/>
    <n v="444"/>
    <n v="268"/>
    <n v="292"/>
    <n v="587"/>
    <n v="453"/>
    <n v="562"/>
    <n v="527"/>
    <n v="955"/>
    <n v="1865"/>
    <n v="179"/>
    <x v="1833"/>
    <x v="0"/>
  </r>
  <r>
    <n v="36009"/>
    <x v="32"/>
    <s v="Cattaraugus"/>
    <n v="1668"/>
    <n v="308"/>
    <n v="195"/>
    <n v="233"/>
    <n v="531"/>
    <n v="401"/>
    <n v="394"/>
    <n v="486"/>
    <n v="788"/>
    <n v="1538"/>
    <n v="130"/>
    <x v="1834"/>
    <x v="0"/>
  </r>
  <r>
    <n v="36011"/>
    <x v="32"/>
    <s v="Cayuga"/>
    <n v="1112"/>
    <n v="240"/>
    <n v="144"/>
    <n v="136"/>
    <n v="330"/>
    <n v="262"/>
    <n v="301"/>
    <n v="332"/>
    <n v="479"/>
    <n v="1006"/>
    <n v="105"/>
    <x v="1835"/>
    <x v="0"/>
  </r>
  <r>
    <n v="36013"/>
    <x v="32"/>
    <s v="Chautauqua"/>
    <n v="2258"/>
    <n v="476"/>
    <n v="234"/>
    <n v="286"/>
    <n v="729"/>
    <n v="533"/>
    <n v="464"/>
    <n v="656"/>
    <n v="1138"/>
    <n v="2078"/>
    <n v="180"/>
    <x v="1836"/>
    <x v="0"/>
  </r>
  <r>
    <n v="36015"/>
    <x v="32"/>
    <s v="Chemung"/>
    <n v="1419"/>
    <n v="269"/>
    <n v="171"/>
    <n v="161"/>
    <n v="476"/>
    <n v="342"/>
    <n v="337"/>
    <n v="416"/>
    <n v="666"/>
    <n v="1288"/>
    <n v="130"/>
    <x v="1837"/>
    <x v="0"/>
  </r>
  <r>
    <n v="36017"/>
    <x v="32"/>
    <s v="Chenango"/>
    <n v="765"/>
    <n v="177"/>
    <n v="92"/>
    <n v="93"/>
    <n v="216"/>
    <n v="187"/>
    <n v="180"/>
    <n v="214"/>
    <n v="371"/>
    <n v="716"/>
    <n v="49"/>
    <x v="1838"/>
    <x v="0"/>
  </r>
  <r>
    <n v="36019"/>
    <x v="32"/>
    <s v="Clinton"/>
    <n v="1653"/>
    <n v="428"/>
    <n v="231"/>
    <n v="211"/>
    <n v="468"/>
    <n v="315"/>
    <n v="298"/>
    <n v="489"/>
    <n v="865"/>
    <n v="1526"/>
    <n v="127"/>
    <x v="1839"/>
    <x v="0"/>
  </r>
  <r>
    <n v="36021"/>
    <x v="32"/>
    <s v="Columbia"/>
    <n v="694"/>
    <n v="189"/>
    <n v="94"/>
    <n v="99"/>
    <n v="173"/>
    <n v="139"/>
    <n v="145"/>
    <n v="158"/>
    <n v="391"/>
    <n v="615"/>
    <n v="79"/>
    <x v="1840"/>
    <x v="0"/>
  </r>
  <r>
    <n v="36023"/>
    <x v="32"/>
    <s v="Cortland"/>
    <n v="548"/>
    <n v="135"/>
    <n v="71"/>
    <n v="78"/>
    <n v="154"/>
    <n v="110"/>
    <n v="156"/>
    <n v="141"/>
    <n v="251"/>
    <n v="502"/>
    <n v="46"/>
    <x v="1841"/>
    <x v="0"/>
  </r>
  <r>
    <n v="36025"/>
    <x v="32"/>
    <s v="Delaware"/>
    <n v="629"/>
    <n v="177"/>
    <n v="83"/>
    <n v="88"/>
    <n v="160"/>
    <n v="121"/>
    <n v="106"/>
    <n v="160"/>
    <n v="363"/>
    <n v="570"/>
    <n v="59"/>
    <x v="1842"/>
    <x v="0"/>
  </r>
  <r>
    <n v="36027"/>
    <x v="32"/>
    <s v="Dutchess"/>
    <n v="3041"/>
    <n v="744"/>
    <n v="341"/>
    <n v="357"/>
    <n v="825"/>
    <n v="774"/>
    <n v="812"/>
    <n v="797"/>
    <n v="1432"/>
    <n v="2778"/>
    <n v="261"/>
    <x v="1843"/>
    <x v="0"/>
  </r>
  <r>
    <n v="36029"/>
    <x v="32"/>
    <s v="Erie"/>
    <n v="12448"/>
    <n v="1964"/>
    <n v="1305"/>
    <n v="1484"/>
    <n v="4248"/>
    <n v="3447"/>
    <n v="3219"/>
    <n v="3670"/>
    <n v="5559"/>
    <n v="11145"/>
    <n v="1301"/>
    <x v="1844"/>
    <x v="0"/>
  </r>
  <r>
    <n v="36031"/>
    <x v="32"/>
    <s v="Essex"/>
    <n v="752"/>
    <n v="216"/>
    <n v="100"/>
    <n v="104"/>
    <n v="201"/>
    <n v="131"/>
    <n v="128"/>
    <n v="227"/>
    <n v="397"/>
    <n v="698"/>
    <n v="54"/>
    <x v="1845"/>
    <x v="0"/>
  </r>
  <r>
    <n v="36033"/>
    <x v="32"/>
    <s v="Franklin"/>
    <n v="771"/>
    <n v="195"/>
    <n v="95"/>
    <n v="103"/>
    <n v="210"/>
    <n v="168"/>
    <n v="153"/>
    <n v="247"/>
    <n v="371"/>
    <n v="710"/>
    <n v="61"/>
    <x v="1846"/>
    <x v="0"/>
  </r>
  <r>
    <n v="36035"/>
    <x v="32"/>
    <s v="Fulton"/>
    <n v="767"/>
    <n v="167"/>
    <n v="100"/>
    <n v="102"/>
    <n v="230"/>
    <n v="168"/>
    <n v="187"/>
    <n v="244"/>
    <n v="336"/>
    <n v="695"/>
    <n v="72"/>
    <x v="1847"/>
    <x v="0"/>
  </r>
  <r>
    <n v="36037"/>
    <x v="32"/>
    <s v="Genesee"/>
    <n v="1015"/>
    <n v="206"/>
    <n v="105"/>
    <n v="131"/>
    <n v="332"/>
    <n v="241"/>
    <n v="275"/>
    <n v="243"/>
    <n v="497"/>
    <n v="920"/>
    <n v="95"/>
    <x v="1848"/>
    <x v="0"/>
  </r>
  <r>
    <n v="36039"/>
    <x v="32"/>
    <s v="Greene"/>
    <n v="682"/>
    <n v="187"/>
    <n v="87"/>
    <n v="81"/>
    <n v="178"/>
    <n v="149"/>
    <n v="146"/>
    <n v="185"/>
    <n v="351"/>
    <n v="623"/>
    <n v="59"/>
    <x v="1849"/>
    <x v="0"/>
  </r>
  <r>
    <n v="36041"/>
    <x v="32"/>
    <s v="Hamilton"/>
    <n v="74"/>
    <n v="23"/>
    <n v="11"/>
    <n v="10"/>
    <n v="17"/>
    <n v="13"/>
    <n v="15"/>
    <n v="22"/>
    <n v="37"/>
    <m/>
    <m/>
    <x v="1850"/>
    <x v="0"/>
  </r>
  <r>
    <n v="36043"/>
    <x v="32"/>
    <s v="Herkimer"/>
    <n v="975"/>
    <n v="228"/>
    <n v="130"/>
    <n v="127"/>
    <n v="275"/>
    <n v="215"/>
    <n v="200"/>
    <n v="303"/>
    <n v="472"/>
    <n v="878"/>
    <n v="97"/>
    <x v="1851"/>
    <x v="0"/>
  </r>
  <r>
    <n v="36045"/>
    <x v="32"/>
    <s v="Jefferson"/>
    <n v="5275"/>
    <n v="623"/>
    <n v="519"/>
    <n v="660"/>
    <n v="1796"/>
    <n v="1677"/>
    <n v="2292"/>
    <n v="1975"/>
    <n v="1008"/>
    <n v="4433"/>
    <n v="840"/>
    <x v="1852"/>
    <x v="0"/>
  </r>
  <r>
    <n v="36047"/>
    <x v="32"/>
    <s v="Kings"/>
    <n v="8494"/>
    <n v="1542"/>
    <n v="904"/>
    <n v="932"/>
    <n v="2602"/>
    <n v="2514"/>
    <n v="3519"/>
    <n v="2428"/>
    <n v="2547"/>
    <n v="7078"/>
    <n v="1414"/>
    <x v="1853"/>
    <x v="0"/>
  </r>
  <r>
    <n v="36049"/>
    <x v="32"/>
    <s v="Lewis"/>
    <n v="591"/>
    <n v="87"/>
    <n v="73"/>
    <n v="82"/>
    <n v="185"/>
    <n v="164"/>
    <n v="147"/>
    <n v="241"/>
    <n v="203"/>
    <n v="525"/>
    <n v="66"/>
    <x v="1854"/>
    <x v="0"/>
  </r>
  <r>
    <n v="36051"/>
    <x v="32"/>
    <s v="Livingston"/>
    <n v="885"/>
    <n v="213"/>
    <n v="109"/>
    <n v="131"/>
    <n v="261"/>
    <n v="171"/>
    <n v="221"/>
    <n v="231"/>
    <n v="433"/>
    <n v="805"/>
    <n v="80"/>
    <x v="1855"/>
    <x v="0"/>
  </r>
  <r>
    <n v="36053"/>
    <x v="32"/>
    <s v="Madison"/>
    <n v="1012"/>
    <n v="221"/>
    <n v="131"/>
    <n v="147"/>
    <n v="283"/>
    <n v="230"/>
    <n v="270"/>
    <n v="310"/>
    <n v="432"/>
    <n v="903"/>
    <n v="109"/>
    <x v="1856"/>
    <x v="0"/>
  </r>
  <r>
    <n v="36055"/>
    <x v="32"/>
    <s v="Monroe"/>
    <n v="8064"/>
    <n v="1895"/>
    <n v="985"/>
    <n v="969"/>
    <n v="2354"/>
    <n v="1861"/>
    <n v="2354"/>
    <n v="2190"/>
    <n v="3520"/>
    <n v="7247"/>
    <n v="817"/>
    <x v="1857"/>
    <x v="0"/>
  </r>
  <r>
    <n v="36057"/>
    <x v="32"/>
    <s v="Montgomery"/>
    <n v="655"/>
    <n v="165"/>
    <n v="88"/>
    <n v="83"/>
    <n v="185"/>
    <n v="134"/>
    <n v="153"/>
    <n v="182"/>
    <n v="320"/>
    <n v="586"/>
    <n v="69"/>
    <x v="1858"/>
    <x v="0"/>
  </r>
  <r>
    <n v="36059"/>
    <x v="32"/>
    <s v="Nassau"/>
    <n v="7346"/>
    <n v="1686"/>
    <n v="899"/>
    <n v="825"/>
    <n v="2016"/>
    <n v="1920"/>
    <n v="2203"/>
    <n v="1663"/>
    <n v="3480"/>
    <n v="6774"/>
    <n v="570"/>
    <x v="1859"/>
    <x v="0"/>
  </r>
  <r>
    <n v="36061"/>
    <x v="32"/>
    <s v="New York"/>
    <n v="5025"/>
    <n v="955"/>
    <n v="548"/>
    <n v="560"/>
    <n v="1498"/>
    <n v="1464"/>
    <n v="2308"/>
    <n v="1180"/>
    <n v="1537"/>
    <n v="4367"/>
    <n v="656"/>
    <x v="1860"/>
    <x v="0"/>
  </r>
  <r>
    <n v="36063"/>
    <x v="32"/>
    <s v="Niagara"/>
    <n v="3506"/>
    <n v="517"/>
    <n v="357"/>
    <n v="420"/>
    <n v="1228"/>
    <n v="984"/>
    <n v="936"/>
    <n v="1045"/>
    <n v="1525"/>
    <n v="3105"/>
    <n v="401"/>
    <x v="1861"/>
    <x v="0"/>
  </r>
  <r>
    <n v="36065"/>
    <x v="32"/>
    <s v="Oneida"/>
    <n v="3592"/>
    <n v="777"/>
    <n v="504"/>
    <n v="515"/>
    <n v="1028"/>
    <n v="768"/>
    <n v="845"/>
    <n v="1038"/>
    <n v="1709"/>
    <n v="3243"/>
    <n v="348"/>
    <x v="1862"/>
    <x v="0"/>
  </r>
  <r>
    <n v="36067"/>
    <x v="32"/>
    <s v="Onondaga"/>
    <n v="5590"/>
    <n v="1128"/>
    <n v="699"/>
    <n v="744"/>
    <n v="1713"/>
    <n v="1306"/>
    <n v="1725"/>
    <n v="1758"/>
    <n v="2107"/>
    <n v="4959"/>
    <n v="631"/>
    <x v="1863"/>
    <x v="0"/>
  </r>
  <r>
    <n v="36069"/>
    <x v="32"/>
    <s v="Ontario"/>
    <n v="1887"/>
    <n v="421"/>
    <n v="235"/>
    <n v="204"/>
    <n v="543"/>
    <n v="484"/>
    <n v="480"/>
    <n v="547"/>
    <n v="860"/>
    <n v="1709"/>
    <n v="178"/>
    <x v="1864"/>
    <x v="0"/>
  </r>
  <r>
    <n v="36071"/>
    <x v="32"/>
    <s v="Orange"/>
    <n v="4716"/>
    <n v="919"/>
    <n v="512"/>
    <n v="535"/>
    <n v="1434"/>
    <n v="1316"/>
    <n v="1445"/>
    <n v="1573"/>
    <n v="1698"/>
    <n v="4155"/>
    <n v="560"/>
    <x v="1865"/>
    <x v="0"/>
  </r>
  <r>
    <n v="36073"/>
    <x v="32"/>
    <s v="Orleans"/>
    <n v="670"/>
    <n v="118"/>
    <n v="68"/>
    <n v="86"/>
    <n v="216"/>
    <n v="182"/>
    <n v="167"/>
    <n v="214"/>
    <n v="289"/>
    <n v="606"/>
    <n v="64"/>
    <x v="1866"/>
    <x v="0"/>
  </r>
  <r>
    <n v="36075"/>
    <x v="32"/>
    <s v="Oswego"/>
    <n v="1973"/>
    <n v="430"/>
    <n v="286"/>
    <n v="235"/>
    <n v="577"/>
    <n v="445"/>
    <n v="568"/>
    <n v="648"/>
    <n v="757"/>
    <n v="1774"/>
    <n v="198"/>
    <x v="1867"/>
    <x v="0"/>
  </r>
  <r>
    <n v="36077"/>
    <x v="32"/>
    <s v="Otsego"/>
    <n v="850"/>
    <n v="209"/>
    <n v="114"/>
    <n v="102"/>
    <n v="237"/>
    <n v="188"/>
    <n v="182"/>
    <n v="212"/>
    <n v="456"/>
    <n v="776"/>
    <n v="74"/>
    <x v="1868"/>
    <x v="0"/>
  </r>
  <r>
    <n v="36079"/>
    <x v="32"/>
    <s v="Putnam"/>
    <n v="1001"/>
    <n v="259"/>
    <n v="117"/>
    <n v="126"/>
    <n v="261"/>
    <n v="238"/>
    <n v="297"/>
    <n v="228"/>
    <n v="476"/>
    <n v="942"/>
    <n v="59"/>
    <x v="1869"/>
    <x v="0"/>
  </r>
  <r>
    <n v="36081"/>
    <x v="32"/>
    <s v="Queens"/>
    <n v="8267"/>
    <n v="1557"/>
    <n v="900"/>
    <n v="911"/>
    <n v="2551"/>
    <n v="2348"/>
    <n v="3620"/>
    <n v="2087"/>
    <n v="2560"/>
    <n v="7223"/>
    <n v="1044"/>
    <x v="1870"/>
    <x v="0"/>
  </r>
  <r>
    <n v="36083"/>
    <x v="32"/>
    <s v="Rensselaer"/>
    <n v="1946"/>
    <n v="456"/>
    <n v="232"/>
    <n v="271"/>
    <n v="581"/>
    <n v="406"/>
    <n v="519"/>
    <n v="585"/>
    <n v="842"/>
    <n v="1727"/>
    <n v="219"/>
    <x v="1871"/>
    <x v="0"/>
  </r>
  <r>
    <n v="36085"/>
    <x v="32"/>
    <s v="Richmond"/>
    <n v="2779"/>
    <n v="573"/>
    <n v="281"/>
    <n v="260"/>
    <n v="838"/>
    <n v="827"/>
    <n v="818"/>
    <n v="659"/>
    <n v="1302"/>
    <n v="2564"/>
    <n v="215"/>
    <x v="1872"/>
    <x v="0"/>
  </r>
  <r>
    <n v="36087"/>
    <x v="32"/>
    <s v="Rockland"/>
    <n v="1711"/>
    <n v="374"/>
    <n v="203"/>
    <n v="201"/>
    <n v="482"/>
    <n v="451"/>
    <n v="451"/>
    <n v="423"/>
    <n v="837"/>
    <n v="1604"/>
    <n v="107"/>
    <x v="1873"/>
    <x v="0"/>
  </r>
  <r>
    <n v="36089"/>
    <x v="32"/>
    <s v="St. Lawrence"/>
    <n v="1962"/>
    <n v="381"/>
    <n v="215"/>
    <n v="266"/>
    <n v="644"/>
    <n v="456"/>
    <n v="470"/>
    <n v="710"/>
    <n v="782"/>
    <n v="1815"/>
    <n v="147"/>
    <x v="1874"/>
    <x v="0"/>
  </r>
  <r>
    <n v="36091"/>
    <x v="32"/>
    <s v="Saratoga"/>
    <n v="3585"/>
    <n v="823"/>
    <n v="471"/>
    <n v="513"/>
    <n v="1003"/>
    <n v="775"/>
    <n v="1055"/>
    <n v="1151"/>
    <n v="1379"/>
    <n v="3213"/>
    <n v="370"/>
    <x v="1875"/>
    <x v="0"/>
  </r>
  <r>
    <n v="36093"/>
    <x v="32"/>
    <s v="Schenectady"/>
    <n v="1656"/>
    <n v="381"/>
    <n v="208"/>
    <n v="207"/>
    <n v="479"/>
    <n v="381"/>
    <n v="448"/>
    <n v="502"/>
    <n v="706"/>
    <n v="1451"/>
    <n v="205"/>
    <x v="1876"/>
    <x v="0"/>
  </r>
  <r>
    <n v="36095"/>
    <x v="32"/>
    <s v="Schoharie"/>
    <n v="476"/>
    <n v="115"/>
    <n v="60"/>
    <n v="65"/>
    <n v="132"/>
    <n v="104"/>
    <n v="130"/>
    <n v="125"/>
    <n v="221"/>
    <n v="435"/>
    <n v="41"/>
    <x v="1877"/>
    <x v="0"/>
  </r>
  <r>
    <n v="36097"/>
    <x v="32"/>
    <s v="Schuyler"/>
    <n v="360"/>
    <n v="87"/>
    <n v="45"/>
    <n v="48"/>
    <n v="92"/>
    <n v="88"/>
    <n v="68"/>
    <n v="116"/>
    <n v="176"/>
    <n v="334"/>
    <n v="26"/>
    <x v="1878"/>
    <x v="0"/>
  </r>
  <r>
    <n v="36099"/>
    <x v="32"/>
    <s v="Seneca"/>
    <n v="511"/>
    <n v="120"/>
    <n v="66"/>
    <n v="80"/>
    <n v="139"/>
    <n v="106"/>
    <n v="128"/>
    <n v="139"/>
    <n v="244"/>
    <n v="467"/>
    <n v="44"/>
    <x v="1879"/>
    <x v="0"/>
  </r>
  <r>
    <n v="36101"/>
    <x v="32"/>
    <s v="Steuben"/>
    <n v="2120"/>
    <n v="391"/>
    <n v="224"/>
    <n v="244"/>
    <n v="707"/>
    <n v="554"/>
    <n v="549"/>
    <n v="666"/>
    <n v="905"/>
    <n v="1883"/>
    <n v="237"/>
    <x v="1880"/>
    <x v="0"/>
  </r>
  <r>
    <n v="36103"/>
    <x v="32"/>
    <s v="Suffolk"/>
    <n v="12014"/>
    <n v="2632"/>
    <n v="1407"/>
    <n v="1342"/>
    <n v="3499"/>
    <n v="3134"/>
    <n v="3607"/>
    <n v="2816"/>
    <n v="5591"/>
    <n v="11062"/>
    <n v="950"/>
    <x v="1881"/>
    <x v="0"/>
  </r>
  <r>
    <n v="36105"/>
    <x v="32"/>
    <s v="Sullivan"/>
    <n v="853"/>
    <n v="223"/>
    <n v="103"/>
    <n v="98"/>
    <n v="234"/>
    <n v="195"/>
    <n v="189"/>
    <n v="252"/>
    <n v="412"/>
    <n v="782"/>
    <n v="71"/>
    <x v="1882"/>
    <x v="0"/>
  </r>
  <r>
    <n v="36107"/>
    <x v="32"/>
    <s v="Tioga"/>
    <n v="671"/>
    <n v="141"/>
    <n v="80"/>
    <n v="109"/>
    <n v="211"/>
    <n v="130"/>
    <n v="191"/>
    <n v="195"/>
    <n v="285"/>
    <n v="593"/>
    <n v="78"/>
    <x v="1883"/>
    <x v="0"/>
  </r>
  <r>
    <n v="36109"/>
    <x v="32"/>
    <s v="Tompkins"/>
    <n v="720"/>
    <n v="141"/>
    <n v="96"/>
    <n v="102"/>
    <n v="201"/>
    <n v="180"/>
    <n v="259"/>
    <n v="195"/>
    <n v="266"/>
    <n v="627"/>
    <n v="93"/>
    <x v="1884"/>
    <x v="0"/>
  </r>
  <r>
    <n v="36111"/>
    <x v="32"/>
    <s v="Ulster"/>
    <n v="1823"/>
    <n v="501"/>
    <n v="212"/>
    <n v="229"/>
    <n v="469"/>
    <n v="412"/>
    <n v="420"/>
    <n v="485"/>
    <n v="918"/>
    <n v="1643"/>
    <n v="180"/>
    <x v="1885"/>
    <x v="0"/>
  </r>
  <r>
    <n v="36113"/>
    <x v="32"/>
    <s v="Warren"/>
    <n v="1002"/>
    <n v="197"/>
    <n v="152"/>
    <n v="155"/>
    <n v="288"/>
    <n v="210"/>
    <n v="237"/>
    <n v="286"/>
    <n v="479"/>
    <n v="906"/>
    <n v="95"/>
    <x v="1886"/>
    <x v="0"/>
  </r>
  <r>
    <n v="36115"/>
    <x v="32"/>
    <s v="Washington"/>
    <n v="1095"/>
    <n v="296"/>
    <n v="148"/>
    <n v="121"/>
    <n v="288"/>
    <n v="242"/>
    <n v="275"/>
    <n v="320"/>
    <n v="500"/>
    <n v="998"/>
    <n v="96"/>
    <x v="1887"/>
    <x v="0"/>
  </r>
  <r>
    <n v="36117"/>
    <x v="32"/>
    <s v="Wayne"/>
    <n v="1505"/>
    <n v="406"/>
    <n v="188"/>
    <n v="184"/>
    <n v="442"/>
    <n v="285"/>
    <n v="416"/>
    <n v="387"/>
    <n v="702"/>
    <n v="1361"/>
    <n v="144"/>
    <x v="1888"/>
    <x v="0"/>
  </r>
  <r>
    <n v="36119"/>
    <x v="32"/>
    <s v="Westchester"/>
    <n v="4892"/>
    <n v="995"/>
    <n v="528"/>
    <n v="553"/>
    <n v="1432"/>
    <n v="1384"/>
    <n v="1524"/>
    <n v="1136"/>
    <n v="2232"/>
    <n v="4455"/>
    <n v="435"/>
    <x v="1889"/>
    <x v="0"/>
  </r>
  <r>
    <n v="36121"/>
    <x v="32"/>
    <s v="Wyoming"/>
    <n v="679"/>
    <n v="131"/>
    <n v="66"/>
    <n v="87"/>
    <n v="211"/>
    <n v="184"/>
    <n v="178"/>
    <n v="188"/>
    <n v="313"/>
    <n v="618"/>
    <n v="61"/>
    <x v="1890"/>
    <x v="0"/>
  </r>
  <r>
    <n v="36123"/>
    <x v="32"/>
    <s v="Yates"/>
    <n v="391"/>
    <n v="86"/>
    <n v="40"/>
    <n v="36"/>
    <n v="130"/>
    <n v="99"/>
    <n v="78"/>
    <n v="88"/>
    <n v="225"/>
    <n v="357"/>
    <n v="34"/>
    <x v="1891"/>
    <x v="0"/>
  </r>
  <r>
    <n v="37001"/>
    <x v="33"/>
    <s v="Alamance"/>
    <n v="3179"/>
    <n v="569"/>
    <n v="332"/>
    <n v="375"/>
    <n v="998"/>
    <n v="905"/>
    <n v="900"/>
    <n v="1036"/>
    <n v="1243"/>
    <n v="2743"/>
    <n v="435"/>
    <x v="1892"/>
    <x v="0"/>
  </r>
  <r>
    <n v="37003"/>
    <x v="33"/>
    <s v="Alexander"/>
    <n v="706"/>
    <n v="142"/>
    <n v="76"/>
    <n v="94"/>
    <n v="211"/>
    <n v="183"/>
    <n v="166"/>
    <n v="177"/>
    <n v="363"/>
    <n v="654"/>
    <n v="52"/>
    <x v="1893"/>
    <x v="0"/>
  </r>
  <r>
    <n v="37005"/>
    <x v="33"/>
    <s v="Alleghany"/>
    <n v="260"/>
    <n v="68"/>
    <n v="22"/>
    <n v="34"/>
    <n v="73"/>
    <n v="63"/>
    <n v="44"/>
    <n v="62"/>
    <n v="154"/>
    <n v="242"/>
    <n v="18"/>
    <x v="1894"/>
    <x v="0"/>
  </r>
  <r>
    <n v="37007"/>
    <x v="33"/>
    <s v="Anson"/>
    <n v="401"/>
    <n v="51"/>
    <n v="38"/>
    <n v="48"/>
    <n v="136"/>
    <n v="128"/>
    <n v="80"/>
    <n v="109"/>
    <n v="212"/>
    <n v="364"/>
    <n v="37"/>
    <x v="1895"/>
    <x v="0"/>
  </r>
  <r>
    <n v="37009"/>
    <x v="33"/>
    <s v="Ashe"/>
    <n v="560"/>
    <n v="111"/>
    <n v="55"/>
    <n v="52"/>
    <n v="175"/>
    <n v="167"/>
    <n v="80"/>
    <n v="166"/>
    <n v="314"/>
    <n v="525"/>
    <n v="35"/>
    <x v="1896"/>
    <x v="0"/>
  </r>
  <r>
    <n v="37011"/>
    <x v="33"/>
    <s v="Avery"/>
    <n v="303"/>
    <n v="64"/>
    <n v="30"/>
    <n v="35"/>
    <n v="84"/>
    <n v="90"/>
    <n v="51"/>
    <n v="74"/>
    <n v="178"/>
    <n v="285"/>
    <n v="18"/>
    <x v="1897"/>
    <x v="0"/>
  </r>
  <r>
    <n v="37013"/>
    <x v="33"/>
    <s v="Beaufort"/>
    <n v="1306"/>
    <n v="271"/>
    <n v="137"/>
    <n v="171"/>
    <n v="362"/>
    <n v="365"/>
    <n v="208"/>
    <n v="355"/>
    <n v="743"/>
    <n v="1180"/>
    <n v="125"/>
    <x v="1898"/>
    <x v="0"/>
  </r>
  <r>
    <n v="37015"/>
    <x v="33"/>
    <s v="Bertie"/>
    <n v="319"/>
    <n v="64"/>
    <n v="34"/>
    <n v="34"/>
    <n v="96"/>
    <n v="91"/>
    <n v="35"/>
    <n v="113"/>
    <n v="171"/>
    <n v="293"/>
    <n v="26"/>
    <x v="1899"/>
    <x v="0"/>
  </r>
  <r>
    <n v="37017"/>
    <x v="33"/>
    <s v="Bladen"/>
    <n v="923"/>
    <n v="121"/>
    <n v="72"/>
    <n v="86"/>
    <n v="311"/>
    <n v="333"/>
    <n v="163"/>
    <n v="318"/>
    <n v="442"/>
    <n v="822"/>
    <n v="101"/>
    <x v="1900"/>
    <x v="0"/>
  </r>
  <r>
    <n v="37019"/>
    <x v="33"/>
    <s v="Brunswick"/>
    <n v="5928"/>
    <n v="1034"/>
    <n v="589"/>
    <n v="727"/>
    <n v="1808"/>
    <n v="1770"/>
    <n v="1248"/>
    <n v="1711"/>
    <n v="2968"/>
    <n v="5359"/>
    <n v="569"/>
    <x v="1901"/>
    <x v="0"/>
  </r>
  <r>
    <n v="37021"/>
    <x v="33"/>
    <s v="Buncombe"/>
    <n v="5088"/>
    <n v="1169"/>
    <n v="582"/>
    <n v="647"/>
    <n v="1484"/>
    <n v="1206"/>
    <n v="1185"/>
    <n v="1430"/>
    <n v="2473"/>
    <n v="4435"/>
    <n v="652"/>
    <x v="1902"/>
    <x v="0"/>
  </r>
  <r>
    <n v="37023"/>
    <x v="33"/>
    <s v="Burke"/>
    <n v="1874"/>
    <n v="365"/>
    <n v="194"/>
    <n v="250"/>
    <n v="567"/>
    <n v="498"/>
    <n v="418"/>
    <n v="489"/>
    <n v="967"/>
    <n v="1734"/>
    <n v="139"/>
    <x v="1903"/>
    <x v="0"/>
  </r>
  <r>
    <n v="37025"/>
    <x v="33"/>
    <s v="Cabarrus"/>
    <n v="4731"/>
    <n v="716"/>
    <n v="462"/>
    <n v="506"/>
    <n v="1483"/>
    <n v="1564"/>
    <n v="1448"/>
    <n v="1685"/>
    <n v="1598"/>
    <n v="4006"/>
    <n v="724"/>
    <x v="1904"/>
    <x v="0"/>
  </r>
  <r>
    <n v="37027"/>
    <x v="33"/>
    <s v="Caldwell"/>
    <n v="1727"/>
    <n v="332"/>
    <n v="198"/>
    <n v="224"/>
    <n v="526"/>
    <n v="447"/>
    <n v="414"/>
    <n v="500"/>
    <n v="813"/>
    <n v="1586"/>
    <n v="141"/>
    <x v="1905"/>
    <x v="0"/>
  </r>
  <r>
    <n v="37029"/>
    <x v="33"/>
    <s v="Camden"/>
    <n v="757"/>
    <n v="87"/>
    <n v="70"/>
    <n v="83"/>
    <n v="257"/>
    <n v="260"/>
    <n v="198"/>
    <n v="378"/>
    <n v="181"/>
    <n v="647"/>
    <n v="110"/>
    <x v="1906"/>
    <x v="0"/>
  </r>
  <r>
    <n v="37031"/>
    <x v="33"/>
    <s v="Carteret"/>
    <n v="3737"/>
    <n v="618"/>
    <n v="368"/>
    <n v="436"/>
    <n v="1018"/>
    <n v="1297"/>
    <n v="817"/>
    <n v="1380"/>
    <n v="1540"/>
    <n v="3346"/>
    <n v="391"/>
    <x v="1907"/>
    <x v="0"/>
  </r>
  <r>
    <n v="37033"/>
    <x v="33"/>
    <s v="Caswell"/>
    <n v="475"/>
    <n v="64"/>
    <n v="43"/>
    <n v="48"/>
    <n v="156"/>
    <n v="164"/>
    <n v="91"/>
    <n v="156"/>
    <n v="228"/>
    <n v="433"/>
    <n v="41"/>
    <x v="1908"/>
    <x v="0"/>
  </r>
  <r>
    <n v="37035"/>
    <x v="33"/>
    <s v="Catawba"/>
    <n v="3330"/>
    <n v="641"/>
    <n v="335"/>
    <n v="403"/>
    <n v="986"/>
    <n v="965"/>
    <n v="931"/>
    <n v="993"/>
    <n v="1406"/>
    <n v="3020"/>
    <n v="309"/>
    <x v="1909"/>
    <x v="0"/>
  </r>
  <r>
    <n v="37037"/>
    <x v="33"/>
    <s v="Chatham"/>
    <n v="1314"/>
    <n v="251"/>
    <n v="156"/>
    <n v="150"/>
    <n v="346"/>
    <n v="411"/>
    <n v="302"/>
    <n v="422"/>
    <n v="590"/>
    <n v="1170"/>
    <n v="144"/>
    <x v="1910"/>
    <x v="0"/>
  </r>
  <r>
    <n v="37039"/>
    <x v="33"/>
    <s v="Cherokee"/>
    <n v="1011"/>
    <n v="234"/>
    <n v="96"/>
    <n v="118"/>
    <n v="292"/>
    <n v="271"/>
    <n v="129"/>
    <n v="291"/>
    <n v="591"/>
    <n v="930"/>
    <n v="81"/>
    <x v="1911"/>
    <x v="0"/>
  </r>
  <r>
    <n v="37041"/>
    <x v="33"/>
    <s v="Chowan"/>
    <n v="397"/>
    <n v="79"/>
    <n v="48"/>
    <n v="54"/>
    <n v="116"/>
    <n v="100"/>
    <n v="79"/>
    <n v="112"/>
    <n v="206"/>
    <n v="357"/>
    <n v="40"/>
    <x v="1912"/>
    <x v="0"/>
  </r>
  <r>
    <n v="37043"/>
    <x v="33"/>
    <s v="Clay"/>
    <n v="420"/>
    <n v="94"/>
    <n v="42"/>
    <n v="49"/>
    <n v="129"/>
    <n v="106"/>
    <n v="71"/>
    <n v="100"/>
    <n v="249"/>
    <n v="382"/>
    <n v="38"/>
    <x v="1913"/>
    <x v="0"/>
  </r>
  <r>
    <n v="37045"/>
    <x v="33"/>
    <s v="Cleveland"/>
    <n v="2026"/>
    <n v="348"/>
    <n v="202"/>
    <n v="247"/>
    <n v="627"/>
    <n v="602"/>
    <n v="541"/>
    <n v="553"/>
    <n v="932"/>
    <n v="1855"/>
    <n v="171"/>
    <x v="1914"/>
    <x v="0"/>
  </r>
  <r>
    <n v="37047"/>
    <x v="33"/>
    <s v="Columbus"/>
    <n v="1365"/>
    <n v="204"/>
    <n v="118"/>
    <n v="153"/>
    <n v="452"/>
    <n v="438"/>
    <n v="242"/>
    <n v="451"/>
    <n v="672"/>
    <n v="1221"/>
    <n v="144"/>
    <x v="1915"/>
    <x v="0"/>
  </r>
  <r>
    <n v="37049"/>
    <x v="33"/>
    <s v="Craven"/>
    <n v="7162"/>
    <n v="938"/>
    <n v="715"/>
    <n v="853"/>
    <n v="2204"/>
    <n v="2452"/>
    <n v="2578"/>
    <n v="2428"/>
    <n v="2156"/>
    <n v="6137"/>
    <n v="1025"/>
    <x v="1916"/>
    <x v="0"/>
  </r>
  <r>
    <n v="37051"/>
    <x v="33"/>
    <s v="Cumberland"/>
    <n v="32059"/>
    <n v="2621"/>
    <n v="1930"/>
    <n v="2622"/>
    <n v="9517"/>
    <n v="15369"/>
    <n v="10326"/>
    <n v="12678"/>
    <n v="9054"/>
    <n v="24866"/>
    <n v="7190"/>
    <x v="1917"/>
    <x v="0"/>
  </r>
  <r>
    <n v="37053"/>
    <x v="33"/>
    <s v="Currituck"/>
    <n v="1903"/>
    <n v="259"/>
    <n v="187"/>
    <n v="201"/>
    <n v="564"/>
    <n v="692"/>
    <n v="539"/>
    <n v="887"/>
    <n v="477"/>
    <n v="1589"/>
    <n v="314"/>
    <x v="1918"/>
    <x v="0"/>
  </r>
  <r>
    <n v="37055"/>
    <x v="33"/>
    <s v="Dare"/>
    <n v="774"/>
    <n v="185"/>
    <n v="93"/>
    <n v="113"/>
    <n v="214"/>
    <n v="169"/>
    <n v="124"/>
    <n v="255"/>
    <n v="395"/>
    <n v="699"/>
    <n v="75"/>
    <x v="1919"/>
    <x v="0"/>
  </r>
  <r>
    <n v="37057"/>
    <x v="33"/>
    <s v="Davidson"/>
    <n v="3380"/>
    <n v="591"/>
    <n v="356"/>
    <n v="360"/>
    <n v="1068"/>
    <n v="1005"/>
    <n v="960"/>
    <n v="1059"/>
    <n v="1361"/>
    <n v="3004"/>
    <n v="375"/>
    <x v="1920"/>
    <x v="0"/>
  </r>
  <r>
    <n v="37059"/>
    <x v="33"/>
    <s v="Davie"/>
    <n v="976"/>
    <n v="202"/>
    <n v="133"/>
    <n v="102"/>
    <n v="270"/>
    <n v="269"/>
    <n v="237"/>
    <n v="300"/>
    <n v="439"/>
    <n v="893"/>
    <n v="83"/>
    <x v="1921"/>
    <x v="0"/>
  </r>
  <r>
    <n v="37061"/>
    <x v="33"/>
    <s v="Duplin"/>
    <n v="1378"/>
    <n v="205"/>
    <n v="143"/>
    <n v="124"/>
    <n v="431"/>
    <n v="475"/>
    <n v="309"/>
    <n v="415"/>
    <n v="654"/>
    <n v="1217"/>
    <n v="161"/>
    <x v="1922"/>
    <x v="0"/>
  </r>
  <r>
    <n v="37063"/>
    <x v="33"/>
    <s v="Durham"/>
    <n v="4979"/>
    <n v="803"/>
    <n v="505"/>
    <n v="601"/>
    <n v="1590"/>
    <n v="1480"/>
    <n v="1566"/>
    <n v="1467"/>
    <n v="1946"/>
    <n v="4137"/>
    <n v="842"/>
    <x v="1923"/>
    <x v="0"/>
  </r>
  <r>
    <n v="37065"/>
    <x v="33"/>
    <s v="Edgecombe"/>
    <n v="1144"/>
    <n v="205"/>
    <n v="95"/>
    <n v="136"/>
    <n v="369"/>
    <n v="339"/>
    <n v="196"/>
    <n v="328"/>
    <n v="620"/>
    <n v="1008"/>
    <n v="136"/>
    <x v="1924"/>
    <x v="0"/>
  </r>
  <r>
    <n v="37067"/>
    <x v="33"/>
    <s v="Forsyth"/>
    <n v="7014"/>
    <n v="1181"/>
    <n v="681"/>
    <n v="825"/>
    <n v="2256"/>
    <n v="2071"/>
    <n v="1910"/>
    <n v="2285"/>
    <n v="2819"/>
    <n v="6069"/>
    <n v="945"/>
    <x v="1925"/>
    <x v="0"/>
  </r>
  <r>
    <n v="37069"/>
    <x v="33"/>
    <s v="Franklin"/>
    <n v="1821"/>
    <n v="279"/>
    <n v="185"/>
    <n v="191"/>
    <n v="592"/>
    <n v="574"/>
    <n v="525"/>
    <n v="639"/>
    <n v="657"/>
    <n v="1584"/>
    <n v="237"/>
    <x v="1926"/>
    <x v="0"/>
  </r>
  <r>
    <n v="37071"/>
    <x v="33"/>
    <s v="Gaston"/>
    <n v="4496"/>
    <n v="734"/>
    <n v="437"/>
    <n v="514"/>
    <n v="1403"/>
    <n v="1408"/>
    <n v="1395"/>
    <n v="1366"/>
    <n v="1735"/>
    <n v="3900"/>
    <n v="596"/>
    <x v="1927"/>
    <x v="0"/>
  </r>
  <r>
    <n v="37073"/>
    <x v="33"/>
    <s v="Gates"/>
    <n v="361"/>
    <n v="59"/>
    <n v="36"/>
    <n v="52"/>
    <n v="104"/>
    <n v="110"/>
    <n v="69"/>
    <n v="163"/>
    <n v="129"/>
    <n v="317"/>
    <n v="44"/>
    <x v="1928"/>
    <x v="0"/>
  </r>
  <r>
    <n v="37075"/>
    <x v="33"/>
    <s v="Graham"/>
    <n v="181"/>
    <n v="35"/>
    <n v="19"/>
    <n v="20"/>
    <n v="64"/>
    <n v="43"/>
    <n v="29"/>
    <n v="46"/>
    <n v="106"/>
    <m/>
    <m/>
    <x v="1929"/>
    <x v="0"/>
  </r>
  <r>
    <n v="37077"/>
    <x v="33"/>
    <s v="Granville"/>
    <n v="1300"/>
    <n v="213"/>
    <n v="138"/>
    <n v="162"/>
    <n v="419"/>
    <n v="368"/>
    <n v="289"/>
    <n v="501"/>
    <n v="510"/>
    <n v="1144"/>
    <n v="156"/>
    <x v="1930"/>
    <x v="0"/>
  </r>
  <r>
    <n v="37079"/>
    <x v="33"/>
    <s v="Greene"/>
    <n v="347"/>
    <n v="55"/>
    <n v="35"/>
    <n v="27"/>
    <n v="117"/>
    <n v="113"/>
    <n v="57"/>
    <n v="119"/>
    <n v="171"/>
    <n v="312"/>
    <n v="35"/>
    <x v="1931"/>
    <x v="0"/>
  </r>
  <r>
    <n v="37081"/>
    <x v="33"/>
    <s v="Guilford"/>
    <n v="9354"/>
    <n v="1486"/>
    <n v="920"/>
    <n v="1027"/>
    <n v="3079"/>
    <n v="2842"/>
    <n v="2432"/>
    <n v="3251"/>
    <n v="3671"/>
    <n v="7917"/>
    <n v="1436"/>
    <x v="1932"/>
    <x v="0"/>
  </r>
  <r>
    <n v="37083"/>
    <x v="33"/>
    <s v="Halifax"/>
    <n v="993"/>
    <n v="174"/>
    <n v="89"/>
    <n v="111"/>
    <n v="320"/>
    <n v="299"/>
    <n v="139"/>
    <n v="315"/>
    <n v="539"/>
    <n v="889"/>
    <n v="104"/>
    <x v="1933"/>
    <x v="0"/>
  </r>
  <r>
    <n v="37085"/>
    <x v="33"/>
    <s v="Harnett"/>
    <n v="9068"/>
    <n v="745"/>
    <n v="551"/>
    <n v="752"/>
    <n v="2626"/>
    <n v="4394"/>
    <n v="3307"/>
    <n v="3878"/>
    <n v="1883"/>
    <n v="7329"/>
    <n v="1739"/>
    <x v="1934"/>
    <x v="0"/>
  </r>
  <r>
    <n v="37087"/>
    <x v="33"/>
    <s v="Haywood"/>
    <n v="1861"/>
    <n v="386"/>
    <n v="225"/>
    <n v="262"/>
    <n v="537"/>
    <n v="451"/>
    <n v="329"/>
    <n v="522"/>
    <n v="1010"/>
    <n v="1716"/>
    <n v="145"/>
    <x v="1935"/>
    <x v="0"/>
  </r>
  <r>
    <n v="37089"/>
    <x v="33"/>
    <s v="Henderson"/>
    <n v="2488"/>
    <n v="575"/>
    <n v="345"/>
    <n v="311"/>
    <n v="695"/>
    <n v="562"/>
    <n v="457"/>
    <n v="699"/>
    <n v="1332"/>
    <n v="2241"/>
    <n v="247"/>
    <x v="1936"/>
    <x v="0"/>
  </r>
  <r>
    <n v="37091"/>
    <x v="33"/>
    <s v="Hertford"/>
    <n v="477"/>
    <n v="81"/>
    <n v="53"/>
    <n v="62"/>
    <n v="168"/>
    <n v="113"/>
    <n v="81"/>
    <n v="161"/>
    <n v="235"/>
    <n v="425"/>
    <n v="52"/>
    <x v="1937"/>
    <x v="0"/>
  </r>
  <r>
    <n v="37093"/>
    <x v="33"/>
    <s v="Hoke"/>
    <n v="5747"/>
    <n v="328"/>
    <n v="259"/>
    <n v="335"/>
    <n v="1542"/>
    <n v="3283"/>
    <n v="2127"/>
    <n v="2502"/>
    <n v="1118"/>
    <n v="4347"/>
    <n v="1399"/>
    <x v="1938"/>
    <x v="0"/>
  </r>
  <r>
    <n v="37095"/>
    <x v="33"/>
    <s v="Hyde"/>
    <n v="103"/>
    <n v="19"/>
    <n v="17"/>
    <n v="15"/>
    <n v="33"/>
    <n v="19"/>
    <n v="16"/>
    <n v="33"/>
    <n v="54"/>
    <m/>
    <m/>
    <x v="1939"/>
    <x v="0"/>
  </r>
  <r>
    <n v="37097"/>
    <x v="33"/>
    <s v="Iredell"/>
    <n v="3955"/>
    <n v="652"/>
    <n v="460"/>
    <n v="480"/>
    <n v="1207"/>
    <n v="1156"/>
    <n v="1350"/>
    <n v="1162"/>
    <n v="1443"/>
    <n v="3500"/>
    <n v="455"/>
    <x v="1940"/>
    <x v="0"/>
  </r>
  <r>
    <n v="37099"/>
    <x v="33"/>
    <s v="Jackson"/>
    <n v="830"/>
    <n v="220"/>
    <n v="96"/>
    <n v="115"/>
    <n v="243"/>
    <n v="156"/>
    <n v="170"/>
    <n v="223"/>
    <n v="437"/>
    <n v="751"/>
    <n v="79"/>
    <x v="1941"/>
    <x v="0"/>
  </r>
  <r>
    <n v="37101"/>
    <x v="33"/>
    <s v="Johnston"/>
    <n v="6800"/>
    <n v="936"/>
    <n v="596"/>
    <n v="771"/>
    <n v="2242"/>
    <n v="2255"/>
    <n v="2325"/>
    <n v="2516"/>
    <n v="1959"/>
    <n v="5797"/>
    <n v="1003"/>
    <x v="1942"/>
    <x v="0"/>
  </r>
  <r>
    <n v="37103"/>
    <x v="33"/>
    <s v="Jones"/>
    <n v="491"/>
    <n v="74"/>
    <n v="38"/>
    <n v="51"/>
    <n v="137"/>
    <n v="191"/>
    <n v="128"/>
    <n v="186"/>
    <n v="177"/>
    <n v="419"/>
    <n v="72"/>
    <x v="1943"/>
    <x v="0"/>
  </r>
  <r>
    <n v="37105"/>
    <x v="33"/>
    <s v="Lee"/>
    <n v="2228"/>
    <n v="276"/>
    <n v="185"/>
    <n v="226"/>
    <n v="704"/>
    <n v="837"/>
    <n v="690"/>
    <n v="855"/>
    <n v="683"/>
    <n v="1898"/>
    <n v="330"/>
    <x v="1944"/>
    <x v="0"/>
  </r>
  <r>
    <n v="37107"/>
    <x v="33"/>
    <s v="Lenoir"/>
    <n v="1716"/>
    <n v="256"/>
    <n v="150"/>
    <n v="208"/>
    <n v="538"/>
    <n v="564"/>
    <n v="375"/>
    <n v="541"/>
    <n v="800"/>
    <n v="1508"/>
    <n v="208"/>
    <x v="1945"/>
    <x v="0"/>
  </r>
  <r>
    <n v="37109"/>
    <x v="33"/>
    <s v="Lincoln"/>
    <n v="1842"/>
    <n v="338"/>
    <n v="177"/>
    <n v="252"/>
    <n v="547"/>
    <n v="528"/>
    <n v="482"/>
    <n v="571"/>
    <n v="789"/>
    <n v="1678"/>
    <n v="162"/>
    <x v="1946"/>
    <x v="0"/>
  </r>
  <r>
    <n v="37111"/>
    <x v="33"/>
    <s v="McDowell"/>
    <n v="1119"/>
    <n v="228"/>
    <n v="111"/>
    <n v="152"/>
    <n v="330"/>
    <n v="298"/>
    <n v="211"/>
    <n v="317"/>
    <n v="591"/>
    <n v="1018"/>
    <n v="101"/>
    <x v="1947"/>
    <x v="0"/>
  </r>
  <r>
    <n v="37113"/>
    <x v="33"/>
    <s v="Macon"/>
    <n v="1170"/>
    <n v="302"/>
    <n v="141"/>
    <n v="173"/>
    <n v="303"/>
    <n v="251"/>
    <n v="186"/>
    <n v="305"/>
    <n v="679"/>
    <n v="1062"/>
    <n v="108"/>
    <x v="1948"/>
    <x v="0"/>
  </r>
  <r>
    <n v="37115"/>
    <x v="33"/>
    <s v="Madison"/>
    <n v="433"/>
    <n v="84"/>
    <n v="55"/>
    <n v="57"/>
    <n v="122"/>
    <n v="115"/>
    <n v="85"/>
    <n v="146"/>
    <n v="202"/>
    <n v="390"/>
    <n v="43"/>
    <x v="1949"/>
    <x v="0"/>
  </r>
  <r>
    <n v="37117"/>
    <x v="33"/>
    <s v="Martin"/>
    <n v="528"/>
    <n v="87"/>
    <n v="61"/>
    <n v="60"/>
    <n v="170"/>
    <n v="150"/>
    <n v="96"/>
    <n v="138"/>
    <n v="294"/>
    <n v="470"/>
    <n v="58"/>
    <x v="1950"/>
    <x v="0"/>
  </r>
  <r>
    <n v="37119"/>
    <x v="33"/>
    <s v="Mecklenburg"/>
    <n v="16696"/>
    <n v="2456"/>
    <n v="1480"/>
    <n v="1743"/>
    <n v="5335"/>
    <n v="5682"/>
    <n v="5945"/>
    <n v="5648"/>
    <n v="5103"/>
    <n v="13468"/>
    <n v="3226"/>
    <x v="1951"/>
    <x v="0"/>
  </r>
  <r>
    <n v="37121"/>
    <x v="33"/>
    <s v="Mitchell"/>
    <n v="342"/>
    <n v="68"/>
    <n v="38"/>
    <n v="47"/>
    <n v="105"/>
    <n v="84"/>
    <n v="65"/>
    <n v="89"/>
    <n v="188"/>
    <n v="310"/>
    <n v="32"/>
    <x v="1952"/>
    <x v="0"/>
  </r>
  <r>
    <n v="37123"/>
    <x v="33"/>
    <s v="Montgomery"/>
    <n v="552"/>
    <n v="66"/>
    <n v="34"/>
    <n v="73"/>
    <n v="216"/>
    <n v="163"/>
    <n v="121"/>
    <n v="173"/>
    <n v="258"/>
    <n v="494"/>
    <n v="58"/>
    <x v="1953"/>
    <x v="0"/>
  </r>
  <r>
    <n v="37125"/>
    <x v="33"/>
    <s v="Moore"/>
    <n v="6168"/>
    <n v="617"/>
    <n v="378"/>
    <n v="483"/>
    <n v="1641"/>
    <n v="3049"/>
    <n v="1898"/>
    <n v="2579"/>
    <n v="1691"/>
    <n v="5155"/>
    <n v="1013"/>
    <x v="1954"/>
    <x v="0"/>
  </r>
  <r>
    <n v="37127"/>
    <x v="33"/>
    <s v="Nash"/>
    <n v="2642"/>
    <n v="444"/>
    <n v="215"/>
    <n v="280"/>
    <n v="852"/>
    <n v="851"/>
    <n v="533"/>
    <n v="923"/>
    <n v="1186"/>
    <n v="2283"/>
    <n v="358"/>
    <x v="1955"/>
    <x v="0"/>
  </r>
  <r>
    <n v="37129"/>
    <x v="33"/>
    <s v="New Hanover"/>
    <n v="6001"/>
    <n v="982"/>
    <n v="618"/>
    <n v="675"/>
    <n v="1868"/>
    <n v="1858"/>
    <n v="1942"/>
    <n v="1882"/>
    <n v="2177"/>
    <n v="5328"/>
    <n v="672"/>
    <x v="1956"/>
    <x v="0"/>
  </r>
  <r>
    <n v="37131"/>
    <x v="33"/>
    <s v="Northampton"/>
    <n v="388"/>
    <n v="86"/>
    <n v="45"/>
    <n v="43"/>
    <n v="109"/>
    <n v="105"/>
    <n v="34"/>
    <n v="121"/>
    <n v="233"/>
    <n v="338"/>
    <n v="50"/>
    <x v="1957"/>
    <x v="0"/>
  </r>
  <r>
    <n v="37133"/>
    <x v="33"/>
    <s v="Onslow"/>
    <n v="22086"/>
    <n v="1941"/>
    <n v="1570"/>
    <n v="2115"/>
    <n v="6594"/>
    <n v="9866"/>
    <n v="10240"/>
    <n v="7523"/>
    <n v="4323"/>
    <n v="18297"/>
    <n v="3788"/>
    <x v="1958"/>
    <x v="0"/>
  </r>
  <r>
    <n v="37135"/>
    <x v="33"/>
    <s v="Orange"/>
    <n v="1491"/>
    <n v="292"/>
    <n v="171"/>
    <n v="184"/>
    <n v="467"/>
    <n v="377"/>
    <n v="458"/>
    <n v="447"/>
    <n v="586"/>
    <n v="1272"/>
    <n v="219"/>
    <x v="1959"/>
    <x v="0"/>
  </r>
  <r>
    <n v="37137"/>
    <x v="33"/>
    <s v="Pamlico"/>
    <n v="559"/>
    <n v="108"/>
    <n v="68"/>
    <n v="68"/>
    <n v="161"/>
    <n v="154"/>
    <n v="102"/>
    <n v="157"/>
    <n v="300"/>
    <n v="516"/>
    <n v="43"/>
    <x v="1960"/>
    <x v="0"/>
  </r>
  <r>
    <n v="37139"/>
    <x v="33"/>
    <s v="Pasquotank"/>
    <n v="1991"/>
    <n v="329"/>
    <n v="219"/>
    <n v="271"/>
    <n v="615"/>
    <n v="557"/>
    <n v="461"/>
    <n v="859"/>
    <n v="671"/>
    <n v="1691"/>
    <n v="300"/>
    <x v="1961"/>
    <x v="0"/>
  </r>
  <r>
    <n v="37141"/>
    <x v="33"/>
    <s v="Pender"/>
    <n v="2946"/>
    <n v="379"/>
    <n v="230"/>
    <n v="297"/>
    <n v="844"/>
    <n v="1196"/>
    <n v="970"/>
    <n v="1103"/>
    <n v="873"/>
    <n v="2608"/>
    <n v="338"/>
    <x v="1962"/>
    <x v="0"/>
  </r>
  <r>
    <n v="37143"/>
    <x v="33"/>
    <s v="Perquimans"/>
    <n v="556"/>
    <n v="107"/>
    <n v="51"/>
    <n v="74"/>
    <n v="171"/>
    <n v="153"/>
    <n v="110"/>
    <n v="206"/>
    <n v="240"/>
    <n v="485"/>
    <n v="71"/>
    <x v="1963"/>
    <x v="0"/>
  </r>
  <r>
    <n v="37145"/>
    <x v="33"/>
    <s v="Person"/>
    <n v="831"/>
    <n v="132"/>
    <n v="83"/>
    <n v="94"/>
    <n v="313"/>
    <n v="209"/>
    <n v="165"/>
    <n v="275"/>
    <n v="391"/>
    <n v="744"/>
    <n v="87"/>
    <x v="1964"/>
    <x v="0"/>
  </r>
  <r>
    <n v="37147"/>
    <x v="33"/>
    <s v="Pitt"/>
    <n v="4357"/>
    <n v="624"/>
    <n v="419"/>
    <n v="494"/>
    <n v="1464"/>
    <n v="1356"/>
    <n v="1288"/>
    <n v="1477"/>
    <n v="1592"/>
    <n v="3679"/>
    <n v="678"/>
    <x v="1965"/>
    <x v="0"/>
  </r>
  <r>
    <n v="37149"/>
    <x v="33"/>
    <s v="Polk"/>
    <n v="468"/>
    <n v="97"/>
    <n v="53"/>
    <n v="61"/>
    <n v="150"/>
    <n v="107"/>
    <n v="93"/>
    <n v="128"/>
    <n v="247"/>
    <n v="427"/>
    <n v="41"/>
    <x v="1966"/>
    <x v="0"/>
  </r>
  <r>
    <n v="37151"/>
    <x v="33"/>
    <s v="Randolph"/>
    <n v="2719"/>
    <n v="428"/>
    <n v="298"/>
    <n v="278"/>
    <n v="928"/>
    <n v="787"/>
    <n v="747"/>
    <n v="806"/>
    <n v="1166"/>
    <n v="2466"/>
    <n v="253"/>
    <x v="1967"/>
    <x v="0"/>
  </r>
  <r>
    <n v="37153"/>
    <x v="33"/>
    <s v="Richmond"/>
    <n v="1143"/>
    <n v="166"/>
    <n v="96"/>
    <n v="114"/>
    <n v="391"/>
    <n v="376"/>
    <n v="203"/>
    <n v="360"/>
    <n v="580"/>
    <n v="1031"/>
    <n v="112"/>
    <x v="1968"/>
    <x v="0"/>
  </r>
  <r>
    <n v="37155"/>
    <x v="33"/>
    <s v="Robeson"/>
    <n v="3059"/>
    <n v="415"/>
    <n v="209"/>
    <n v="312"/>
    <n v="1064"/>
    <n v="1059"/>
    <n v="756"/>
    <n v="1069"/>
    <n v="1234"/>
    <n v="2686"/>
    <n v="372"/>
    <x v="1969"/>
    <x v="0"/>
  </r>
  <r>
    <n v="37157"/>
    <x v="33"/>
    <s v="Rockingham"/>
    <n v="1811"/>
    <n v="300"/>
    <n v="193"/>
    <n v="210"/>
    <n v="626"/>
    <n v="482"/>
    <n v="407"/>
    <n v="570"/>
    <n v="834"/>
    <n v="1634"/>
    <n v="177"/>
    <x v="1970"/>
    <x v="0"/>
  </r>
  <r>
    <n v="37159"/>
    <x v="33"/>
    <s v="Rowan"/>
    <n v="3570"/>
    <n v="632"/>
    <n v="346"/>
    <n v="385"/>
    <n v="1208"/>
    <n v="999"/>
    <n v="865"/>
    <n v="1058"/>
    <n v="1647"/>
    <n v="3133"/>
    <n v="437"/>
    <x v="1971"/>
    <x v="0"/>
  </r>
  <r>
    <n v="37161"/>
    <x v="33"/>
    <s v="Rutherford"/>
    <n v="1566"/>
    <n v="304"/>
    <n v="161"/>
    <n v="161"/>
    <n v="486"/>
    <n v="454"/>
    <n v="324"/>
    <n v="432"/>
    <n v="810"/>
    <n v="1418"/>
    <n v="148"/>
    <x v="1972"/>
    <x v="0"/>
  </r>
  <r>
    <n v="37163"/>
    <x v="33"/>
    <s v="Sampson"/>
    <n v="1551"/>
    <n v="207"/>
    <n v="129"/>
    <n v="171"/>
    <n v="493"/>
    <n v="551"/>
    <n v="330"/>
    <n v="528"/>
    <n v="693"/>
    <n v="1362"/>
    <n v="189"/>
    <x v="1973"/>
    <x v="0"/>
  </r>
  <r>
    <n v="37165"/>
    <x v="33"/>
    <s v="Scotland"/>
    <n v="981"/>
    <n v="133"/>
    <n v="93"/>
    <n v="89"/>
    <n v="336"/>
    <n v="330"/>
    <n v="208"/>
    <n v="319"/>
    <n v="454"/>
    <n v="866"/>
    <n v="115"/>
    <x v="1974"/>
    <x v="0"/>
  </r>
  <r>
    <n v="37167"/>
    <x v="33"/>
    <s v="Stanly"/>
    <n v="1175"/>
    <n v="174"/>
    <n v="136"/>
    <n v="120"/>
    <n v="405"/>
    <n v="340"/>
    <n v="366"/>
    <n v="344"/>
    <n v="465"/>
    <n v="1044"/>
    <n v="131"/>
    <x v="1975"/>
    <x v="0"/>
  </r>
  <r>
    <n v="37169"/>
    <x v="33"/>
    <s v="Stokes"/>
    <n v="999"/>
    <n v="166"/>
    <n v="99"/>
    <n v="126"/>
    <n v="315"/>
    <n v="293"/>
    <n v="269"/>
    <n v="273"/>
    <n v="457"/>
    <n v="900"/>
    <n v="99"/>
    <x v="1976"/>
    <x v="0"/>
  </r>
  <r>
    <n v="37171"/>
    <x v="33"/>
    <s v="Surry"/>
    <n v="1290"/>
    <n v="236"/>
    <n v="136"/>
    <n v="170"/>
    <n v="411"/>
    <n v="337"/>
    <n v="288"/>
    <n v="336"/>
    <n v="666"/>
    <n v="1216"/>
    <n v="74"/>
    <x v="1977"/>
    <x v="0"/>
  </r>
  <r>
    <n v="37173"/>
    <x v="33"/>
    <s v="Swain"/>
    <n v="326"/>
    <n v="69"/>
    <n v="43"/>
    <n v="51"/>
    <n v="88"/>
    <n v="75"/>
    <n v="63"/>
    <n v="91"/>
    <n v="172"/>
    <n v="288"/>
    <n v="38"/>
    <x v="1978"/>
    <x v="0"/>
  </r>
  <r>
    <n v="37175"/>
    <x v="33"/>
    <s v="Transylvania"/>
    <n v="625"/>
    <n v="160"/>
    <n v="86"/>
    <n v="72"/>
    <n v="178"/>
    <n v="129"/>
    <n v="88"/>
    <n v="156"/>
    <n v="381"/>
    <n v="559"/>
    <n v="66"/>
    <x v="1979"/>
    <x v="0"/>
  </r>
  <r>
    <n v="37177"/>
    <x v="33"/>
    <s v="Tyrrell"/>
    <n v="81"/>
    <n v="16"/>
    <n v="11"/>
    <n v="16"/>
    <n v="22"/>
    <n v="16"/>
    <n v="19"/>
    <n v="21"/>
    <n v="41"/>
    <m/>
    <m/>
    <x v="1980"/>
    <x v="0"/>
  </r>
  <r>
    <n v="37179"/>
    <x v="33"/>
    <s v="Union"/>
    <n v="3817"/>
    <n v="649"/>
    <n v="408"/>
    <n v="456"/>
    <n v="1151"/>
    <n v="1153"/>
    <n v="1081"/>
    <n v="1357"/>
    <n v="1379"/>
    <n v="3406"/>
    <n v="410"/>
    <x v="1981"/>
    <x v="0"/>
  </r>
  <r>
    <n v="37181"/>
    <x v="33"/>
    <s v="Vance"/>
    <n v="808"/>
    <n v="157"/>
    <n v="65"/>
    <n v="102"/>
    <n v="267"/>
    <n v="217"/>
    <n v="158"/>
    <n v="250"/>
    <n v="400"/>
    <n v="722"/>
    <n v="86"/>
    <x v="1982"/>
    <x v="0"/>
  </r>
  <r>
    <n v="37183"/>
    <x v="33"/>
    <s v="Wake"/>
    <n v="19154"/>
    <n v="2954"/>
    <n v="1919"/>
    <n v="2210"/>
    <n v="5944"/>
    <n v="6127"/>
    <n v="6975"/>
    <n v="6895"/>
    <n v="5284"/>
    <n v="15993"/>
    <n v="3159"/>
    <x v="1983"/>
    <x v="0"/>
  </r>
  <r>
    <n v="37185"/>
    <x v="33"/>
    <s v="Warren"/>
    <n v="478"/>
    <n v="68"/>
    <n v="42"/>
    <n v="59"/>
    <n v="170"/>
    <n v="139"/>
    <n v="56"/>
    <n v="167"/>
    <n v="255"/>
    <n v="422"/>
    <n v="56"/>
    <x v="1984"/>
    <x v="0"/>
  </r>
  <r>
    <n v="37187"/>
    <x v="33"/>
    <s v="Washington"/>
    <n v="277"/>
    <n v="49"/>
    <n v="35"/>
    <n v="40"/>
    <n v="79"/>
    <n v="74"/>
    <n v="46"/>
    <n v="84"/>
    <n v="147"/>
    <n v="248"/>
    <n v="29"/>
    <x v="1985"/>
    <x v="0"/>
  </r>
  <r>
    <n v="37189"/>
    <x v="33"/>
    <s v="Watauga"/>
    <n v="684"/>
    <n v="114"/>
    <n v="88"/>
    <n v="95"/>
    <n v="174"/>
    <n v="213"/>
    <n v="186"/>
    <n v="185"/>
    <n v="313"/>
    <n v="623"/>
    <n v="61"/>
    <x v="1986"/>
    <x v="0"/>
  </r>
  <r>
    <n v="37191"/>
    <x v="33"/>
    <s v="Wayne"/>
    <n v="5808"/>
    <n v="836"/>
    <n v="541"/>
    <n v="640"/>
    <n v="1840"/>
    <n v="1951"/>
    <n v="1449"/>
    <n v="2147"/>
    <n v="2212"/>
    <n v="4893"/>
    <n v="915"/>
    <x v="1987"/>
    <x v="0"/>
  </r>
  <r>
    <n v="37193"/>
    <x v="33"/>
    <s v="Wilkes"/>
    <n v="1200"/>
    <n v="230"/>
    <n v="124"/>
    <n v="169"/>
    <n v="352"/>
    <n v="325"/>
    <n v="291"/>
    <n v="316"/>
    <n v="593"/>
    <n v="1095"/>
    <n v="105"/>
    <x v="1988"/>
    <x v="0"/>
  </r>
  <r>
    <n v="37195"/>
    <x v="33"/>
    <s v="Wilson"/>
    <n v="1812"/>
    <n v="263"/>
    <n v="146"/>
    <n v="194"/>
    <n v="603"/>
    <n v="606"/>
    <n v="384"/>
    <n v="597"/>
    <n v="831"/>
    <n v="1598"/>
    <n v="214"/>
    <x v="1989"/>
    <x v="0"/>
  </r>
  <r>
    <n v="37197"/>
    <x v="33"/>
    <s v="Yadkin"/>
    <n v="733"/>
    <n v="139"/>
    <n v="94"/>
    <n v="90"/>
    <n v="215"/>
    <n v="195"/>
    <n v="177"/>
    <n v="191"/>
    <n v="365"/>
    <n v="681"/>
    <n v="52"/>
    <x v="1990"/>
    <x v="0"/>
  </r>
  <r>
    <n v="37199"/>
    <x v="33"/>
    <s v="Yancey"/>
    <n v="407"/>
    <n v="91"/>
    <n v="53"/>
    <n v="41"/>
    <n v="129"/>
    <n v="93"/>
    <n v="51"/>
    <n v="96"/>
    <n v="260"/>
    <n v="368"/>
    <n v="39"/>
    <x v="1991"/>
    <x v="0"/>
  </r>
  <r>
    <n v="38001"/>
    <x v="34"/>
    <s v="Adams"/>
    <n v="44"/>
    <n v="13"/>
    <m/>
    <m/>
    <n v="12"/>
    <m/>
    <m/>
    <m/>
    <n v="30"/>
    <m/>
    <m/>
    <x v="1992"/>
    <x v="0"/>
  </r>
  <r>
    <n v="38003"/>
    <x v="34"/>
    <s v="Barnes"/>
    <n v="219"/>
    <n v="53"/>
    <n v="23"/>
    <n v="30"/>
    <n v="63"/>
    <n v="50"/>
    <n v="49"/>
    <n v="55"/>
    <n v="115"/>
    <n v="200"/>
    <n v="19"/>
    <x v="1993"/>
    <x v="0"/>
  </r>
  <r>
    <n v="38005"/>
    <x v="34"/>
    <s v="Benson"/>
    <n v="79"/>
    <n v="19"/>
    <n v="10"/>
    <n v="13"/>
    <n v="23"/>
    <n v="14"/>
    <n v="13"/>
    <n v="22"/>
    <n v="44"/>
    <n v="69"/>
    <n v="10"/>
    <x v="1994"/>
    <x v="0"/>
  </r>
  <r>
    <n v="38007"/>
    <x v="34"/>
    <s v="Billings"/>
    <n v="18"/>
    <m/>
    <m/>
    <m/>
    <m/>
    <m/>
    <m/>
    <m/>
    <m/>
    <m/>
    <m/>
    <x v="1995"/>
    <x v="0"/>
  </r>
  <r>
    <n v="38009"/>
    <x v="34"/>
    <s v="Bottineau"/>
    <n v="166"/>
    <n v="39"/>
    <n v="25"/>
    <n v="22"/>
    <n v="53"/>
    <n v="27"/>
    <n v="38"/>
    <n v="58"/>
    <n v="70"/>
    <n v="151"/>
    <n v="15"/>
    <x v="1996"/>
    <x v="0"/>
  </r>
  <r>
    <n v="38011"/>
    <x v="34"/>
    <s v="Bowman"/>
    <n v="63"/>
    <n v="20"/>
    <m/>
    <m/>
    <n v="15"/>
    <n v="11"/>
    <n v="11"/>
    <n v="17"/>
    <n v="35"/>
    <m/>
    <m/>
    <x v="1997"/>
    <x v="0"/>
  </r>
  <r>
    <n v="38013"/>
    <x v="34"/>
    <s v="Burke"/>
    <n v="37"/>
    <n v="14"/>
    <m/>
    <m/>
    <m/>
    <m/>
    <m/>
    <m/>
    <n v="18"/>
    <m/>
    <m/>
    <x v="1998"/>
    <x v="0"/>
  </r>
  <r>
    <n v="38015"/>
    <x v="34"/>
    <s v="Burleigh"/>
    <n v="1867"/>
    <n v="470"/>
    <n v="243"/>
    <n v="281"/>
    <n v="513"/>
    <n v="360"/>
    <n v="448"/>
    <n v="651"/>
    <n v="768"/>
    <n v="1659"/>
    <n v="208"/>
    <x v="1999"/>
    <x v="0"/>
  </r>
  <r>
    <n v="38017"/>
    <x v="34"/>
    <s v="Cass"/>
    <n v="3568"/>
    <n v="952"/>
    <n v="383"/>
    <n v="476"/>
    <n v="1032"/>
    <n v="725"/>
    <n v="963"/>
    <n v="1109"/>
    <n v="1496"/>
    <n v="3223"/>
    <n v="344"/>
    <x v="2000"/>
    <x v="0"/>
  </r>
  <r>
    <n v="38019"/>
    <x v="34"/>
    <s v="Cavalier"/>
    <n v="60"/>
    <n v="20"/>
    <n v="10"/>
    <m/>
    <n v="20"/>
    <m/>
    <n v="10"/>
    <n v="23"/>
    <n v="27"/>
    <m/>
    <m/>
    <x v="2001"/>
    <x v="0"/>
  </r>
  <r>
    <n v="38021"/>
    <x v="34"/>
    <s v="Dickey"/>
    <n v="82"/>
    <n v="30"/>
    <m/>
    <m/>
    <n v="16"/>
    <n v="17"/>
    <n v="16"/>
    <n v="26"/>
    <n v="40"/>
    <m/>
    <m/>
    <x v="2002"/>
    <x v="0"/>
  </r>
  <r>
    <n v="38023"/>
    <x v="34"/>
    <s v="Divide"/>
    <n v="45"/>
    <m/>
    <m/>
    <n v="11"/>
    <n v="12"/>
    <m/>
    <m/>
    <m/>
    <n v="20"/>
    <m/>
    <m/>
    <x v="2003"/>
    <x v="0"/>
  </r>
  <r>
    <n v="38025"/>
    <x v="34"/>
    <s v="Dunn"/>
    <n v="83"/>
    <m/>
    <m/>
    <n v="15"/>
    <n v="29"/>
    <n v="20"/>
    <n v="29"/>
    <n v="30"/>
    <n v="24"/>
    <n v="70"/>
    <n v="13"/>
    <x v="2004"/>
    <x v="0"/>
  </r>
  <r>
    <n v="38027"/>
    <x v="34"/>
    <s v="Eddy"/>
    <n v="52"/>
    <n v="11"/>
    <m/>
    <m/>
    <n v="15"/>
    <n v="13"/>
    <n v="12"/>
    <n v="12"/>
    <n v="28"/>
    <m/>
    <m/>
    <x v="2005"/>
    <x v="0"/>
  </r>
  <r>
    <n v="38029"/>
    <x v="34"/>
    <s v="Emmons"/>
    <n v="64"/>
    <n v="17"/>
    <m/>
    <n v="13"/>
    <n v="22"/>
    <m/>
    <m/>
    <m/>
    <n v="39"/>
    <n v="54"/>
    <n v="10"/>
    <x v="2006"/>
    <x v="0"/>
  </r>
  <r>
    <n v="38031"/>
    <x v="34"/>
    <s v="Foster"/>
    <n v="55"/>
    <n v="19"/>
    <m/>
    <m/>
    <n v="10"/>
    <n v="10"/>
    <n v="16"/>
    <n v="12"/>
    <n v="27"/>
    <m/>
    <m/>
    <x v="2007"/>
    <x v="0"/>
  </r>
  <r>
    <n v="38033"/>
    <x v="34"/>
    <s v="Golden Valley"/>
    <n v="38"/>
    <n v="12"/>
    <m/>
    <m/>
    <n v="10"/>
    <m/>
    <m/>
    <m/>
    <n v="24"/>
    <m/>
    <m/>
    <x v="2008"/>
    <x v="0"/>
  </r>
  <r>
    <n v="38035"/>
    <x v="34"/>
    <s v="Grand Forks"/>
    <n v="1798"/>
    <n v="400"/>
    <n v="255"/>
    <n v="274"/>
    <n v="544"/>
    <n v="325"/>
    <n v="584"/>
    <n v="596"/>
    <n v="618"/>
    <n v="1597"/>
    <n v="201"/>
    <x v="2009"/>
    <x v="0"/>
  </r>
  <r>
    <n v="38037"/>
    <x v="34"/>
    <s v="Grant"/>
    <n v="48"/>
    <m/>
    <m/>
    <m/>
    <n v="16"/>
    <n v="13"/>
    <m/>
    <m/>
    <n v="24"/>
    <m/>
    <m/>
    <x v="2010"/>
    <x v="0"/>
  </r>
  <r>
    <n v="38039"/>
    <x v="34"/>
    <s v="Griggs"/>
    <n v="52"/>
    <n v="19"/>
    <m/>
    <m/>
    <n v="10"/>
    <n v="11"/>
    <m/>
    <m/>
    <n v="36"/>
    <m/>
    <m/>
    <x v="2011"/>
    <x v="0"/>
  </r>
  <r>
    <n v="38041"/>
    <x v="34"/>
    <s v="Hettinger"/>
    <n v="50"/>
    <n v="10"/>
    <m/>
    <m/>
    <n v="20"/>
    <m/>
    <n v="12"/>
    <n v="16"/>
    <n v="22"/>
    <m/>
    <m/>
    <x v="2012"/>
    <x v="0"/>
  </r>
  <r>
    <n v="38043"/>
    <x v="34"/>
    <s v="Kidder"/>
    <n v="35"/>
    <m/>
    <m/>
    <m/>
    <n v="11"/>
    <n v="11"/>
    <m/>
    <m/>
    <n v="22"/>
    <m/>
    <m/>
    <x v="2013"/>
    <x v="0"/>
  </r>
  <r>
    <n v="38045"/>
    <x v="34"/>
    <s v="LaMoure"/>
    <n v="68"/>
    <n v="24"/>
    <m/>
    <m/>
    <n v="18"/>
    <n v="14"/>
    <m/>
    <m/>
    <n v="37"/>
    <m/>
    <m/>
    <x v="2014"/>
    <x v="0"/>
  </r>
  <r>
    <n v="38047"/>
    <x v="34"/>
    <s v="Logan"/>
    <n v="28"/>
    <m/>
    <m/>
    <m/>
    <n v="12"/>
    <m/>
    <m/>
    <m/>
    <n v="15"/>
    <m/>
    <m/>
    <x v="2015"/>
    <x v="0"/>
  </r>
  <r>
    <n v="38049"/>
    <x v="34"/>
    <s v="McHenry"/>
    <n v="152"/>
    <n v="25"/>
    <n v="23"/>
    <n v="20"/>
    <n v="45"/>
    <n v="39"/>
    <n v="28"/>
    <n v="49"/>
    <n v="75"/>
    <n v="135"/>
    <n v="17"/>
    <x v="2016"/>
    <x v="0"/>
  </r>
  <r>
    <n v="38051"/>
    <x v="34"/>
    <s v="McIntosh"/>
    <n v="37"/>
    <m/>
    <m/>
    <m/>
    <n v="11"/>
    <m/>
    <m/>
    <m/>
    <n v="24"/>
    <m/>
    <m/>
    <x v="2017"/>
    <x v="0"/>
  </r>
  <r>
    <n v="38053"/>
    <x v="34"/>
    <s v="McKenzie"/>
    <n v="201"/>
    <n v="53"/>
    <n v="19"/>
    <n v="36"/>
    <n v="64"/>
    <n v="29"/>
    <n v="74"/>
    <n v="73"/>
    <n v="54"/>
    <n v="184"/>
    <n v="17"/>
    <x v="2018"/>
    <x v="0"/>
  </r>
  <r>
    <n v="38055"/>
    <x v="34"/>
    <s v="McLean"/>
    <n v="235"/>
    <n v="64"/>
    <n v="35"/>
    <n v="24"/>
    <n v="61"/>
    <n v="51"/>
    <n v="34"/>
    <n v="64"/>
    <n v="137"/>
    <n v="216"/>
    <n v="19"/>
    <x v="2019"/>
    <x v="0"/>
  </r>
  <r>
    <n v="38057"/>
    <x v="34"/>
    <s v="Mercer"/>
    <n v="176"/>
    <n v="48"/>
    <n v="20"/>
    <n v="25"/>
    <n v="49"/>
    <n v="34"/>
    <n v="36"/>
    <n v="47"/>
    <n v="93"/>
    <n v="163"/>
    <n v="13"/>
    <x v="2020"/>
    <x v="0"/>
  </r>
  <r>
    <n v="38059"/>
    <x v="34"/>
    <s v="Morton"/>
    <n v="646"/>
    <n v="178"/>
    <n v="85"/>
    <n v="87"/>
    <n v="187"/>
    <n v="109"/>
    <n v="159"/>
    <n v="189"/>
    <n v="298"/>
    <n v="602"/>
    <n v="44"/>
    <x v="2021"/>
    <x v="0"/>
  </r>
  <r>
    <n v="38061"/>
    <x v="34"/>
    <s v="Mountrail"/>
    <n v="132"/>
    <n v="36"/>
    <n v="20"/>
    <n v="24"/>
    <n v="28"/>
    <n v="24"/>
    <n v="34"/>
    <n v="41"/>
    <n v="57"/>
    <n v="116"/>
    <n v="16"/>
    <x v="2022"/>
    <x v="0"/>
  </r>
  <r>
    <n v="38063"/>
    <x v="34"/>
    <s v="Nelson"/>
    <n v="94"/>
    <n v="24"/>
    <n v="17"/>
    <n v="12"/>
    <n v="28"/>
    <n v="13"/>
    <m/>
    <m/>
    <n v="61"/>
    <n v="82"/>
    <n v="12"/>
    <x v="2023"/>
    <x v="0"/>
  </r>
  <r>
    <n v="38065"/>
    <x v="34"/>
    <s v="Oliver"/>
    <n v="39"/>
    <m/>
    <m/>
    <m/>
    <n v="11"/>
    <n v="11"/>
    <m/>
    <m/>
    <n v="20"/>
    <m/>
    <m/>
    <x v="2024"/>
    <x v="0"/>
  </r>
  <r>
    <n v="38067"/>
    <x v="34"/>
    <s v="Pembina"/>
    <n v="169"/>
    <n v="43"/>
    <n v="29"/>
    <n v="18"/>
    <n v="47"/>
    <n v="32"/>
    <n v="35"/>
    <n v="38"/>
    <n v="96"/>
    <m/>
    <m/>
    <x v="2025"/>
    <x v="0"/>
  </r>
  <r>
    <n v="38069"/>
    <x v="34"/>
    <s v="Pierce"/>
    <n v="63"/>
    <n v="16"/>
    <m/>
    <m/>
    <n v="20"/>
    <n v="16"/>
    <n v="10"/>
    <n v="15"/>
    <n v="38"/>
    <m/>
    <m/>
    <x v="2026"/>
    <x v="0"/>
  </r>
  <r>
    <n v="38071"/>
    <x v="34"/>
    <s v="Ramsey"/>
    <n v="244"/>
    <n v="60"/>
    <n v="23"/>
    <n v="39"/>
    <n v="70"/>
    <n v="52"/>
    <n v="33"/>
    <n v="94"/>
    <n v="117"/>
    <n v="221"/>
    <n v="23"/>
    <x v="2027"/>
    <x v="0"/>
  </r>
  <r>
    <n v="38073"/>
    <x v="34"/>
    <s v="Ransom"/>
    <n v="167"/>
    <n v="29"/>
    <n v="12"/>
    <n v="25"/>
    <n v="61"/>
    <n v="40"/>
    <n v="19"/>
    <n v="31"/>
    <n v="117"/>
    <m/>
    <m/>
    <x v="2028"/>
    <x v="0"/>
  </r>
  <r>
    <n v="38075"/>
    <x v="34"/>
    <s v="Renville"/>
    <n v="103"/>
    <n v="18"/>
    <n v="15"/>
    <n v="12"/>
    <n v="32"/>
    <n v="26"/>
    <n v="30"/>
    <n v="43"/>
    <n v="30"/>
    <n v="91"/>
    <n v="12"/>
    <x v="2029"/>
    <x v="0"/>
  </r>
  <r>
    <n v="38077"/>
    <x v="34"/>
    <s v="Richland"/>
    <n v="345"/>
    <n v="96"/>
    <n v="27"/>
    <n v="41"/>
    <n v="104"/>
    <n v="77"/>
    <n v="74"/>
    <n v="89"/>
    <n v="182"/>
    <n v="323"/>
    <n v="22"/>
    <x v="2030"/>
    <x v="0"/>
  </r>
  <r>
    <n v="38079"/>
    <x v="34"/>
    <s v="Rolette"/>
    <n v="156"/>
    <n v="44"/>
    <n v="14"/>
    <n v="15"/>
    <n v="50"/>
    <n v="33"/>
    <n v="24"/>
    <n v="50"/>
    <n v="82"/>
    <n v="146"/>
    <n v="10"/>
    <x v="2031"/>
    <x v="0"/>
  </r>
  <r>
    <n v="38081"/>
    <x v="34"/>
    <s v="Sargent"/>
    <n v="70"/>
    <n v="17"/>
    <m/>
    <m/>
    <n v="22"/>
    <n v="13"/>
    <n v="15"/>
    <n v="16"/>
    <n v="39"/>
    <m/>
    <m/>
    <x v="2032"/>
    <x v="0"/>
  </r>
  <r>
    <n v="38083"/>
    <x v="34"/>
    <s v="Sheridan"/>
    <n v="18"/>
    <m/>
    <m/>
    <m/>
    <m/>
    <m/>
    <m/>
    <m/>
    <m/>
    <m/>
    <m/>
    <x v="2033"/>
    <x v="0"/>
  </r>
  <r>
    <n v="38085"/>
    <x v="34"/>
    <s v="Sioux"/>
    <n v="37"/>
    <m/>
    <m/>
    <m/>
    <n v="17"/>
    <m/>
    <n v="10"/>
    <n v="14"/>
    <n v="13"/>
    <m/>
    <m/>
    <x v="2034"/>
    <x v="0"/>
  </r>
  <r>
    <n v="38087"/>
    <x v="34"/>
    <s v="Slope"/>
    <n v="17"/>
    <m/>
    <m/>
    <m/>
    <m/>
    <m/>
    <m/>
    <m/>
    <m/>
    <m/>
    <m/>
    <x v="2035"/>
    <x v="0"/>
  </r>
  <r>
    <n v="38089"/>
    <x v="34"/>
    <s v="Stark"/>
    <n v="597"/>
    <n v="110"/>
    <n v="48"/>
    <n v="67"/>
    <n v="239"/>
    <n v="133"/>
    <n v="214"/>
    <n v="175"/>
    <n v="208"/>
    <n v="545"/>
    <n v="52"/>
    <x v="2036"/>
    <x v="0"/>
  </r>
  <r>
    <n v="38091"/>
    <x v="34"/>
    <s v="Steele"/>
    <n v="57"/>
    <n v="20"/>
    <m/>
    <m/>
    <n v="11"/>
    <n v="15"/>
    <m/>
    <m/>
    <n v="43"/>
    <m/>
    <m/>
    <x v="2037"/>
    <x v="0"/>
  </r>
  <r>
    <n v="38093"/>
    <x v="34"/>
    <s v="Stutsman"/>
    <n v="392"/>
    <n v="118"/>
    <n v="45"/>
    <n v="58"/>
    <n v="106"/>
    <n v="65"/>
    <n v="77"/>
    <n v="115"/>
    <n v="200"/>
    <n v="366"/>
    <n v="26"/>
    <x v="2038"/>
    <x v="0"/>
  </r>
  <r>
    <n v="38095"/>
    <x v="34"/>
    <s v="Towner"/>
    <n v="43"/>
    <n v="13"/>
    <m/>
    <m/>
    <m/>
    <n v="12"/>
    <m/>
    <m/>
    <n v="23"/>
    <m/>
    <m/>
    <x v="2039"/>
    <x v="0"/>
  </r>
  <r>
    <n v="38097"/>
    <x v="34"/>
    <s v="Traill"/>
    <n v="191"/>
    <n v="49"/>
    <n v="24"/>
    <n v="20"/>
    <n v="57"/>
    <n v="41"/>
    <n v="32"/>
    <n v="64"/>
    <n v="95"/>
    <n v="180"/>
    <n v="11"/>
    <x v="2040"/>
    <x v="0"/>
  </r>
  <r>
    <n v="38099"/>
    <x v="34"/>
    <s v="Walsh"/>
    <n v="142"/>
    <n v="33"/>
    <m/>
    <m/>
    <n v="39"/>
    <n v="41"/>
    <n v="26"/>
    <n v="46"/>
    <n v="70"/>
    <m/>
    <m/>
    <x v="2041"/>
    <x v="0"/>
  </r>
  <r>
    <n v="38101"/>
    <x v="34"/>
    <s v="Ward"/>
    <n v="2524"/>
    <n v="489"/>
    <n v="299"/>
    <n v="374"/>
    <n v="818"/>
    <n v="544"/>
    <n v="974"/>
    <n v="876"/>
    <n v="674"/>
    <n v="2137"/>
    <n v="387"/>
    <x v="2042"/>
    <x v="0"/>
  </r>
  <r>
    <n v="38103"/>
    <x v="34"/>
    <s v="Wells"/>
    <n v="63"/>
    <n v="16"/>
    <m/>
    <m/>
    <n v="19"/>
    <n v="13"/>
    <m/>
    <m/>
    <n v="33"/>
    <n v="49"/>
    <n v="14"/>
    <x v="2043"/>
    <x v="0"/>
  </r>
  <r>
    <n v="38105"/>
    <x v="34"/>
    <s v="Williams"/>
    <n v="608"/>
    <n v="149"/>
    <n v="69"/>
    <n v="91"/>
    <n v="188"/>
    <n v="111"/>
    <n v="237"/>
    <n v="218"/>
    <n v="153"/>
    <n v="551"/>
    <n v="57"/>
    <x v="2044"/>
    <x v="0"/>
  </r>
  <r>
    <n v="39001"/>
    <x v="35"/>
    <s v="Adams"/>
    <n v="538"/>
    <n v="156"/>
    <n v="65"/>
    <n v="80"/>
    <n v="127"/>
    <n v="110"/>
    <n v="114"/>
    <n v="144"/>
    <n v="280"/>
    <n v="511"/>
    <n v="27"/>
    <x v="2045"/>
    <x v="0"/>
  </r>
  <r>
    <n v="39003"/>
    <x v="35"/>
    <s v="Allen"/>
    <n v="1547"/>
    <n v="351"/>
    <n v="207"/>
    <n v="197"/>
    <n v="457"/>
    <n v="335"/>
    <n v="436"/>
    <n v="464"/>
    <n v="647"/>
    <n v="1418"/>
    <n v="129"/>
    <x v="2046"/>
    <x v="0"/>
  </r>
  <r>
    <n v="39005"/>
    <x v="35"/>
    <s v="Ashland"/>
    <n v="1021"/>
    <n v="263"/>
    <n v="129"/>
    <n v="116"/>
    <n v="313"/>
    <n v="200"/>
    <n v="267"/>
    <n v="265"/>
    <n v="489"/>
    <n v="945"/>
    <n v="76"/>
    <x v="2047"/>
    <x v="0"/>
  </r>
  <r>
    <n v="39007"/>
    <x v="35"/>
    <s v="Ashtabula"/>
    <n v="2232"/>
    <n v="574"/>
    <n v="270"/>
    <n v="260"/>
    <n v="621"/>
    <n v="507"/>
    <n v="529"/>
    <n v="640"/>
    <n v="1063"/>
    <n v="2053"/>
    <n v="179"/>
    <x v="2048"/>
    <x v="0"/>
  </r>
  <r>
    <n v="39009"/>
    <x v="35"/>
    <s v="Athens"/>
    <n v="981"/>
    <n v="235"/>
    <n v="121"/>
    <n v="123"/>
    <n v="298"/>
    <n v="204"/>
    <n v="250"/>
    <n v="272"/>
    <n v="459"/>
    <n v="910"/>
    <n v="70"/>
    <x v="2049"/>
    <x v="0"/>
  </r>
  <r>
    <n v="39011"/>
    <x v="35"/>
    <s v="Auglaize"/>
    <n v="725"/>
    <n v="160"/>
    <n v="99"/>
    <n v="106"/>
    <n v="223"/>
    <n v="137"/>
    <n v="213"/>
    <n v="201"/>
    <n v="311"/>
    <n v="684"/>
    <n v="41"/>
    <x v="2050"/>
    <x v="0"/>
  </r>
  <r>
    <n v="39013"/>
    <x v="35"/>
    <s v="Belmont"/>
    <n v="1356"/>
    <n v="442"/>
    <n v="202"/>
    <n v="181"/>
    <n v="298"/>
    <n v="233"/>
    <n v="205"/>
    <n v="370"/>
    <n v="781"/>
    <n v="1275"/>
    <n v="81"/>
    <x v="2051"/>
    <x v="0"/>
  </r>
  <r>
    <n v="39015"/>
    <x v="35"/>
    <s v="Brown"/>
    <n v="988"/>
    <n v="244"/>
    <n v="124"/>
    <n v="114"/>
    <n v="293"/>
    <n v="213"/>
    <n v="238"/>
    <n v="244"/>
    <n v="506"/>
    <n v="919"/>
    <n v="69"/>
    <x v="2052"/>
    <x v="0"/>
  </r>
  <r>
    <n v="39017"/>
    <x v="35"/>
    <s v="Butler"/>
    <n v="5980"/>
    <n v="1836"/>
    <n v="784"/>
    <n v="757"/>
    <n v="1528"/>
    <n v="1075"/>
    <n v="1610"/>
    <n v="1777"/>
    <n v="2593"/>
    <n v="5484"/>
    <n v="495"/>
    <x v="2053"/>
    <x v="0"/>
  </r>
  <r>
    <n v="39019"/>
    <x v="35"/>
    <s v="Carroll"/>
    <n v="497"/>
    <n v="135"/>
    <n v="60"/>
    <n v="67"/>
    <n v="134"/>
    <n v="101"/>
    <n v="116"/>
    <n v="153"/>
    <n v="228"/>
    <n v="462"/>
    <n v="35"/>
    <x v="2054"/>
    <x v="0"/>
  </r>
  <r>
    <n v="39021"/>
    <x v="35"/>
    <s v="Champaign"/>
    <n v="703"/>
    <n v="177"/>
    <n v="95"/>
    <n v="99"/>
    <n v="196"/>
    <n v="136"/>
    <n v="184"/>
    <n v="231"/>
    <n v="288"/>
    <n v="628"/>
    <n v="75"/>
    <x v="2055"/>
    <x v="0"/>
  </r>
  <r>
    <n v="39023"/>
    <x v="35"/>
    <s v="Clark"/>
    <n v="3076"/>
    <n v="675"/>
    <n v="423"/>
    <n v="428"/>
    <n v="930"/>
    <n v="620"/>
    <n v="735"/>
    <n v="978"/>
    <n v="1363"/>
    <n v="2722"/>
    <n v="353"/>
    <x v="2056"/>
    <x v="0"/>
  </r>
  <r>
    <n v="39025"/>
    <x v="35"/>
    <s v="Clermont"/>
    <n v="4098"/>
    <n v="1154"/>
    <n v="552"/>
    <n v="554"/>
    <n v="1107"/>
    <n v="731"/>
    <n v="1256"/>
    <n v="1120"/>
    <n v="1722"/>
    <n v="3782"/>
    <n v="315"/>
    <x v="2057"/>
    <x v="0"/>
  </r>
  <r>
    <n v="39027"/>
    <x v="35"/>
    <s v="Clinton"/>
    <n v="889"/>
    <n v="201"/>
    <n v="133"/>
    <n v="113"/>
    <n v="263"/>
    <n v="179"/>
    <n v="221"/>
    <n v="281"/>
    <n v="387"/>
    <n v="831"/>
    <n v="58"/>
    <x v="2058"/>
    <x v="0"/>
  </r>
  <r>
    <n v="39029"/>
    <x v="35"/>
    <s v="Columbiana"/>
    <n v="2040"/>
    <n v="506"/>
    <n v="252"/>
    <n v="270"/>
    <n v="561"/>
    <n v="451"/>
    <n v="479"/>
    <n v="603"/>
    <n v="958"/>
    <n v="1865"/>
    <n v="175"/>
    <x v="2059"/>
    <x v="0"/>
  </r>
  <r>
    <n v="39031"/>
    <x v="35"/>
    <s v="Coshocton"/>
    <n v="737"/>
    <n v="206"/>
    <n v="101"/>
    <n v="81"/>
    <n v="215"/>
    <n v="134"/>
    <n v="194"/>
    <n v="205"/>
    <n v="338"/>
    <n v="680"/>
    <n v="56"/>
    <x v="2060"/>
    <x v="0"/>
  </r>
  <r>
    <n v="39033"/>
    <x v="35"/>
    <s v="Crawford"/>
    <n v="698"/>
    <n v="188"/>
    <n v="85"/>
    <n v="90"/>
    <n v="208"/>
    <n v="127"/>
    <n v="165"/>
    <n v="202"/>
    <n v="331"/>
    <n v="645"/>
    <n v="53"/>
    <x v="2061"/>
    <x v="0"/>
  </r>
  <r>
    <n v="39035"/>
    <x v="35"/>
    <s v="Cuyahoga"/>
    <n v="15046"/>
    <n v="3577"/>
    <n v="1867"/>
    <n v="1860"/>
    <n v="4225"/>
    <n v="3517"/>
    <n v="3854"/>
    <n v="4374"/>
    <n v="6818"/>
    <n v="13183"/>
    <n v="1863"/>
    <x v="2062"/>
    <x v="0"/>
  </r>
  <r>
    <n v="39037"/>
    <x v="35"/>
    <s v="Darke"/>
    <n v="824"/>
    <n v="209"/>
    <n v="109"/>
    <n v="112"/>
    <n v="213"/>
    <n v="181"/>
    <n v="218"/>
    <n v="226"/>
    <n v="380"/>
    <n v="759"/>
    <n v="65"/>
    <x v="2063"/>
    <x v="0"/>
  </r>
  <r>
    <n v="39039"/>
    <x v="35"/>
    <s v="Defiance"/>
    <n v="819"/>
    <n v="296"/>
    <n v="111"/>
    <n v="90"/>
    <n v="179"/>
    <n v="143"/>
    <n v="182"/>
    <n v="205"/>
    <n v="432"/>
    <n v="762"/>
    <n v="56"/>
    <x v="2064"/>
    <x v="0"/>
  </r>
  <r>
    <n v="39041"/>
    <x v="35"/>
    <s v="Delaware"/>
    <n v="2829"/>
    <n v="681"/>
    <n v="347"/>
    <n v="368"/>
    <n v="759"/>
    <n v="674"/>
    <n v="938"/>
    <n v="862"/>
    <n v="1029"/>
    <n v="2555"/>
    <n v="274"/>
    <x v="2065"/>
    <x v="0"/>
  </r>
  <r>
    <n v="39043"/>
    <x v="35"/>
    <s v="Erie"/>
    <n v="1335"/>
    <n v="298"/>
    <n v="159"/>
    <n v="145"/>
    <n v="404"/>
    <n v="329"/>
    <n v="312"/>
    <n v="395"/>
    <n v="628"/>
    <n v="1194"/>
    <n v="141"/>
    <x v="2066"/>
    <x v="0"/>
  </r>
  <r>
    <n v="39045"/>
    <x v="35"/>
    <s v="Fairfield"/>
    <n v="3319"/>
    <n v="732"/>
    <n v="433"/>
    <n v="439"/>
    <n v="942"/>
    <n v="773"/>
    <n v="1056"/>
    <n v="1157"/>
    <n v="1106"/>
    <n v="2953"/>
    <n v="366"/>
    <x v="2067"/>
    <x v="0"/>
  </r>
  <r>
    <n v="39047"/>
    <x v="35"/>
    <s v="Fayette"/>
    <n v="553"/>
    <n v="107"/>
    <n v="78"/>
    <n v="55"/>
    <n v="190"/>
    <n v="123"/>
    <n v="168"/>
    <n v="153"/>
    <n v="232"/>
    <n v="512"/>
    <n v="41"/>
    <x v="2068"/>
    <x v="0"/>
  </r>
  <r>
    <n v="39049"/>
    <x v="35"/>
    <s v="Franklin"/>
    <n v="14582"/>
    <n v="3469"/>
    <n v="1996"/>
    <n v="1989"/>
    <n v="4148"/>
    <n v="2980"/>
    <n v="4908"/>
    <n v="4495"/>
    <n v="5179"/>
    <n v="12596"/>
    <n v="1985"/>
    <x v="2069"/>
    <x v="0"/>
  </r>
  <r>
    <n v="39051"/>
    <x v="35"/>
    <s v="Fulton"/>
    <n v="697"/>
    <n v="186"/>
    <n v="101"/>
    <n v="111"/>
    <n v="179"/>
    <n v="120"/>
    <n v="199"/>
    <n v="191"/>
    <n v="307"/>
    <n v="629"/>
    <n v="68"/>
    <x v="2070"/>
    <x v="0"/>
  </r>
  <r>
    <n v="39053"/>
    <x v="35"/>
    <s v="Gallia"/>
    <n v="630"/>
    <n v="166"/>
    <n v="67"/>
    <n v="83"/>
    <n v="167"/>
    <n v="147"/>
    <n v="128"/>
    <n v="199"/>
    <n v="303"/>
    <n v="588"/>
    <n v="42"/>
    <x v="2071"/>
    <x v="0"/>
  </r>
  <r>
    <n v="39055"/>
    <x v="35"/>
    <s v="Geauga"/>
    <n v="1492"/>
    <n v="510"/>
    <n v="212"/>
    <n v="159"/>
    <n v="306"/>
    <n v="305"/>
    <n v="328"/>
    <n v="359"/>
    <n v="805"/>
    <n v="1378"/>
    <n v="114"/>
    <x v="2072"/>
    <x v="0"/>
  </r>
  <r>
    <n v="39057"/>
    <x v="35"/>
    <s v="Greene"/>
    <n v="6947"/>
    <n v="1380"/>
    <n v="926"/>
    <n v="915"/>
    <n v="1998"/>
    <n v="1728"/>
    <n v="1761"/>
    <n v="2926"/>
    <n v="2260"/>
    <n v="5788"/>
    <n v="1159"/>
    <x v="2073"/>
    <x v="0"/>
  </r>
  <r>
    <n v="39059"/>
    <x v="35"/>
    <s v="Guernsey"/>
    <n v="865"/>
    <n v="176"/>
    <n v="117"/>
    <n v="103"/>
    <n v="249"/>
    <n v="220"/>
    <n v="218"/>
    <n v="260"/>
    <n v="387"/>
    <n v="783"/>
    <n v="82"/>
    <x v="2074"/>
    <x v="0"/>
  </r>
  <r>
    <n v="39061"/>
    <x v="35"/>
    <s v="Hamilton"/>
    <n v="9012"/>
    <n v="2471"/>
    <n v="1255"/>
    <n v="1262"/>
    <n v="2390"/>
    <n v="1634"/>
    <n v="2557"/>
    <n v="2498"/>
    <n v="3957"/>
    <n v="8001"/>
    <n v="1008"/>
    <x v="2075"/>
    <x v="0"/>
  </r>
  <r>
    <n v="39063"/>
    <x v="35"/>
    <s v="Hancock"/>
    <n v="1207"/>
    <n v="422"/>
    <n v="165"/>
    <n v="160"/>
    <n v="251"/>
    <n v="209"/>
    <n v="326"/>
    <n v="324"/>
    <n v="557"/>
    <n v="1099"/>
    <n v="108"/>
    <x v="2076"/>
    <x v="0"/>
  </r>
  <r>
    <n v="39065"/>
    <x v="35"/>
    <s v="Hardin"/>
    <n v="434"/>
    <n v="113"/>
    <n v="52"/>
    <n v="61"/>
    <n v="114"/>
    <n v="94"/>
    <n v="115"/>
    <n v="113"/>
    <n v="206"/>
    <n v="402"/>
    <n v="32"/>
    <x v="2077"/>
    <x v="0"/>
  </r>
  <r>
    <n v="39067"/>
    <x v="35"/>
    <s v="Harrison"/>
    <n v="284"/>
    <n v="65"/>
    <n v="44"/>
    <n v="31"/>
    <n v="84"/>
    <n v="60"/>
    <n v="64"/>
    <n v="78"/>
    <n v="142"/>
    <n v="260"/>
    <n v="24"/>
    <x v="2078"/>
    <x v="0"/>
  </r>
  <r>
    <n v="39069"/>
    <x v="35"/>
    <s v="Henry"/>
    <n v="392"/>
    <n v="124"/>
    <n v="51"/>
    <n v="51"/>
    <n v="91"/>
    <n v="75"/>
    <n v="99"/>
    <n v="111"/>
    <n v="182"/>
    <n v="368"/>
    <n v="24"/>
    <x v="2079"/>
    <x v="0"/>
  </r>
  <r>
    <n v="39071"/>
    <x v="35"/>
    <s v="Highland"/>
    <n v="962"/>
    <n v="255"/>
    <n v="116"/>
    <n v="114"/>
    <n v="260"/>
    <n v="217"/>
    <n v="202"/>
    <n v="320"/>
    <n v="440"/>
    <n v="890"/>
    <n v="72"/>
    <x v="2080"/>
    <x v="0"/>
  </r>
  <r>
    <n v="39073"/>
    <x v="35"/>
    <s v="Hocking"/>
    <n v="592"/>
    <n v="138"/>
    <n v="68"/>
    <n v="73"/>
    <n v="176"/>
    <n v="137"/>
    <n v="138"/>
    <n v="178"/>
    <n v="276"/>
    <n v="539"/>
    <n v="53"/>
    <x v="2081"/>
    <x v="0"/>
  </r>
  <r>
    <n v="39075"/>
    <x v="35"/>
    <s v="Holmes"/>
    <n v="329"/>
    <n v="79"/>
    <n v="48"/>
    <n v="41"/>
    <n v="97"/>
    <n v="64"/>
    <n v="71"/>
    <n v="75"/>
    <n v="183"/>
    <n v="309"/>
    <n v="20"/>
    <x v="2082"/>
    <x v="0"/>
  </r>
  <r>
    <n v="39077"/>
    <x v="35"/>
    <s v="Huron"/>
    <n v="961"/>
    <n v="230"/>
    <n v="127"/>
    <n v="100"/>
    <n v="286"/>
    <n v="218"/>
    <n v="287"/>
    <n v="272"/>
    <n v="402"/>
    <n v="886"/>
    <n v="75"/>
    <x v="2083"/>
    <x v="0"/>
  </r>
  <r>
    <n v="39079"/>
    <x v="35"/>
    <s v="Jackson"/>
    <n v="811"/>
    <n v="185"/>
    <n v="86"/>
    <n v="115"/>
    <n v="234"/>
    <n v="191"/>
    <n v="183"/>
    <n v="241"/>
    <n v="387"/>
    <n v="755"/>
    <n v="55"/>
    <x v="2084"/>
    <x v="0"/>
  </r>
  <r>
    <n v="39081"/>
    <x v="35"/>
    <s v="Jefferson"/>
    <n v="1338"/>
    <n v="343"/>
    <n v="148"/>
    <n v="196"/>
    <n v="344"/>
    <n v="307"/>
    <n v="243"/>
    <n v="415"/>
    <n v="680"/>
    <n v="1245"/>
    <n v="93"/>
    <x v="2085"/>
    <x v="0"/>
  </r>
  <r>
    <n v="39083"/>
    <x v="35"/>
    <s v="Knox"/>
    <n v="1129"/>
    <n v="309"/>
    <n v="150"/>
    <n v="142"/>
    <n v="308"/>
    <n v="220"/>
    <n v="273"/>
    <n v="361"/>
    <n v="495"/>
    <n v="1039"/>
    <n v="90"/>
    <x v="2086"/>
    <x v="0"/>
  </r>
  <r>
    <n v="39085"/>
    <x v="35"/>
    <s v="Lake"/>
    <n v="4061"/>
    <n v="1080"/>
    <n v="538"/>
    <n v="491"/>
    <n v="1048"/>
    <n v="904"/>
    <n v="1047"/>
    <n v="1109"/>
    <n v="1905"/>
    <n v="3729"/>
    <n v="332"/>
    <x v="2087"/>
    <x v="0"/>
  </r>
  <r>
    <n v="39087"/>
    <x v="35"/>
    <s v="Lawrence"/>
    <n v="1414"/>
    <n v="284"/>
    <n v="148"/>
    <n v="139"/>
    <n v="438"/>
    <n v="405"/>
    <n v="269"/>
    <n v="505"/>
    <n v="640"/>
    <n v="1323"/>
    <n v="91"/>
    <x v="2088"/>
    <x v="0"/>
  </r>
  <r>
    <n v="39089"/>
    <x v="35"/>
    <s v="Licking"/>
    <n v="4110"/>
    <n v="1209"/>
    <n v="565"/>
    <n v="527"/>
    <n v="1053"/>
    <n v="756"/>
    <n v="1148"/>
    <n v="1219"/>
    <n v="1743"/>
    <n v="3736"/>
    <n v="372"/>
    <x v="2089"/>
    <x v="0"/>
  </r>
  <r>
    <n v="39091"/>
    <x v="35"/>
    <s v="Logan"/>
    <n v="795"/>
    <n v="218"/>
    <n v="116"/>
    <n v="115"/>
    <n v="194"/>
    <n v="152"/>
    <n v="208"/>
    <n v="217"/>
    <n v="370"/>
    <n v="720"/>
    <n v="75"/>
    <x v="2090"/>
    <x v="0"/>
  </r>
  <r>
    <n v="39093"/>
    <x v="35"/>
    <s v="Lorain"/>
    <n v="5575"/>
    <n v="1335"/>
    <n v="738"/>
    <n v="715"/>
    <n v="1579"/>
    <n v="1208"/>
    <n v="1530"/>
    <n v="1727"/>
    <n v="2318"/>
    <n v="4997"/>
    <n v="577"/>
    <x v="2091"/>
    <x v="0"/>
  </r>
  <r>
    <n v="39095"/>
    <x v="35"/>
    <s v="Lucas"/>
    <n v="5127"/>
    <n v="1352"/>
    <n v="661"/>
    <n v="668"/>
    <n v="1420"/>
    <n v="1026"/>
    <n v="1372"/>
    <n v="1552"/>
    <n v="2203"/>
    <n v="4596"/>
    <n v="531"/>
    <x v="2092"/>
    <x v="0"/>
  </r>
  <r>
    <n v="39097"/>
    <x v="35"/>
    <s v="Madison"/>
    <n v="643"/>
    <n v="148"/>
    <n v="93"/>
    <n v="93"/>
    <n v="193"/>
    <n v="116"/>
    <n v="205"/>
    <n v="182"/>
    <n v="256"/>
    <n v="590"/>
    <n v="53"/>
    <x v="2093"/>
    <x v="0"/>
  </r>
  <r>
    <n v="39099"/>
    <x v="35"/>
    <s v="Mahoning"/>
    <n v="3624"/>
    <n v="783"/>
    <n v="423"/>
    <n v="424"/>
    <n v="985"/>
    <n v="1009"/>
    <n v="852"/>
    <n v="1122"/>
    <n v="1650"/>
    <n v="3271"/>
    <n v="352"/>
    <x v="2094"/>
    <x v="0"/>
  </r>
  <r>
    <n v="39101"/>
    <x v="35"/>
    <s v="Marion"/>
    <n v="999"/>
    <n v="252"/>
    <n v="134"/>
    <n v="140"/>
    <n v="265"/>
    <n v="208"/>
    <n v="275"/>
    <n v="289"/>
    <n v="435"/>
    <n v="922"/>
    <n v="77"/>
    <x v="2095"/>
    <x v="0"/>
  </r>
  <r>
    <n v="39103"/>
    <x v="35"/>
    <s v="Medina"/>
    <n v="2861"/>
    <n v="701"/>
    <n v="370"/>
    <n v="342"/>
    <n v="789"/>
    <n v="659"/>
    <n v="887"/>
    <n v="818"/>
    <n v="1156"/>
    <n v="2633"/>
    <n v="227"/>
    <x v="2096"/>
    <x v="0"/>
  </r>
  <r>
    <n v="39105"/>
    <x v="35"/>
    <s v="Meigs"/>
    <n v="531"/>
    <n v="125"/>
    <n v="66"/>
    <n v="63"/>
    <n v="156"/>
    <n v="121"/>
    <n v="93"/>
    <n v="173"/>
    <n v="265"/>
    <n v="499"/>
    <n v="32"/>
    <x v="2097"/>
    <x v="0"/>
  </r>
  <r>
    <n v="39107"/>
    <x v="35"/>
    <s v="Mercer"/>
    <n v="514"/>
    <n v="142"/>
    <n v="62"/>
    <n v="91"/>
    <n v="129"/>
    <n v="90"/>
    <n v="105"/>
    <n v="142"/>
    <n v="267"/>
    <n v="482"/>
    <n v="32"/>
    <x v="2098"/>
    <x v="0"/>
  </r>
  <r>
    <n v="39109"/>
    <x v="35"/>
    <s v="Miami"/>
    <n v="2352"/>
    <n v="442"/>
    <n v="306"/>
    <n v="295"/>
    <n v="711"/>
    <n v="598"/>
    <n v="733"/>
    <n v="787"/>
    <n v="832"/>
    <n v="2079"/>
    <n v="272"/>
    <x v="2099"/>
    <x v="0"/>
  </r>
  <r>
    <n v="39111"/>
    <x v="35"/>
    <s v="Monroe"/>
    <n v="297"/>
    <n v="94"/>
    <n v="38"/>
    <n v="41"/>
    <n v="71"/>
    <n v="53"/>
    <n v="46"/>
    <n v="81"/>
    <n v="170"/>
    <n v="286"/>
    <n v="11"/>
    <x v="2100"/>
    <x v="0"/>
  </r>
  <r>
    <n v="39113"/>
    <x v="35"/>
    <s v="Montgomery"/>
    <n v="12417"/>
    <n v="2575"/>
    <n v="1599"/>
    <n v="1699"/>
    <n v="3667"/>
    <n v="2877"/>
    <n v="3299"/>
    <n v="4590"/>
    <n v="4528"/>
    <n v="10507"/>
    <n v="1910"/>
    <x v="2101"/>
    <x v="0"/>
  </r>
  <r>
    <n v="39115"/>
    <x v="35"/>
    <s v="Morgan"/>
    <n v="436"/>
    <n v="114"/>
    <n v="55"/>
    <n v="56"/>
    <n v="107"/>
    <n v="104"/>
    <n v="86"/>
    <n v="133"/>
    <n v="217"/>
    <n v="405"/>
    <n v="30"/>
    <x v="2102"/>
    <x v="0"/>
  </r>
  <r>
    <n v="39117"/>
    <x v="35"/>
    <s v="Morrow"/>
    <n v="729"/>
    <n v="188"/>
    <n v="104"/>
    <n v="92"/>
    <n v="189"/>
    <n v="156"/>
    <n v="201"/>
    <n v="236"/>
    <n v="292"/>
    <n v="674"/>
    <n v="55"/>
    <x v="2103"/>
    <x v="0"/>
  </r>
  <r>
    <n v="39119"/>
    <x v="35"/>
    <s v="Muskingum"/>
    <n v="1522"/>
    <n v="402"/>
    <n v="201"/>
    <n v="191"/>
    <n v="436"/>
    <n v="292"/>
    <n v="426"/>
    <n v="444"/>
    <n v="652"/>
    <n v="1393"/>
    <n v="129"/>
    <x v="2104"/>
    <x v="0"/>
  </r>
  <r>
    <n v="39121"/>
    <x v="35"/>
    <s v="Noble"/>
    <n v="319"/>
    <n v="92"/>
    <n v="49"/>
    <n v="40"/>
    <n v="78"/>
    <n v="60"/>
    <n v="42"/>
    <n v="103"/>
    <n v="174"/>
    <n v="305"/>
    <n v="14"/>
    <x v="2105"/>
    <x v="0"/>
  </r>
  <r>
    <n v="39123"/>
    <x v="35"/>
    <s v="Ottawa"/>
    <n v="860"/>
    <n v="243"/>
    <n v="119"/>
    <n v="97"/>
    <n v="233"/>
    <n v="168"/>
    <n v="190"/>
    <n v="245"/>
    <n v="425"/>
    <n v="805"/>
    <n v="55"/>
    <x v="2106"/>
    <x v="0"/>
  </r>
  <r>
    <n v="39125"/>
    <x v="35"/>
    <s v="Paulding"/>
    <n v="348"/>
    <n v="114"/>
    <n v="50"/>
    <n v="54"/>
    <n v="67"/>
    <n v="63"/>
    <n v="64"/>
    <n v="107"/>
    <n v="177"/>
    <n v="323"/>
    <n v="25"/>
    <x v="2107"/>
    <x v="0"/>
  </r>
  <r>
    <n v="39127"/>
    <x v="35"/>
    <s v="Perry"/>
    <n v="722"/>
    <n v="182"/>
    <n v="97"/>
    <n v="94"/>
    <n v="212"/>
    <n v="137"/>
    <n v="196"/>
    <n v="235"/>
    <n v="291"/>
    <n v="673"/>
    <n v="49"/>
    <x v="2108"/>
    <x v="0"/>
  </r>
  <r>
    <n v="39129"/>
    <x v="35"/>
    <s v="Pickaway"/>
    <n v="1332"/>
    <n v="291"/>
    <n v="168"/>
    <n v="167"/>
    <n v="409"/>
    <n v="297"/>
    <n v="436"/>
    <n v="402"/>
    <n v="494"/>
    <n v="1230"/>
    <n v="102"/>
    <x v="2109"/>
    <x v="0"/>
  </r>
  <r>
    <n v="39131"/>
    <x v="35"/>
    <s v="Pike"/>
    <n v="736"/>
    <n v="198"/>
    <n v="87"/>
    <n v="88"/>
    <n v="209"/>
    <n v="154"/>
    <n v="164"/>
    <n v="206"/>
    <n v="366"/>
    <n v="686"/>
    <n v="50"/>
    <x v="2110"/>
    <x v="0"/>
  </r>
  <r>
    <n v="39133"/>
    <x v="35"/>
    <s v="Portage"/>
    <n v="2618"/>
    <n v="658"/>
    <n v="323"/>
    <n v="330"/>
    <n v="733"/>
    <n v="574"/>
    <n v="718"/>
    <n v="799"/>
    <n v="1101"/>
    <n v="2377"/>
    <n v="241"/>
    <x v="2111"/>
    <x v="0"/>
  </r>
  <r>
    <n v="39135"/>
    <x v="35"/>
    <s v="Preble"/>
    <n v="818"/>
    <n v="196"/>
    <n v="94"/>
    <n v="105"/>
    <n v="247"/>
    <n v="176"/>
    <n v="212"/>
    <n v="206"/>
    <n v="400"/>
    <n v="754"/>
    <n v="64"/>
    <x v="2112"/>
    <x v="0"/>
  </r>
  <r>
    <n v="39137"/>
    <x v="35"/>
    <s v="Putnam"/>
    <n v="421"/>
    <n v="134"/>
    <n v="69"/>
    <n v="56"/>
    <n v="94"/>
    <n v="68"/>
    <n v="112"/>
    <n v="108"/>
    <n v="201"/>
    <n v="405"/>
    <n v="16"/>
    <x v="2113"/>
    <x v="0"/>
  </r>
  <r>
    <n v="39139"/>
    <x v="35"/>
    <s v="Richland"/>
    <n v="2481"/>
    <n v="648"/>
    <n v="314"/>
    <n v="333"/>
    <n v="654"/>
    <n v="532"/>
    <n v="636"/>
    <n v="682"/>
    <n v="1163"/>
    <n v="2273"/>
    <n v="207"/>
    <x v="2114"/>
    <x v="0"/>
  </r>
  <r>
    <n v="39141"/>
    <x v="35"/>
    <s v="Ross"/>
    <n v="1976"/>
    <n v="485"/>
    <n v="249"/>
    <n v="246"/>
    <n v="572"/>
    <n v="424"/>
    <n v="439"/>
    <n v="691"/>
    <n v="846"/>
    <n v="1804"/>
    <n v="172"/>
    <x v="2115"/>
    <x v="0"/>
  </r>
  <r>
    <n v="39143"/>
    <x v="35"/>
    <s v="Sandusky"/>
    <n v="1050"/>
    <n v="299"/>
    <n v="155"/>
    <n v="155"/>
    <n v="257"/>
    <n v="184"/>
    <n v="280"/>
    <n v="303"/>
    <n v="467"/>
    <n v="961"/>
    <n v="89"/>
    <x v="2116"/>
    <x v="0"/>
  </r>
  <r>
    <n v="39145"/>
    <x v="35"/>
    <s v="Scioto"/>
    <n v="1605"/>
    <n v="418"/>
    <n v="190"/>
    <n v="201"/>
    <n v="441"/>
    <n v="355"/>
    <n v="331"/>
    <n v="493"/>
    <n v="781"/>
    <n v="1507"/>
    <n v="98"/>
    <x v="2117"/>
    <x v="0"/>
  </r>
  <r>
    <n v="39147"/>
    <x v="35"/>
    <s v="Seneca"/>
    <n v="778"/>
    <n v="223"/>
    <n v="115"/>
    <n v="106"/>
    <n v="202"/>
    <n v="132"/>
    <n v="188"/>
    <n v="221"/>
    <n v="369"/>
    <n v="733"/>
    <n v="44"/>
    <x v="2118"/>
    <x v="0"/>
  </r>
  <r>
    <n v="39149"/>
    <x v="35"/>
    <s v="Shelby"/>
    <n v="706"/>
    <n v="171"/>
    <n v="96"/>
    <n v="123"/>
    <n v="170"/>
    <n v="146"/>
    <n v="217"/>
    <n v="184"/>
    <n v="305"/>
    <n v="648"/>
    <n v="58"/>
    <x v="2119"/>
    <x v="0"/>
  </r>
  <r>
    <n v="39151"/>
    <x v="35"/>
    <s v="Stark"/>
    <n v="6204"/>
    <n v="1420"/>
    <n v="809"/>
    <n v="737"/>
    <n v="1835"/>
    <n v="1403"/>
    <n v="1694"/>
    <n v="1862"/>
    <n v="2648"/>
    <n v="5594"/>
    <n v="610"/>
    <x v="2120"/>
    <x v="0"/>
  </r>
  <r>
    <n v="39153"/>
    <x v="35"/>
    <s v="Summit"/>
    <n v="7101"/>
    <n v="1696"/>
    <n v="881"/>
    <n v="929"/>
    <n v="2015"/>
    <n v="1580"/>
    <n v="2079"/>
    <n v="2038"/>
    <n v="2984"/>
    <n v="6321"/>
    <n v="780"/>
    <x v="2121"/>
    <x v="0"/>
  </r>
  <r>
    <n v="39155"/>
    <x v="35"/>
    <s v="Trumbull"/>
    <n v="4020"/>
    <n v="1004"/>
    <n v="471"/>
    <n v="519"/>
    <n v="1053"/>
    <n v="973"/>
    <n v="874"/>
    <n v="1185"/>
    <n v="1961"/>
    <n v="3724"/>
    <n v="296"/>
    <x v="2122"/>
    <x v="0"/>
  </r>
  <r>
    <n v="39157"/>
    <x v="35"/>
    <s v="Tuscarawas"/>
    <n v="1649"/>
    <n v="474"/>
    <n v="197"/>
    <n v="250"/>
    <n v="428"/>
    <n v="300"/>
    <n v="415"/>
    <n v="438"/>
    <n v="796"/>
    <n v="1539"/>
    <n v="110"/>
    <x v="2123"/>
    <x v="0"/>
  </r>
  <r>
    <n v="39159"/>
    <x v="35"/>
    <s v="Union"/>
    <n v="1144"/>
    <n v="264"/>
    <n v="151"/>
    <n v="167"/>
    <n v="321"/>
    <n v="241"/>
    <n v="412"/>
    <n v="309"/>
    <n v="423"/>
    <n v="1036"/>
    <n v="108"/>
    <x v="2124"/>
    <x v="0"/>
  </r>
  <r>
    <n v="39161"/>
    <x v="35"/>
    <s v="Van Wert"/>
    <n v="444"/>
    <n v="123"/>
    <n v="61"/>
    <n v="60"/>
    <n v="112"/>
    <n v="88"/>
    <n v="107"/>
    <n v="135"/>
    <n v="202"/>
    <n v="417"/>
    <n v="27"/>
    <x v="2125"/>
    <x v="0"/>
  </r>
  <r>
    <n v="39163"/>
    <x v="35"/>
    <s v="Vinton"/>
    <n v="304"/>
    <n v="64"/>
    <n v="31"/>
    <n v="44"/>
    <n v="98"/>
    <n v="67"/>
    <n v="56"/>
    <n v="86"/>
    <n v="162"/>
    <n v="288"/>
    <n v="16"/>
    <x v="2126"/>
    <x v="0"/>
  </r>
  <r>
    <n v="39165"/>
    <x v="35"/>
    <s v="Warren"/>
    <n v="4374"/>
    <n v="981"/>
    <n v="539"/>
    <n v="548"/>
    <n v="1250"/>
    <n v="1056"/>
    <n v="1287"/>
    <n v="1589"/>
    <n v="1498"/>
    <n v="3905"/>
    <n v="469"/>
    <x v="2127"/>
    <x v="0"/>
  </r>
  <r>
    <n v="39167"/>
    <x v="35"/>
    <s v="Washington"/>
    <n v="1465"/>
    <n v="353"/>
    <n v="158"/>
    <n v="177"/>
    <n v="445"/>
    <n v="332"/>
    <n v="353"/>
    <n v="447"/>
    <n v="665"/>
    <n v="1351"/>
    <n v="114"/>
    <x v="2128"/>
    <x v="0"/>
  </r>
  <r>
    <n v="39169"/>
    <x v="35"/>
    <s v="Wayne"/>
    <n v="1596"/>
    <n v="461"/>
    <n v="223"/>
    <n v="212"/>
    <n v="383"/>
    <n v="317"/>
    <n v="464"/>
    <n v="408"/>
    <n v="724"/>
    <n v="1457"/>
    <n v="138"/>
    <x v="2129"/>
    <x v="0"/>
  </r>
  <r>
    <n v="39171"/>
    <x v="35"/>
    <s v="Williams"/>
    <n v="704"/>
    <n v="214"/>
    <n v="106"/>
    <n v="76"/>
    <n v="162"/>
    <n v="146"/>
    <n v="177"/>
    <n v="204"/>
    <n v="323"/>
    <n v="648"/>
    <n v="56"/>
    <x v="2130"/>
    <x v="0"/>
  </r>
  <r>
    <n v="39173"/>
    <x v="35"/>
    <s v="Wood"/>
    <n v="1720"/>
    <n v="462"/>
    <n v="229"/>
    <n v="228"/>
    <n v="453"/>
    <n v="348"/>
    <n v="553"/>
    <n v="515"/>
    <n v="652"/>
    <n v="1581"/>
    <n v="139"/>
    <x v="2131"/>
    <x v="0"/>
  </r>
  <r>
    <n v="39175"/>
    <x v="35"/>
    <s v="Wyandot"/>
    <n v="335"/>
    <n v="97"/>
    <n v="52"/>
    <n v="62"/>
    <n v="65"/>
    <n v="59"/>
    <n v="93"/>
    <n v="85"/>
    <n v="157"/>
    <n v="312"/>
    <n v="23"/>
    <x v="2132"/>
    <x v="0"/>
  </r>
  <r>
    <n v="40001"/>
    <x v="36"/>
    <s v="Adair"/>
    <n v="397"/>
    <n v="84"/>
    <n v="33"/>
    <n v="44"/>
    <n v="138"/>
    <n v="98"/>
    <n v="85"/>
    <n v="110"/>
    <n v="202"/>
    <n v="373"/>
    <n v="24"/>
    <x v="2133"/>
    <x v="0"/>
  </r>
  <r>
    <n v="40003"/>
    <x v="36"/>
    <s v="Alfalfa"/>
    <n v="111"/>
    <n v="31"/>
    <n v="18"/>
    <n v="12"/>
    <n v="28"/>
    <n v="22"/>
    <n v="23"/>
    <n v="41"/>
    <n v="47"/>
    <m/>
    <m/>
    <x v="2134"/>
    <x v="0"/>
  </r>
  <r>
    <n v="40005"/>
    <x v="36"/>
    <s v="Atoka"/>
    <n v="393"/>
    <n v="81"/>
    <n v="39"/>
    <n v="50"/>
    <n v="137"/>
    <n v="86"/>
    <n v="85"/>
    <n v="107"/>
    <n v="201"/>
    <n v="362"/>
    <n v="31"/>
    <x v="2135"/>
    <x v="0"/>
  </r>
  <r>
    <n v="40007"/>
    <x v="36"/>
    <s v="Beaver"/>
    <n v="58"/>
    <n v="20"/>
    <m/>
    <m/>
    <n v="17"/>
    <n v="10"/>
    <m/>
    <m/>
    <n v="34"/>
    <m/>
    <m/>
    <x v="2136"/>
    <x v="0"/>
  </r>
  <r>
    <n v="40009"/>
    <x v="36"/>
    <s v="Beckham"/>
    <n v="339"/>
    <n v="73"/>
    <n v="44"/>
    <n v="33"/>
    <n v="105"/>
    <n v="84"/>
    <n v="92"/>
    <n v="97"/>
    <n v="150"/>
    <n v="313"/>
    <n v="26"/>
    <x v="2137"/>
    <x v="0"/>
  </r>
  <r>
    <n v="40011"/>
    <x v="36"/>
    <s v="Blaine"/>
    <n v="184"/>
    <n v="46"/>
    <n v="17"/>
    <n v="26"/>
    <n v="53"/>
    <n v="42"/>
    <n v="36"/>
    <n v="49"/>
    <n v="99"/>
    <n v="168"/>
    <n v="15"/>
    <x v="2138"/>
    <x v="0"/>
  </r>
  <r>
    <n v="40013"/>
    <x v="36"/>
    <s v="Bryan"/>
    <n v="1308"/>
    <n v="252"/>
    <n v="150"/>
    <n v="157"/>
    <n v="405"/>
    <n v="344"/>
    <n v="336"/>
    <n v="362"/>
    <n v="610"/>
    <n v="1200"/>
    <n v="108"/>
    <x v="2139"/>
    <x v="0"/>
  </r>
  <r>
    <n v="40015"/>
    <x v="36"/>
    <s v="Caddo"/>
    <n v="632"/>
    <n v="121"/>
    <n v="55"/>
    <n v="60"/>
    <n v="200"/>
    <n v="196"/>
    <n v="128"/>
    <n v="206"/>
    <n v="298"/>
    <n v="584"/>
    <n v="48"/>
    <x v="2140"/>
    <x v="0"/>
  </r>
  <r>
    <n v="40017"/>
    <x v="36"/>
    <s v="Canadian"/>
    <n v="5985"/>
    <n v="886"/>
    <n v="492"/>
    <n v="653"/>
    <n v="1853"/>
    <n v="2101"/>
    <n v="2262"/>
    <n v="2054"/>
    <n v="1669"/>
    <n v="5177"/>
    <n v="808"/>
    <x v="2141"/>
    <x v="0"/>
  </r>
  <r>
    <n v="40019"/>
    <x v="36"/>
    <s v="Carter"/>
    <n v="1250"/>
    <n v="233"/>
    <n v="118"/>
    <n v="169"/>
    <n v="386"/>
    <n v="344"/>
    <n v="285"/>
    <n v="355"/>
    <n v="610"/>
    <n v="1144"/>
    <n v="106"/>
    <x v="2142"/>
    <x v="0"/>
  </r>
  <r>
    <n v="40021"/>
    <x v="36"/>
    <s v="Cherokee"/>
    <n v="1385"/>
    <n v="227"/>
    <n v="119"/>
    <n v="165"/>
    <n v="471"/>
    <n v="403"/>
    <n v="290"/>
    <n v="423"/>
    <n v="672"/>
    <n v="1275"/>
    <n v="110"/>
    <x v="2143"/>
    <x v="0"/>
  </r>
  <r>
    <n v="40023"/>
    <x v="36"/>
    <s v="Choctaw"/>
    <n v="372"/>
    <n v="66"/>
    <n v="47"/>
    <n v="48"/>
    <n v="111"/>
    <n v="100"/>
    <n v="48"/>
    <n v="100"/>
    <n v="224"/>
    <n v="351"/>
    <n v="21"/>
    <x v="2144"/>
    <x v="0"/>
  </r>
  <r>
    <n v="40025"/>
    <x v="36"/>
    <s v="Cimarron"/>
    <n v="15"/>
    <m/>
    <m/>
    <m/>
    <m/>
    <m/>
    <m/>
    <m/>
    <m/>
    <m/>
    <m/>
    <x v="2145"/>
    <x v="0"/>
  </r>
  <r>
    <n v="40027"/>
    <x v="36"/>
    <s v="Cleveland"/>
    <n v="10741"/>
    <n v="1705"/>
    <n v="900"/>
    <n v="1110"/>
    <n v="3301"/>
    <n v="3725"/>
    <n v="3084"/>
    <n v="4013"/>
    <n v="3644"/>
    <n v="9404"/>
    <n v="1336"/>
    <x v="2146"/>
    <x v="0"/>
  </r>
  <r>
    <n v="40029"/>
    <x v="36"/>
    <s v="Coal"/>
    <n v="128"/>
    <n v="22"/>
    <n v="15"/>
    <n v="18"/>
    <n v="38"/>
    <n v="35"/>
    <n v="22"/>
    <n v="39"/>
    <n v="67"/>
    <n v="118"/>
    <n v="10"/>
    <x v="2147"/>
    <x v="0"/>
  </r>
  <r>
    <n v="40031"/>
    <x v="36"/>
    <s v="Comanche"/>
    <n v="10461"/>
    <n v="920"/>
    <n v="649"/>
    <n v="745"/>
    <n v="2880"/>
    <n v="5267"/>
    <n v="2874"/>
    <n v="4304"/>
    <n v="3283"/>
    <n v="8807"/>
    <n v="1654"/>
    <x v="2148"/>
    <x v="0"/>
  </r>
  <r>
    <n v="40033"/>
    <x v="36"/>
    <s v="Cotton"/>
    <n v="203"/>
    <n v="38"/>
    <n v="22"/>
    <n v="17"/>
    <n v="56"/>
    <n v="70"/>
    <n v="36"/>
    <n v="81"/>
    <n v="86"/>
    <n v="178"/>
    <n v="25"/>
    <x v="2149"/>
    <x v="0"/>
  </r>
  <r>
    <n v="40035"/>
    <x v="36"/>
    <s v="Craig"/>
    <n v="347"/>
    <n v="85"/>
    <n v="29"/>
    <n v="47"/>
    <n v="98"/>
    <n v="88"/>
    <n v="73"/>
    <n v="86"/>
    <n v="188"/>
    <n v="323"/>
    <n v="24"/>
    <x v="2150"/>
    <x v="0"/>
  </r>
  <r>
    <n v="40037"/>
    <x v="36"/>
    <s v="Creek"/>
    <n v="1825"/>
    <n v="360"/>
    <n v="189"/>
    <n v="228"/>
    <n v="632"/>
    <n v="416"/>
    <n v="462"/>
    <n v="543"/>
    <n v="820"/>
    <n v="1675"/>
    <n v="150"/>
    <x v="2151"/>
    <x v="0"/>
  </r>
  <r>
    <n v="40039"/>
    <x v="36"/>
    <s v="Custer"/>
    <n v="467"/>
    <n v="89"/>
    <n v="54"/>
    <n v="54"/>
    <n v="145"/>
    <n v="125"/>
    <n v="112"/>
    <n v="125"/>
    <n v="230"/>
    <n v="434"/>
    <n v="33"/>
    <x v="2152"/>
    <x v="0"/>
  </r>
  <r>
    <n v="40041"/>
    <x v="36"/>
    <s v="Delaware"/>
    <n v="1253"/>
    <n v="201"/>
    <n v="122"/>
    <n v="125"/>
    <n v="409"/>
    <n v="396"/>
    <n v="196"/>
    <n v="377"/>
    <n v="680"/>
    <n v="1148"/>
    <n v="105"/>
    <x v="2153"/>
    <x v="0"/>
  </r>
  <r>
    <n v="40043"/>
    <x v="36"/>
    <s v="Dewey"/>
    <n v="67"/>
    <n v="15"/>
    <m/>
    <m/>
    <n v="23"/>
    <n v="14"/>
    <n v="17"/>
    <n v="18"/>
    <n v="32"/>
    <m/>
    <m/>
    <x v="2154"/>
    <x v="0"/>
  </r>
  <r>
    <n v="40045"/>
    <x v="36"/>
    <s v="Ellis"/>
    <n v="62"/>
    <m/>
    <m/>
    <m/>
    <n v="27"/>
    <n v="13"/>
    <n v="20"/>
    <n v="18"/>
    <n v="24"/>
    <n v="52"/>
    <n v="10"/>
    <x v="2155"/>
    <x v="0"/>
  </r>
  <r>
    <n v="40047"/>
    <x v="36"/>
    <s v="Garfield"/>
    <n v="1651"/>
    <n v="333"/>
    <n v="176"/>
    <n v="202"/>
    <n v="509"/>
    <n v="431"/>
    <n v="498"/>
    <n v="543"/>
    <n v="610"/>
    <n v="1468"/>
    <n v="183"/>
    <x v="2156"/>
    <x v="0"/>
  </r>
  <r>
    <n v="40049"/>
    <x v="36"/>
    <s v="Garvin"/>
    <n v="708"/>
    <n v="132"/>
    <n v="65"/>
    <n v="87"/>
    <n v="227"/>
    <n v="197"/>
    <n v="158"/>
    <n v="164"/>
    <n v="386"/>
    <n v="648"/>
    <n v="59"/>
    <x v="2157"/>
    <x v="0"/>
  </r>
  <r>
    <n v="40051"/>
    <x v="36"/>
    <s v="Grady"/>
    <n v="1911"/>
    <n v="334"/>
    <n v="155"/>
    <n v="210"/>
    <n v="578"/>
    <n v="634"/>
    <n v="524"/>
    <n v="616"/>
    <n v="771"/>
    <n v="1733"/>
    <n v="178"/>
    <x v="2158"/>
    <x v="0"/>
  </r>
  <r>
    <n v="40053"/>
    <x v="36"/>
    <s v="Grant"/>
    <n v="75"/>
    <n v="23"/>
    <m/>
    <m/>
    <n v="27"/>
    <n v="11"/>
    <n v="17"/>
    <n v="18"/>
    <n v="40"/>
    <m/>
    <m/>
    <x v="2159"/>
    <x v="0"/>
  </r>
  <r>
    <n v="40055"/>
    <x v="36"/>
    <s v="Greer"/>
    <n v="184"/>
    <n v="32"/>
    <n v="19"/>
    <n v="21"/>
    <n v="60"/>
    <n v="52"/>
    <n v="50"/>
    <n v="53"/>
    <n v="81"/>
    <n v="161"/>
    <n v="23"/>
    <x v="2160"/>
    <x v="0"/>
  </r>
  <r>
    <n v="40057"/>
    <x v="36"/>
    <s v="Harmon"/>
    <n v="66"/>
    <n v="13"/>
    <m/>
    <m/>
    <n v="20"/>
    <n v="12"/>
    <n v="11"/>
    <n v="22"/>
    <n v="33"/>
    <m/>
    <m/>
    <x v="2161"/>
    <x v="0"/>
  </r>
  <r>
    <n v="40059"/>
    <x v="36"/>
    <s v="Harper"/>
    <n v="51"/>
    <n v="12"/>
    <m/>
    <m/>
    <n v="11"/>
    <n v="13"/>
    <n v="11"/>
    <n v="11"/>
    <n v="29"/>
    <m/>
    <m/>
    <x v="2162"/>
    <x v="0"/>
  </r>
  <r>
    <n v="40061"/>
    <x v="36"/>
    <s v="Haskell"/>
    <n v="379"/>
    <n v="69"/>
    <n v="29"/>
    <n v="36"/>
    <n v="129"/>
    <n v="116"/>
    <n v="60"/>
    <n v="93"/>
    <n v="226"/>
    <n v="351"/>
    <n v="28"/>
    <x v="2163"/>
    <x v="0"/>
  </r>
  <r>
    <n v="40063"/>
    <x v="36"/>
    <s v="Hughes"/>
    <n v="396"/>
    <n v="61"/>
    <n v="29"/>
    <n v="56"/>
    <n v="135"/>
    <n v="115"/>
    <n v="68"/>
    <n v="122"/>
    <n v="206"/>
    <n v="365"/>
    <n v="31"/>
    <x v="2164"/>
    <x v="0"/>
  </r>
  <r>
    <n v="40065"/>
    <x v="36"/>
    <s v="Jackson"/>
    <n v="1559"/>
    <n v="238"/>
    <n v="175"/>
    <n v="207"/>
    <n v="475"/>
    <n v="464"/>
    <n v="461"/>
    <n v="559"/>
    <n v="539"/>
    <n v="1356"/>
    <n v="203"/>
    <x v="2165"/>
    <x v="0"/>
  </r>
  <r>
    <n v="40067"/>
    <x v="36"/>
    <s v="Jefferson"/>
    <n v="126"/>
    <n v="17"/>
    <m/>
    <m/>
    <n v="48"/>
    <n v="41"/>
    <n v="23"/>
    <n v="33"/>
    <n v="70"/>
    <n v="116"/>
    <n v="10"/>
    <x v="2166"/>
    <x v="0"/>
  </r>
  <r>
    <n v="40069"/>
    <x v="36"/>
    <s v="Johnston"/>
    <n v="311"/>
    <n v="71"/>
    <n v="32"/>
    <n v="37"/>
    <n v="95"/>
    <n v="76"/>
    <n v="58"/>
    <n v="92"/>
    <n v="161"/>
    <n v="290"/>
    <n v="21"/>
    <x v="2167"/>
    <x v="0"/>
  </r>
  <r>
    <n v="40071"/>
    <x v="36"/>
    <s v="Kay"/>
    <n v="966"/>
    <n v="221"/>
    <n v="103"/>
    <n v="117"/>
    <n v="281"/>
    <n v="244"/>
    <n v="230"/>
    <n v="250"/>
    <n v="486"/>
    <n v="900"/>
    <n v="65"/>
    <x v="2168"/>
    <x v="0"/>
  </r>
  <r>
    <n v="40073"/>
    <x v="36"/>
    <s v="Kingfisher"/>
    <n v="272"/>
    <n v="57"/>
    <n v="26"/>
    <n v="35"/>
    <n v="90"/>
    <n v="64"/>
    <n v="81"/>
    <n v="82"/>
    <n v="109"/>
    <n v="254"/>
    <n v="17"/>
    <x v="2169"/>
    <x v="0"/>
  </r>
  <r>
    <n v="40075"/>
    <x v="36"/>
    <s v="Kiowa"/>
    <n v="239"/>
    <n v="52"/>
    <n v="18"/>
    <n v="30"/>
    <n v="66"/>
    <n v="73"/>
    <n v="47"/>
    <n v="67"/>
    <n v="125"/>
    <n v="227"/>
    <n v="12"/>
    <x v="2170"/>
    <x v="0"/>
  </r>
  <r>
    <n v="40077"/>
    <x v="36"/>
    <s v="Latimer"/>
    <n v="372"/>
    <n v="75"/>
    <n v="33"/>
    <n v="39"/>
    <n v="125"/>
    <n v="100"/>
    <n v="42"/>
    <n v="121"/>
    <n v="209"/>
    <n v="345"/>
    <n v="27"/>
    <x v="2171"/>
    <x v="0"/>
  </r>
  <r>
    <n v="40079"/>
    <x v="36"/>
    <s v="Le Flore"/>
    <n v="1509"/>
    <n v="238"/>
    <n v="137"/>
    <n v="176"/>
    <n v="515"/>
    <n v="443"/>
    <n v="264"/>
    <n v="470"/>
    <n v="775"/>
    <n v="1387"/>
    <n v="122"/>
    <x v="2172"/>
    <x v="0"/>
  </r>
  <r>
    <n v="40081"/>
    <x v="36"/>
    <s v="Lincoln"/>
    <n v="1176"/>
    <n v="212"/>
    <n v="126"/>
    <n v="123"/>
    <n v="389"/>
    <n v="326"/>
    <n v="326"/>
    <n v="387"/>
    <n v="463"/>
    <n v="1066"/>
    <n v="110"/>
    <x v="2173"/>
    <x v="0"/>
  </r>
  <r>
    <n v="40083"/>
    <x v="36"/>
    <s v="Logan"/>
    <n v="1834"/>
    <n v="252"/>
    <n v="162"/>
    <n v="180"/>
    <n v="565"/>
    <n v="675"/>
    <n v="506"/>
    <n v="706"/>
    <n v="622"/>
    <n v="1626"/>
    <n v="208"/>
    <x v="2174"/>
    <x v="0"/>
  </r>
  <r>
    <n v="40085"/>
    <x v="36"/>
    <s v="Love"/>
    <n v="243"/>
    <n v="54"/>
    <n v="24"/>
    <n v="25"/>
    <n v="76"/>
    <n v="64"/>
    <n v="43"/>
    <n v="77"/>
    <n v="123"/>
    <n v="225"/>
    <n v="18"/>
    <x v="2175"/>
    <x v="0"/>
  </r>
  <r>
    <n v="40087"/>
    <x v="36"/>
    <s v="McClain"/>
    <n v="1762"/>
    <n v="286"/>
    <n v="122"/>
    <n v="188"/>
    <n v="540"/>
    <n v="626"/>
    <n v="502"/>
    <n v="585"/>
    <n v="675"/>
    <n v="1596"/>
    <n v="166"/>
    <x v="2176"/>
    <x v="0"/>
  </r>
  <r>
    <n v="40089"/>
    <x v="36"/>
    <s v="McCurtain"/>
    <n v="681"/>
    <n v="131"/>
    <n v="73"/>
    <n v="93"/>
    <n v="215"/>
    <n v="169"/>
    <n v="155"/>
    <n v="191"/>
    <n v="335"/>
    <n v="633"/>
    <n v="48"/>
    <x v="2177"/>
    <x v="0"/>
  </r>
  <r>
    <n v="40091"/>
    <x v="36"/>
    <s v="McIntosh"/>
    <n v="816"/>
    <n v="130"/>
    <n v="63"/>
    <n v="88"/>
    <n v="290"/>
    <n v="245"/>
    <n v="122"/>
    <n v="215"/>
    <n v="479"/>
    <n v="755"/>
    <n v="61"/>
    <x v="2178"/>
    <x v="0"/>
  </r>
  <r>
    <n v="40093"/>
    <x v="36"/>
    <s v="Major"/>
    <n v="116"/>
    <n v="31"/>
    <n v="12"/>
    <n v="10"/>
    <n v="34"/>
    <n v="29"/>
    <n v="23"/>
    <n v="43"/>
    <n v="50"/>
    <m/>
    <m/>
    <x v="2179"/>
    <x v="0"/>
  </r>
  <r>
    <n v="40095"/>
    <x v="36"/>
    <s v="Marshall"/>
    <n v="450"/>
    <n v="89"/>
    <n v="36"/>
    <n v="52"/>
    <n v="154"/>
    <n v="119"/>
    <n v="78"/>
    <n v="120"/>
    <n v="252"/>
    <n v="424"/>
    <n v="26"/>
    <x v="2180"/>
    <x v="0"/>
  </r>
  <r>
    <n v="40097"/>
    <x v="36"/>
    <s v="Mayes"/>
    <n v="1177"/>
    <n v="231"/>
    <n v="122"/>
    <n v="116"/>
    <n v="404"/>
    <n v="304"/>
    <n v="291"/>
    <n v="335"/>
    <n v="551"/>
    <n v="1087"/>
    <n v="90"/>
    <x v="2181"/>
    <x v="0"/>
  </r>
  <r>
    <n v="40099"/>
    <x v="36"/>
    <s v="Murray"/>
    <n v="433"/>
    <n v="64"/>
    <n v="27"/>
    <n v="41"/>
    <n v="150"/>
    <n v="151"/>
    <n v="82"/>
    <n v="141"/>
    <n v="210"/>
    <n v="398"/>
    <n v="35"/>
    <x v="2182"/>
    <x v="0"/>
  </r>
  <r>
    <n v="40101"/>
    <x v="36"/>
    <s v="Muskogee"/>
    <n v="2440"/>
    <n v="471"/>
    <n v="262"/>
    <n v="261"/>
    <n v="803"/>
    <n v="643"/>
    <n v="510"/>
    <n v="727"/>
    <n v="1203"/>
    <n v="2176"/>
    <n v="264"/>
    <x v="2183"/>
    <x v="0"/>
  </r>
  <r>
    <n v="40103"/>
    <x v="36"/>
    <s v="Noble"/>
    <n v="227"/>
    <n v="50"/>
    <n v="25"/>
    <n v="22"/>
    <n v="75"/>
    <n v="55"/>
    <n v="62"/>
    <n v="73"/>
    <n v="92"/>
    <n v="210"/>
    <n v="17"/>
    <x v="2184"/>
    <x v="0"/>
  </r>
  <r>
    <n v="40105"/>
    <x v="36"/>
    <s v="Nowata"/>
    <n v="208"/>
    <n v="55"/>
    <n v="22"/>
    <n v="19"/>
    <n v="61"/>
    <n v="51"/>
    <n v="54"/>
    <n v="49"/>
    <n v="105"/>
    <n v="189"/>
    <n v="19"/>
    <x v="2185"/>
    <x v="0"/>
  </r>
  <r>
    <n v="40107"/>
    <x v="36"/>
    <s v="Okfuskee"/>
    <n v="292"/>
    <n v="59"/>
    <n v="20"/>
    <n v="27"/>
    <n v="94"/>
    <n v="92"/>
    <n v="68"/>
    <n v="94"/>
    <n v="130"/>
    <n v="255"/>
    <n v="37"/>
    <x v="2186"/>
    <x v="0"/>
  </r>
  <r>
    <n v="40109"/>
    <x v="36"/>
    <s v="Oklahoma"/>
    <n v="21675"/>
    <n v="3665"/>
    <n v="2011"/>
    <n v="2334"/>
    <n v="6817"/>
    <n v="6848"/>
    <n v="6279"/>
    <n v="7530"/>
    <n v="7866"/>
    <n v="18696"/>
    <n v="2977"/>
    <x v="2187"/>
    <x v="0"/>
  </r>
  <r>
    <n v="40111"/>
    <x v="36"/>
    <s v="Okmulgee"/>
    <n v="1137"/>
    <n v="208"/>
    <n v="127"/>
    <n v="151"/>
    <n v="369"/>
    <n v="282"/>
    <n v="229"/>
    <n v="309"/>
    <n v="599"/>
    <n v="1030"/>
    <n v="107"/>
    <x v="2188"/>
    <x v="0"/>
  </r>
  <r>
    <n v="40113"/>
    <x v="36"/>
    <s v="Osage"/>
    <n v="1204"/>
    <n v="275"/>
    <n v="125"/>
    <n v="133"/>
    <n v="367"/>
    <n v="304"/>
    <n v="253"/>
    <n v="335"/>
    <n v="616"/>
    <n v="1119"/>
    <n v="85"/>
    <x v="2189"/>
    <x v="0"/>
  </r>
  <r>
    <n v="40115"/>
    <x v="36"/>
    <s v="Ottawa"/>
    <n v="843"/>
    <n v="191"/>
    <n v="79"/>
    <n v="91"/>
    <n v="262"/>
    <n v="220"/>
    <n v="148"/>
    <n v="241"/>
    <n v="454"/>
    <n v="790"/>
    <n v="53"/>
    <x v="2190"/>
    <x v="0"/>
  </r>
  <r>
    <n v="40117"/>
    <x v="36"/>
    <s v="Pawnee"/>
    <n v="429"/>
    <n v="95"/>
    <n v="45"/>
    <n v="62"/>
    <n v="126"/>
    <n v="101"/>
    <n v="96"/>
    <n v="115"/>
    <n v="218"/>
    <n v="400"/>
    <n v="29"/>
    <x v="2191"/>
    <x v="0"/>
  </r>
  <r>
    <n v="40119"/>
    <x v="36"/>
    <s v="Payne"/>
    <n v="1438"/>
    <n v="288"/>
    <n v="166"/>
    <n v="170"/>
    <n v="441"/>
    <n v="373"/>
    <n v="460"/>
    <n v="390"/>
    <n v="588"/>
    <n v="1296"/>
    <n v="142"/>
    <x v="2192"/>
    <x v="0"/>
  </r>
  <r>
    <n v="40121"/>
    <x v="36"/>
    <s v="Pittsburg"/>
    <n v="1831"/>
    <n v="316"/>
    <n v="185"/>
    <n v="224"/>
    <n v="609"/>
    <n v="497"/>
    <n v="301"/>
    <n v="580"/>
    <n v="950"/>
    <n v="1711"/>
    <n v="120"/>
    <x v="2193"/>
    <x v="0"/>
  </r>
  <r>
    <n v="40123"/>
    <x v="36"/>
    <s v="Pontotoc"/>
    <n v="894"/>
    <n v="138"/>
    <n v="87"/>
    <n v="89"/>
    <n v="329"/>
    <n v="251"/>
    <n v="203"/>
    <n v="260"/>
    <n v="431"/>
    <n v="814"/>
    <n v="80"/>
    <x v="2194"/>
    <x v="0"/>
  </r>
  <r>
    <n v="40125"/>
    <x v="36"/>
    <s v="Pottawatomie"/>
    <n v="2516"/>
    <n v="423"/>
    <n v="197"/>
    <n v="268"/>
    <n v="861"/>
    <n v="767"/>
    <n v="670"/>
    <n v="811"/>
    <n v="1035"/>
    <n v="2275"/>
    <n v="239"/>
    <x v="2195"/>
    <x v="0"/>
  </r>
  <r>
    <n v="40127"/>
    <x v="36"/>
    <s v="Pushmataha"/>
    <n v="391"/>
    <n v="61"/>
    <n v="31"/>
    <n v="50"/>
    <n v="138"/>
    <n v="111"/>
    <n v="60"/>
    <n v="105"/>
    <n v="226"/>
    <n v="358"/>
    <n v="33"/>
    <x v="2196"/>
    <x v="0"/>
  </r>
  <r>
    <n v="40129"/>
    <x v="36"/>
    <s v="Roger Mills"/>
    <n v="54"/>
    <m/>
    <m/>
    <m/>
    <n v="14"/>
    <n v="17"/>
    <n v="14"/>
    <n v="20"/>
    <n v="20"/>
    <m/>
    <m/>
    <x v="2197"/>
    <x v="0"/>
  </r>
  <r>
    <n v="40131"/>
    <x v="36"/>
    <s v="Rogers"/>
    <n v="3189"/>
    <n v="684"/>
    <n v="335"/>
    <n v="346"/>
    <n v="993"/>
    <n v="831"/>
    <n v="815"/>
    <n v="989"/>
    <n v="1385"/>
    <n v="2900"/>
    <n v="288"/>
    <x v="2198"/>
    <x v="0"/>
  </r>
  <r>
    <n v="40133"/>
    <x v="36"/>
    <s v="Seminole"/>
    <n v="637"/>
    <n v="106"/>
    <n v="50"/>
    <n v="82"/>
    <n v="211"/>
    <n v="188"/>
    <n v="132"/>
    <n v="209"/>
    <n v="296"/>
    <n v="584"/>
    <n v="52"/>
    <x v="2199"/>
    <x v="0"/>
  </r>
  <r>
    <n v="40135"/>
    <x v="36"/>
    <s v="Sequoyah"/>
    <n v="1380"/>
    <n v="194"/>
    <n v="113"/>
    <n v="167"/>
    <n v="449"/>
    <n v="457"/>
    <n v="260"/>
    <n v="434"/>
    <n v="686"/>
    <n v="1276"/>
    <n v="104"/>
    <x v="2200"/>
    <x v="0"/>
  </r>
  <r>
    <n v="40137"/>
    <x v="36"/>
    <s v="Stephens"/>
    <n v="1526"/>
    <n v="251"/>
    <n v="137"/>
    <n v="160"/>
    <n v="452"/>
    <n v="526"/>
    <n v="304"/>
    <n v="471"/>
    <n v="750"/>
    <n v="1400"/>
    <n v="126"/>
    <x v="2201"/>
    <x v="0"/>
  </r>
  <r>
    <n v="40139"/>
    <x v="36"/>
    <s v="Texas"/>
    <n v="142"/>
    <n v="47"/>
    <n v="17"/>
    <n v="15"/>
    <n v="39"/>
    <n v="24"/>
    <n v="34"/>
    <n v="45"/>
    <n v="63"/>
    <n v="132"/>
    <n v="10"/>
    <x v="2202"/>
    <x v="0"/>
  </r>
  <r>
    <n v="40141"/>
    <x v="36"/>
    <s v="Tillman"/>
    <n v="205"/>
    <n v="36"/>
    <n v="15"/>
    <n v="19"/>
    <n v="69"/>
    <n v="66"/>
    <n v="44"/>
    <n v="81"/>
    <n v="80"/>
    <n v="185"/>
    <n v="20"/>
    <x v="2203"/>
    <x v="0"/>
  </r>
  <r>
    <n v="40143"/>
    <x v="36"/>
    <s v="Tulsa"/>
    <n v="13244"/>
    <n v="2999"/>
    <n v="1440"/>
    <n v="1540"/>
    <n v="4070"/>
    <n v="3195"/>
    <n v="3780"/>
    <n v="4056"/>
    <n v="5408"/>
    <n v="11898"/>
    <n v="1346"/>
    <x v="2204"/>
    <x v="0"/>
  </r>
  <r>
    <n v="40145"/>
    <x v="36"/>
    <s v="Wagoner"/>
    <n v="2849"/>
    <n v="551"/>
    <n v="254"/>
    <n v="305"/>
    <n v="905"/>
    <n v="834"/>
    <n v="806"/>
    <n v="874"/>
    <n v="1169"/>
    <n v="2583"/>
    <n v="266"/>
    <x v="2205"/>
    <x v="0"/>
  </r>
  <r>
    <n v="40147"/>
    <x v="36"/>
    <s v="Washington"/>
    <n v="1315"/>
    <n v="280"/>
    <n v="132"/>
    <n v="156"/>
    <n v="433"/>
    <n v="314"/>
    <n v="335"/>
    <n v="354"/>
    <n v="626"/>
    <n v="1211"/>
    <n v="104"/>
    <x v="2206"/>
    <x v="0"/>
  </r>
  <r>
    <n v="40149"/>
    <x v="36"/>
    <s v="Washita"/>
    <n v="203"/>
    <n v="44"/>
    <n v="13"/>
    <n v="17"/>
    <n v="60"/>
    <n v="69"/>
    <n v="45"/>
    <n v="56"/>
    <n v="102"/>
    <n v="189"/>
    <n v="14"/>
    <x v="2207"/>
    <x v="0"/>
  </r>
  <r>
    <n v="40151"/>
    <x v="36"/>
    <s v="Woods"/>
    <n v="119"/>
    <n v="30"/>
    <n v="12"/>
    <n v="15"/>
    <n v="37"/>
    <n v="25"/>
    <n v="23"/>
    <n v="40"/>
    <n v="56"/>
    <n v="109"/>
    <n v="10"/>
    <x v="2208"/>
    <x v="0"/>
  </r>
  <r>
    <n v="40153"/>
    <x v="36"/>
    <s v="Woodward"/>
    <n v="329"/>
    <n v="69"/>
    <n v="46"/>
    <n v="43"/>
    <n v="97"/>
    <n v="74"/>
    <n v="80"/>
    <n v="90"/>
    <n v="159"/>
    <n v="302"/>
    <n v="27"/>
    <x v="2209"/>
    <x v="0"/>
  </r>
  <r>
    <n v="41001"/>
    <x v="37"/>
    <s v="Baker"/>
    <n v="686"/>
    <n v="180"/>
    <n v="97"/>
    <n v="98"/>
    <n v="192"/>
    <n v="119"/>
    <n v="111"/>
    <n v="173"/>
    <n v="402"/>
    <n v="644"/>
    <n v="42"/>
    <x v="2210"/>
    <x v="0"/>
  </r>
  <r>
    <n v="41003"/>
    <x v="37"/>
    <s v="Benton"/>
    <n v="1488"/>
    <n v="344"/>
    <n v="192"/>
    <n v="202"/>
    <n v="454"/>
    <n v="296"/>
    <n v="496"/>
    <n v="397"/>
    <n v="595"/>
    <n v="1308"/>
    <n v="180"/>
    <x v="2211"/>
    <x v="0"/>
  </r>
  <r>
    <n v="41005"/>
    <x v="37"/>
    <s v="Clackamas"/>
    <n v="7239"/>
    <n v="1768"/>
    <n v="1004"/>
    <n v="1026"/>
    <n v="2056"/>
    <n v="1385"/>
    <n v="2048"/>
    <n v="2026"/>
    <n v="3165"/>
    <n v="6533"/>
    <n v="702"/>
    <x v="2212"/>
    <x v="0"/>
  </r>
  <r>
    <n v="41007"/>
    <x v="37"/>
    <s v="Clatsop"/>
    <n v="1165"/>
    <n v="281"/>
    <n v="152"/>
    <n v="165"/>
    <n v="319"/>
    <n v="248"/>
    <n v="234"/>
    <n v="351"/>
    <n v="580"/>
    <n v="1047"/>
    <n v="118"/>
    <x v="2213"/>
    <x v="0"/>
  </r>
  <r>
    <n v="41009"/>
    <x v="37"/>
    <s v="Columbia"/>
    <n v="1570"/>
    <n v="369"/>
    <n v="219"/>
    <n v="235"/>
    <n v="436"/>
    <n v="311"/>
    <n v="392"/>
    <n v="460"/>
    <n v="718"/>
    <n v="1425"/>
    <n v="144"/>
    <x v="2214"/>
    <x v="0"/>
  </r>
  <r>
    <n v="41011"/>
    <x v="37"/>
    <s v="Coos"/>
    <n v="2394"/>
    <n v="436"/>
    <n v="248"/>
    <n v="261"/>
    <n v="802"/>
    <n v="647"/>
    <n v="396"/>
    <n v="663"/>
    <n v="1335"/>
    <n v="2171"/>
    <n v="223"/>
    <x v="2215"/>
    <x v="0"/>
  </r>
  <r>
    <n v="41013"/>
    <x v="37"/>
    <s v="Crook"/>
    <n v="962"/>
    <n v="227"/>
    <n v="109"/>
    <n v="124"/>
    <n v="279"/>
    <n v="223"/>
    <n v="240"/>
    <n v="232"/>
    <n v="490"/>
    <n v="883"/>
    <n v="79"/>
    <x v="2216"/>
    <x v="0"/>
  </r>
  <r>
    <n v="41015"/>
    <x v="37"/>
    <s v="Curry"/>
    <n v="807"/>
    <n v="190"/>
    <n v="82"/>
    <n v="98"/>
    <n v="231"/>
    <n v="206"/>
    <n v="123"/>
    <n v="196"/>
    <n v="488"/>
    <n v="735"/>
    <n v="72"/>
    <x v="2217"/>
    <x v="0"/>
  </r>
  <r>
    <n v="41017"/>
    <x v="37"/>
    <s v="Deschutes"/>
    <n v="4624"/>
    <n v="1079"/>
    <n v="595"/>
    <n v="613"/>
    <n v="1323"/>
    <n v="1014"/>
    <n v="1459"/>
    <n v="1142"/>
    <n v="2023"/>
    <n v="4162"/>
    <n v="462"/>
    <x v="2218"/>
    <x v="0"/>
  </r>
  <r>
    <n v="41019"/>
    <x v="37"/>
    <s v="Douglas"/>
    <n v="4976"/>
    <n v="797"/>
    <n v="465"/>
    <n v="572"/>
    <n v="1620"/>
    <n v="1522"/>
    <n v="898"/>
    <n v="1351"/>
    <n v="2727"/>
    <n v="4490"/>
    <n v="486"/>
    <x v="2219"/>
    <x v="0"/>
  </r>
  <r>
    <n v="41021"/>
    <x v="37"/>
    <s v="Gilliam"/>
    <n v="63"/>
    <n v="14"/>
    <n v="12"/>
    <m/>
    <n v="18"/>
    <m/>
    <m/>
    <m/>
    <n v="43"/>
    <m/>
    <m/>
    <x v="2220"/>
    <x v="0"/>
  </r>
  <r>
    <n v="41023"/>
    <x v="37"/>
    <s v="Grant"/>
    <n v="276"/>
    <n v="63"/>
    <n v="36"/>
    <n v="41"/>
    <n v="84"/>
    <n v="52"/>
    <n v="50"/>
    <n v="63"/>
    <n v="163"/>
    <n v="259"/>
    <n v="17"/>
    <x v="2221"/>
    <x v="0"/>
  </r>
  <r>
    <n v="41025"/>
    <x v="37"/>
    <s v="Harney"/>
    <n v="235"/>
    <n v="48"/>
    <n v="30"/>
    <n v="27"/>
    <n v="81"/>
    <n v="49"/>
    <n v="40"/>
    <n v="61"/>
    <n v="134"/>
    <n v="212"/>
    <n v="23"/>
    <x v="2222"/>
    <x v="0"/>
  </r>
  <r>
    <n v="41027"/>
    <x v="37"/>
    <s v="Hood River"/>
    <n v="364"/>
    <n v="91"/>
    <n v="59"/>
    <n v="58"/>
    <n v="92"/>
    <n v="64"/>
    <n v="87"/>
    <n v="99"/>
    <n v="178"/>
    <n v="334"/>
    <n v="30"/>
    <x v="2223"/>
    <x v="0"/>
  </r>
  <r>
    <n v="41029"/>
    <x v="37"/>
    <s v="Jackson"/>
    <n v="6350"/>
    <n v="1435"/>
    <n v="744"/>
    <n v="785"/>
    <n v="1910"/>
    <n v="1476"/>
    <n v="1427"/>
    <n v="1817"/>
    <n v="3106"/>
    <n v="5750"/>
    <n v="600"/>
    <x v="2224"/>
    <x v="0"/>
  </r>
  <r>
    <n v="41031"/>
    <x v="37"/>
    <s v="Jefferson"/>
    <n v="691"/>
    <n v="156"/>
    <n v="78"/>
    <n v="100"/>
    <n v="203"/>
    <n v="154"/>
    <n v="147"/>
    <n v="154"/>
    <n v="390"/>
    <n v="643"/>
    <n v="48"/>
    <x v="2225"/>
    <x v="0"/>
  </r>
  <r>
    <n v="41033"/>
    <x v="37"/>
    <s v="Josephine"/>
    <n v="3044"/>
    <n v="593"/>
    <n v="333"/>
    <n v="382"/>
    <n v="924"/>
    <n v="812"/>
    <n v="645"/>
    <n v="731"/>
    <n v="1668"/>
    <n v="2759"/>
    <n v="285"/>
    <x v="2226"/>
    <x v="0"/>
  </r>
  <r>
    <n v="41035"/>
    <x v="37"/>
    <s v="Klamath"/>
    <n v="2680"/>
    <n v="524"/>
    <n v="299"/>
    <n v="304"/>
    <n v="861"/>
    <n v="692"/>
    <n v="660"/>
    <n v="767"/>
    <n v="1253"/>
    <n v="2389"/>
    <n v="291"/>
    <x v="2227"/>
    <x v="0"/>
  </r>
  <r>
    <n v="41037"/>
    <x v="37"/>
    <s v="Lake"/>
    <n v="310"/>
    <n v="65"/>
    <n v="29"/>
    <n v="48"/>
    <n v="102"/>
    <n v="66"/>
    <n v="51"/>
    <n v="85"/>
    <n v="174"/>
    <n v="290"/>
    <n v="20"/>
    <x v="2228"/>
    <x v="0"/>
  </r>
  <r>
    <n v="41039"/>
    <x v="37"/>
    <s v="Lane"/>
    <n v="8333"/>
    <n v="1671"/>
    <n v="923"/>
    <n v="1054"/>
    <n v="2564"/>
    <n v="2121"/>
    <n v="2238"/>
    <n v="2169"/>
    <n v="3926"/>
    <n v="7420"/>
    <n v="911"/>
    <x v="2229"/>
    <x v="0"/>
  </r>
  <r>
    <n v="41041"/>
    <x v="37"/>
    <s v="Lincoln"/>
    <n v="1505"/>
    <n v="366"/>
    <n v="164"/>
    <n v="172"/>
    <n v="434"/>
    <n v="369"/>
    <n v="210"/>
    <n v="387"/>
    <n v="908"/>
    <n v="1370"/>
    <n v="135"/>
    <x v="2230"/>
    <x v="0"/>
  </r>
  <r>
    <n v="41043"/>
    <x v="37"/>
    <s v="Linn"/>
    <n v="3618"/>
    <n v="787"/>
    <n v="456"/>
    <n v="487"/>
    <n v="1131"/>
    <n v="757"/>
    <n v="995"/>
    <n v="1000"/>
    <n v="1623"/>
    <n v="3243"/>
    <n v="374"/>
    <x v="2231"/>
    <x v="0"/>
  </r>
  <r>
    <n v="41045"/>
    <x v="37"/>
    <s v="Malheur"/>
    <n v="474"/>
    <n v="110"/>
    <n v="58"/>
    <n v="67"/>
    <n v="135"/>
    <n v="104"/>
    <n v="101"/>
    <n v="144"/>
    <n v="229"/>
    <n v="436"/>
    <n v="38"/>
    <x v="2232"/>
    <x v="0"/>
  </r>
  <r>
    <n v="41047"/>
    <x v="37"/>
    <s v="Marion"/>
    <n v="5802"/>
    <n v="1311"/>
    <n v="795"/>
    <n v="827"/>
    <n v="1775"/>
    <n v="1094"/>
    <n v="1683"/>
    <n v="1706"/>
    <n v="2413"/>
    <n v="5155"/>
    <n v="646"/>
    <x v="2233"/>
    <x v="0"/>
  </r>
  <r>
    <n v="41049"/>
    <x v="37"/>
    <s v="Morrow"/>
    <n v="265"/>
    <n v="59"/>
    <n v="42"/>
    <n v="27"/>
    <n v="82"/>
    <n v="55"/>
    <n v="64"/>
    <n v="62"/>
    <n v="139"/>
    <n v="242"/>
    <n v="23"/>
    <x v="2234"/>
    <x v="0"/>
  </r>
  <r>
    <n v="41051"/>
    <x v="37"/>
    <s v="Multnomah"/>
    <n v="8939"/>
    <n v="2066"/>
    <n v="1253"/>
    <n v="1237"/>
    <n v="2684"/>
    <n v="1699"/>
    <n v="3128"/>
    <n v="2557"/>
    <n v="3254"/>
    <n v="7724"/>
    <n v="1214"/>
    <x v="2235"/>
    <x v="0"/>
  </r>
  <r>
    <n v="41053"/>
    <x v="37"/>
    <s v="Polk"/>
    <n v="2063"/>
    <n v="449"/>
    <n v="246"/>
    <n v="283"/>
    <n v="631"/>
    <n v="454"/>
    <n v="562"/>
    <n v="605"/>
    <n v="896"/>
    <n v="1841"/>
    <n v="222"/>
    <x v="2236"/>
    <x v="0"/>
  </r>
  <r>
    <n v="41055"/>
    <x v="37"/>
    <s v="Sherman"/>
    <n v="71"/>
    <n v="23"/>
    <m/>
    <m/>
    <n v="15"/>
    <n v="12"/>
    <n v="21"/>
    <n v="17"/>
    <n v="33"/>
    <m/>
    <m/>
    <x v="2237"/>
    <x v="0"/>
  </r>
  <r>
    <n v="41057"/>
    <x v="37"/>
    <s v="Tillamook"/>
    <n v="774"/>
    <n v="177"/>
    <n v="109"/>
    <n v="98"/>
    <n v="230"/>
    <n v="160"/>
    <n v="106"/>
    <n v="177"/>
    <n v="491"/>
    <n v="716"/>
    <n v="58"/>
    <x v="2238"/>
    <x v="0"/>
  </r>
  <r>
    <n v="41059"/>
    <x v="37"/>
    <s v="Umatilla"/>
    <n v="1711"/>
    <n v="399"/>
    <n v="209"/>
    <n v="248"/>
    <n v="483"/>
    <n v="372"/>
    <n v="404"/>
    <n v="497"/>
    <n v="810"/>
    <n v="1575"/>
    <n v="135"/>
    <x v="2239"/>
    <x v="0"/>
  </r>
  <r>
    <n v="41061"/>
    <x v="37"/>
    <s v="Union"/>
    <n v="739"/>
    <n v="178"/>
    <n v="103"/>
    <n v="95"/>
    <n v="189"/>
    <n v="174"/>
    <n v="184"/>
    <n v="197"/>
    <n v="358"/>
    <n v="670"/>
    <n v="69"/>
    <x v="2240"/>
    <x v="0"/>
  </r>
  <r>
    <n v="41063"/>
    <x v="37"/>
    <s v="Wallowa"/>
    <n v="221"/>
    <n v="64"/>
    <n v="27"/>
    <n v="30"/>
    <n v="66"/>
    <n v="34"/>
    <n v="32"/>
    <n v="58"/>
    <n v="131"/>
    <n v="203"/>
    <n v="18"/>
    <x v="2241"/>
    <x v="0"/>
  </r>
  <r>
    <n v="41065"/>
    <x v="37"/>
    <s v="Wasco"/>
    <n v="676"/>
    <n v="163"/>
    <n v="93"/>
    <n v="94"/>
    <n v="203"/>
    <n v="123"/>
    <n v="138"/>
    <n v="179"/>
    <n v="359"/>
    <n v="626"/>
    <n v="50"/>
    <x v="2242"/>
    <x v="0"/>
  </r>
  <r>
    <n v="41067"/>
    <x v="37"/>
    <s v="Washington"/>
    <n v="8925"/>
    <n v="2061"/>
    <n v="1254"/>
    <n v="1298"/>
    <n v="2545"/>
    <n v="1767"/>
    <n v="3189"/>
    <n v="2606"/>
    <n v="3130"/>
    <n v="7911"/>
    <n v="1012"/>
    <x v="2243"/>
    <x v="0"/>
  </r>
  <r>
    <n v="41069"/>
    <x v="37"/>
    <s v="Wheeler"/>
    <n v="39"/>
    <m/>
    <m/>
    <m/>
    <n v="16"/>
    <m/>
    <m/>
    <m/>
    <n v="24"/>
    <m/>
    <m/>
    <x v="2244"/>
    <x v="0"/>
  </r>
  <r>
    <n v="41071"/>
    <x v="37"/>
    <s v="Yamhill"/>
    <n v="1989"/>
    <n v="490"/>
    <n v="255"/>
    <n v="278"/>
    <n v="584"/>
    <n v="382"/>
    <n v="581"/>
    <n v="516"/>
    <n v="892"/>
    <n v="1817"/>
    <n v="172"/>
    <x v="2245"/>
    <x v="0"/>
  </r>
  <r>
    <n v="42001"/>
    <x v="38"/>
    <s v="Adams"/>
    <n v="1888"/>
    <n v="418"/>
    <n v="243"/>
    <n v="258"/>
    <n v="538"/>
    <n v="431"/>
    <n v="490"/>
    <n v="599"/>
    <n v="799"/>
    <n v="1640"/>
    <n v="248"/>
    <x v="2246"/>
    <x v="0"/>
  </r>
  <r>
    <n v="42003"/>
    <x v="38"/>
    <s v="Allegheny"/>
    <n v="14249"/>
    <n v="3498"/>
    <n v="1815"/>
    <n v="1919"/>
    <n v="3787"/>
    <n v="3230"/>
    <n v="3913"/>
    <n v="4029"/>
    <n v="6307"/>
    <n v="12771"/>
    <n v="1478"/>
    <x v="2247"/>
    <x v="0"/>
  </r>
  <r>
    <n v="42005"/>
    <x v="38"/>
    <s v="Armstrong"/>
    <n v="1103"/>
    <n v="247"/>
    <n v="135"/>
    <n v="134"/>
    <n v="299"/>
    <n v="288"/>
    <n v="260"/>
    <n v="289"/>
    <n v="554"/>
    <n v="1029"/>
    <n v="72"/>
    <x v="2248"/>
    <x v="0"/>
  </r>
  <r>
    <n v="42007"/>
    <x v="38"/>
    <s v="Beaver"/>
    <n v="2941"/>
    <n v="696"/>
    <n v="401"/>
    <n v="412"/>
    <n v="809"/>
    <n v="623"/>
    <n v="723"/>
    <n v="891"/>
    <n v="1327"/>
    <n v="2671"/>
    <n v="268"/>
    <x v="2249"/>
    <x v="0"/>
  </r>
  <r>
    <n v="42009"/>
    <x v="38"/>
    <s v="Bedford"/>
    <n v="1010"/>
    <n v="237"/>
    <n v="133"/>
    <n v="129"/>
    <n v="263"/>
    <n v="248"/>
    <n v="199"/>
    <n v="310"/>
    <n v="501"/>
    <n v="942"/>
    <n v="68"/>
    <x v="2250"/>
    <x v="0"/>
  </r>
  <r>
    <n v="42011"/>
    <x v="38"/>
    <s v="Berks"/>
    <n v="4536"/>
    <n v="954"/>
    <n v="536"/>
    <n v="593"/>
    <n v="1314"/>
    <n v="1139"/>
    <n v="1336"/>
    <n v="1293"/>
    <n v="1907"/>
    <n v="4117"/>
    <n v="419"/>
    <x v="2251"/>
    <x v="0"/>
  </r>
  <r>
    <n v="42013"/>
    <x v="38"/>
    <s v="Blair"/>
    <n v="2862"/>
    <n v="659"/>
    <n v="348"/>
    <n v="365"/>
    <n v="829"/>
    <n v="661"/>
    <n v="563"/>
    <n v="894"/>
    <n v="1405"/>
    <n v="2629"/>
    <n v="233"/>
    <x v="2252"/>
    <x v="0"/>
  </r>
  <r>
    <n v="42015"/>
    <x v="38"/>
    <s v="Bradford"/>
    <n v="1172"/>
    <n v="253"/>
    <n v="147"/>
    <n v="132"/>
    <n v="349"/>
    <n v="291"/>
    <n v="297"/>
    <n v="370"/>
    <n v="505"/>
    <n v="1061"/>
    <n v="111"/>
    <x v="2253"/>
    <x v="0"/>
  </r>
  <r>
    <n v="42017"/>
    <x v="38"/>
    <s v="Bucks"/>
    <n v="6156"/>
    <n v="1264"/>
    <n v="664"/>
    <n v="736"/>
    <n v="1891"/>
    <n v="1601"/>
    <n v="1698"/>
    <n v="1658"/>
    <n v="2800"/>
    <n v="5642"/>
    <n v="511"/>
    <x v="2254"/>
    <x v="0"/>
  </r>
  <r>
    <n v="42019"/>
    <x v="38"/>
    <s v="Butler"/>
    <n v="3361"/>
    <n v="809"/>
    <n v="428"/>
    <n v="442"/>
    <n v="870"/>
    <n v="812"/>
    <n v="891"/>
    <n v="1002"/>
    <n v="1468"/>
    <n v="3054"/>
    <n v="307"/>
    <x v="2255"/>
    <x v="0"/>
  </r>
  <r>
    <n v="42021"/>
    <x v="38"/>
    <s v="Cambria"/>
    <n v="2958"/>
    <n v="720"/>
    <n v="354"/>
    <n v="404"/>
    <n v="832"/>
    <n v="648"/>
    <n v="622"/>
    <n v="907"/>
    <n v="1429"/>
    <n v="2736"/>
    <n v="222"/>
    <x v="2256"/>
    <x v="0"/>
  </r>
  <r>
    <n v="42023"/>
    <x v="38"/>
    <s v="Cameron"/>
    <n v="118"/>
    <n v="26"/>
    <n v="15"/>
    <n v="15"/>
    <n v="43"/>
    <n v="19"/>
    <n v="29"/>
    <n v="28"/>
    <n v="61"/>
    <m/>
    <m/>
    <x v="2257"/>
    <x v="0"/>
  </r>
  <r>
    <n v="42025"/>
    <x v="38"/>
    <s v="Carbon"/>
    <n v="1190"/>
    <n v="248"/>
    <n v="129"/>
    <n v="136"/>
    <n v="367"/>
    <n v="310"/>
    <n v="287"/>
    <n v="344"/>
    <n v="559"/>
    <n v="1098"/>
    <n v="92"/>
    <x v="2258"/>
    <x v="0"/>
  </r>
  <r>
    <n v="42027"/>
    <x v="38"/>
    <s v="Centre"/>
    <n v="2127"/>
    <n v="590"/>
    <n v="253"/>
    <n v="255"/>
    <n v="593"/>
    <n v="436"/>
    <n v="604"/>
    <n v="646"/>
    <n v="877"/>
    <n v="1919"/>
    <n v="208"/>
    <x v="2259"/>
    <x v="0"/>
  </r>
  <r>
    <n v="42029"/>
    <x v="38"/>
    <s v="Chester"/>
    <n v="5604"/>
    <n v="1155"/>
    <n v="555"/>
    <n v="644"/>
    <n v="1708"/>
    <n v="1542"/>
    <n v="1471"/>
    <n v="1567"/>
    <n v="2566"/>
    <n v="5102"/>
    <n v="502"/>
    <x v="2260"/>
    <x v="0"/>
  </r>
  <r>
    <n v="42031"/>
    <x v="38"/>
    <s v="Clarion"/>
    <n v="633"/>
    <n v="145"/>
    <n v="78"/>
    <n v="85"/>
    <n v="188"/>
    <n v="137"/>
    <n v="153"/>
    <n v="202"/>
    <n v="278"/>
    <n v="590"/>
    <n v="42"/>
    <x v="2261"/>
    <x v="0"/>
  </r>
  <r>
    <n v="42033"/>
    <x v="38"/>
    <s v="Clearfield"/>
    <n v="1682"/>
    <n v="388"/>
    <n v="224"/>
    <n v="204"/>
    <n v="469"/>
    <n v="397"/>
    <n v="361"/>
    <n v="551"/>
    <n v="770"/>
    <n v="1557"/>
    <n v="124"/>
    <x v="2262"/>
    <x v="0"/>
  </r>
  <r>
    <n v="42035"/>
    <x v="38"/>
    <s v="Clinton"/>
    <n v="1008"/>
    <n v="266"/>
    <n v="120"/>
    <n v="139"/>
    <n v="269"/>
    <n v="214"/>
    <n v="203"/>
    <n v="292"/>
    <n v="513"/>
    <n v="940"/>
    <n v="68"/>
    <x v="2263"/>
    <x v="0"/>
  </r>
  <r>
    <n v="42037"/>
    <x v="38"/>
    <s v="Columbia"/>
    <n v="1105"/>
    <n v="233"/>
    <n v="132"/>
    <n v="135"/>
    <n v="342"/>
    <n v="263"/>
    <n v="294"/>
    <n v="360"/>
    <n v="451"/>
    <n v="1000"/>
    <n v="105"/>
    <x v="2264"/>
    <x v="0"/>
  </r>
  <r>
    <n v="42039"/>
    <x v="38"/>
    <s v="Crawford"/>
    <n v="1972"/>
    <n v="529"/>
    <n v="220"/>
    <n v="255"/>
    <n v="495"/>
    <n v="473"/>
    <n v="432"/>
    <n v="591"/>
    <n v="949"/>
    <n v="1823"/>
    <n v="149"/>
    <x v="2265"/>
    <x v="0"/>
  </r>
  <r>
    <n v="42041"/>
    <x v="38"/>
    <s v="Cumberland"/>
    <n v="5490"/>
    <n v="1094"/>
    <n v="702"/>
    <n v="732"/>
    <n v="1580"/>
    <n v="1382"/>
    <n v="1414"/>
    <n v="2108"/>
    <n v="1968"/>
    <n v="4779"/>
    <n v="711"/>
    <x v="2266"/>
    <x v="0"/>
  </r>
  <r>
    <n v="42043"/>
    <x v="38"/>
    <s v="Dauphin"/>
    <n v="4302"/>
    <n v="828"/>
    <n v="483"/>
    <n v="539"/>
    <n v="1313"/>
    <n v="1139"/>
    <n v="1180"/>
    <n v="1541"/>
    <n v="1581"/>
    <n v="3715"/>
    <n v="586"/>
    <x v="2267"/>
    <x v="0"/>
  </r>
  <r>
    <n v="42045"/>
    <x v="38"/>
    <s v="Delaware"/>
    <n v="5093"/>
    <n v="1026"/>
    <n v="508"/>
    <n v="551"/>
    <n v="1546"/>
    <n v="1462"/>
    <n v="1285"/>
    <n v="1438"/>
    <n v="2370"/>
    <n v="4575"/>
    <n v="516"/>
    <x v="2268"/>
    <x v="0"/>
  </r>
  <r>
    <n v="42047"/>
    <x v="38"/>
    <s v="Elk"/>
    <n v="523"/>
    <n v="132"/>
    <n v="78"/>
    <n v="76"/>
    <n v="141"/>
    <n v="96"/>
    <n v="99"/>
    <n v="149"/>
    <n v="275"/>
    <n v="486"/>
    <n v="37"/>
    <x v="2269"/>
    <x v="0"/>
  </r>
  <r>
    <n v="42049"/>
    <x v="38"/>
    <s v="Erie"/>
    <n v="5311"/>
    <n v="1403"/>
    <n v="601"/>
    <n v="620"/>
    <n v="1475"/>
    <n v="1212"/>
    <n v="1337"/>
    <n v="1577"/>
    <n v="2397"/>
    <n v="4823"/>
    <n v="487"/>
    <x v="2270"/>
    <x v="0"/>
  </r>
  <r>
    <n v="42051"/>
    <x v="38"/>
    <s v="Fayette"/>
    <n v="2165"/>
    <n v="483"/>
    <n v="268"/>
    <n v="279"/>
    <n v="645"/>
    <n v="490"/>
    <n v="391"/>
    <n v="691"/>
    <n v="1083"/>
    <n v="2026"/>
    <n v="138"/>
    <x v="2271"/>
    <x v="0"/>
  </r>
  <r>
    <n v="42053"/>
    <x v="38"/>
    <s v="Forest"/>
    <n v="152"/>
    <n v="49"/>
    <n v="17"/>
    <n v="23"/>
    <n v="31"/>
    <n v="32"/>
    <n v="18"/>
    <n v="51"/>
    <n v="83"/>
    <m/>
    <m/>
    <x v="2272"/>
    <x v="0"/>
  </r>
  <r>
    <n v="42055"/>
    <x v="38"/>
    <s v="Franklin"/>
    <n v="3011"/>
    <n v="652"/>
    <n v="420"/>
    <n v="404"/>
    <n v="867"/>
    <n v="668"/>
    <n v="829"/>
    <n v="1016"/>
    <n v="1166"/>
    <n v="2676"/>
    <n v="335"/>
    <x v="2273"/>
    <x v="0"/>
  </r>
  <r>
    <n v="42057"/>
    <x v="38"/>
    <s v="Fulton"/>
    <n v="235"/>
    <n v="48"/>
    <n v="30"/>
    <n v="28"/>
    <n v="68"/>
    <n v="61"/>
    <n v="72"/>
    <n v="63"/>
    <n v="100"/>
    <n v="213"/>
    <n v="22"/>
    <x v="2274"/>
    <x v="0"/>
  </r>
  <r>
    <n v="42059"/>
    <x v="38"/>
    <s v="Greene"/>
    <n v="621"/>
    <n v="126"/>
    <n v="91"/>
    <n v="83"/>
    <n v="198"/>
    <n v="123"/>
    <n v="130"/>
    <n v="193"/>
    <n v="298"/>
    <n v="572"/>
    <n v="49"/>
    <x v="2275"/>
    <x v="0"/>
  </r>
  <r>
    <n v="42061"/>
    <x v="38"/>
    <s v="Huntingdon"/>
    <n v="957"/>
    <n v="269"/>
    <n v="127"/>
    <n v="143"/>
    <n v="243"/>
    <n v="175"/>
    <n v="188"/>
    <n v="297"/>
    <n v="472"/>
    <n v="892"/>
    <n v="63"/>
    <x v="2276"/>
    <x v="0"/>
  </r>
  <r>
    <n v="42063"/>
    <x v="38"/>
    <s v="Indiana"/>
    <n v="1235"/>
    <n v="271"/>
    <n v="166"/>
    <n v="164"/>
    <n v="362"/>
    <n v="272"/>
    <n v="318"/>
    <n v="351"/>
    <n v="566"/>
    <n v="1134"/>
    <n v="101"/>
    <x v="2277"/>
    <x v="0"/>
  </r>
  <r>
    <n v="42065"/>
    <x v="38"/>
    <s v="Jefferson"/>
    <n v="775"/>
    <n v="205"/>
    <n v="95"/>
    <n v="88"/>
    <n v="218"/>
    <n v="169"/>
    <n v="172"/>
    <n v="232"/>
    <n v="371"/>
    <n v="718"/>
    <n v="57"/>
    <x v="2278"/>
    <x v="0"/>
  </r>
  <r>
    <n v="42067"/>
    <x v="38"/>
    <s v="Juniata"/>
    <n v="229"/>
    <n v="56"/>
    <n v="26"/>
    <n v="29"/>
    <n v="78"/>
    <n v="40"/>
    <n v="50"/>
    <n v="77"/>
    <n v="102"/>
    <n v="203"/>
    <n v="26"/>
    <x v="2279"/>
    <x v="0"/>
  </r>
  <r>
    <n v="42069"/>
    <x v="38"/>
    <s v="Lackawanna"/>
    <n v="3036"/>
    <n v="627"/>
    <n v="309"/>
    <n v="350"/>
    <n v="940"/>
    <n v="810"/>
    <n v="761"/>
    <n v="801"/>
    <n v="1474"/>
    <n v="2783"/>
    <n v="253"/>
    <x v="2280"/>
    <x v="0"/>
  </r>
  <r>
    <n v="42071"/>
    <x v="38"/>
    <s v="Lancaster"/>
    <n v="5475"/>
    <n v="1189"/>
    <n v="684"/>
    <n v="694"/>
    <n v="1514"/>
    <n v="1394"/>
    <n v="1621"/>
    <n v="1562"/>
    <n v="2292"/>
    <n v="4900"/>
    <n v="575"/>
    <x v="2281"/>
    <x v="0"/>
  </r>
  <r>
    <n v="42073"/>
    <x v="38"/>
    <s v="Lawrence"/>
    <n v="1435"/>
    <n v="359"/>
    <n v="188"/>
    <n v="175"/>
    <n v="376"/>
    <n v="337"/>
    <n v="345"/>
    <n v="450"/>
    <n v="640"/>
    <n v="1319"/>
    <n v="114"/>
    <x v="2282"/>
    <x v="0"/>
  </r>
  <r>
    <n v="42075"/>
    <x v="38"/>
    <s v="Lebanon"/>
    <n v="2870"/>
    <n v="584"/>
    <n v="340"/>
    <n v="319"/>
    <n v="828"/>
    <n v="799"/>
    <n v="670"/>
    <n v="1020"/>
    <n v="1180"/>
    <n v="2557"/>
    <n v="313"/>
    <x v="2283"/>
    <x v="0"/>
  </r>
  <r>
    <n v="42077"/>
    <x v="38"/>
    <s v="Lehigh"/>
    <n v="3387"/>
    <n v="712"/>
    <n v="395"/>
    <n v="430"/>
    <n v="974"/>
    <n v="876"/>
    <n v="1021"/>
    <n v="927"/>
    <n v="1439"/>
    <n v="3057"/>
    <n v="330"/>
    <x v="2284"/>
    <x v="0"/>
  </r>
  <r>
    <n v="42079"/>
    <x v="38"/>
    <s v="Luzerne"/>
    <n v="5090"/>
    <n v="1130"/>
    <n v="531"/>
    <n v="635"/>
    <n v="1502"/>
    <n v="1292"/>
    <n v="1117"/>
    <n v="1448"/>
    <n v="2525"/>
    <n v="4659"/>
    <n v="431"/>
    <x v="2285"/>
    <x v="0"/>
  </r>
  <r>
    <n v="42081"/>
    <x v="38"/>
    <s v="Lycoming"/>
    <n v="2229"/>
    <n v="539"/>
    <n v="270"/>
    <n v="307"/>
    <n v="646"/>
    <n v="467"/>
    <n v="617"/>
    <n v="706"/>
    <n v="906"/>
    <n v="1990"/>
    <n v="239"/>
    <x v="2286"/>
    <x v="0"/>
  </r>
  <r>
    <n v="42083"/>
    <x v="38"/>
    <s v="McKean"/>
    <n v="886"/>
    <n v="243"/>
    <n v="106"/>
    <n v="107"/>
    <n v="241"/>
    <n v="189"/>
    <n v="188"/>
    <n v="250"/>
    <n v="448"/>
    <n v="831"/>
    <n v="55"/>
    <x v="2287"/>
    <x v="0"/>
  </r>
  <r>
    <n v="42085"/>
    <x v="38"/>
    <s v="Mercer"/>
    <n v="1939"/>
    <n v="433"/>
    <n v="221"/>
    <n v="263"/>
    <n v="513"/>
    <n v="509"/>
    <n v="500"/>
    <n v="604"/>
    <n v="835"/>
    <n v="1739"/>
    <n v="200"/>
    <x v="2288"/>
    <x v="0"/>
  </r>
  <r>
    <n v="42087"/>
    <x v="38"/>
    <s v="Mifflin"/>
    <n v="737"/>
    <n v="168"/>
    <n v="98"/>
    <n v="111"/>
    <n v="201"/>
    <n v="159"/>
    <n v="168"/>
    <n v="236"/>
    <n v="333"/>
    <n v="675"/>
    <n v="62"/>
    <x v="2289"/>
    <x v="0"/>
  </r>
  <r>
    <n v="42089"/>
    <x v="38"/>
    <s v="Monroe"/>
    <n v="2410"/>
    <n v="440"/>
    <n v="218"/>
    <n v="261"/>
    <n v="728"/>
    <n v="763"/>
    <n v="661"/>
    <n v="727"/>
    <n v="1022"/>
    <n v="2158"/>
    <n v="252"/>
    <x v="2290"/>
    <x v="0"/>
  </r>
  <r>
    <n v="42091"/>
    <x v="38"/>
    <s v="Montgomery"/>
    <n v="7535"/>
    <n v="1483"/>
    <n v="866"/>
    <n v="869"/>
    <n v="2255"/>
    <n v="2062"/>
    <n v="2171"/>
    <n v="2115"/>
    <n v="3248"/>
    <n v="6812"/>
    <n v="723"/>
    <x v="2291"/>
    <x v="0"/>
  </r>
  <r>
    <n v="42093"/>
    <x v="38"/>
    <s v="Montour"/>
    <n v="322"/>
    <n v="65"/>
    <n v="50"/>
    <n v="29"/>
    <n v="97"/>
    <n v="81"/>
    <n v="94"/>
    <n v="103"/>
    <n v="125"/>
    <n v="295"/>
    <n v="27"/>
    <x v="2292"/>
    <x v="0"/>
  </r>
  <r>
    <n v="42095"/>
    <x v="38"/>
    <s v="Northampton"/>
    <n v="3245"/>
    <n v="706"/>
    <n v="362"/>
    <n v="403"/>
    <n v="977"/>
    <n v="797"/>
    <n v="904"/>
    <n v="861"/>
    <n v="1480"/>
    <n v="2970"/>
    <n v="274"/>
    <x v="2293"/>
    <x v="0"/>
  </r>
  <r>
    <n v="42097"/>
    <x v="38"/>
    <s v="Northumberland"/>
    <n v="1483"/>
    <n v="335"/>
    <n v="200"/>
    <n v="172"/>
    <n v="422"/>
    <n v="354"/>
    <n v="370"/>
    <n v="455"/>
    <n v="658"/>
    <n v="1369"/>
    <n v="114"/>
    <x v="2294"/>
    <x v="0"/>
  </r>
  <r>
    <n v="42099"/>
    <x v="38"/>
    <s v="Perry"/>
    <n v="877"/>
    <n v="203"/>
    <n v="106"/>
    <n v="123"/>
    <n v="251"/>
    <n v="194"/>
    <n v="225"/>
    <n v="289"/>
    <n v="363"/>
    <n v="796"/>
    <n v="81"/>
    <x v="2295"/>
    <x v="0"/>
  </r>
  <r>
    <n v="42101"/>
    <x v="38"/>
    <s v="Philadelphia"/>
    <n v="12924"/>
    <n v="2127"/>
    <n v="1154"/>
    <n v="1409"/>
    <n v="4335"/>
    <n v="3899"/>
    <n v="3596"/>
    <n v="3642"/>
    <n v="5686"/>
    <n v="11337"/>
    <n v="1586"/>
    <x v="2296"/>
    <x v="0"/>
  </r>
  <r>
    <n v="42103"/>
    <x v="38"/>
    <s v="Pike"/>
    <n v="1207"/>
    <n v="229"/>
    <n v="119"/>
    <n v="123"/>
    <n v="376"/>
    <n v="360"/>
    <n v="349"/>
    <n v="348"/>
    <n v="510"/>
    <n v="1094"/>
    <n v="113"/>
    <x v="2297"/>
    <x v="0"/>
  </r>
  <r>
    <n v="42105"/>
    <x v="38"/>
    <s v="Potter"/>
    <n v="436"/>
    <n v="111"/>
    <n v="42"/>
    <n v="58"/>
    <n v="122"/>
    <n v="103"/>
    <n v="67"/>
    <n v="125"/>
    <n v="244"/>
    <n v="410"/>
    <n v="26"/>
    <x v="2298"/>
    <x v="0"/>
  </r>
  <r>
    <n v="42107"/>
    <x v="38"/>
    <s v="Schuylkill"/>
    <n v="2282"/>
    <n v="419"/>
    <n v="253"/>
    <n v="307"/>
    <n v="727"/>
    <n v="576"/>
    <n v="508"/>
    <n v="720"/>
    <n v="1054"/>
    <n v="2066"/>
    <n v="216"/>
    <x v="2299"/>
    <x v="0"/>
  </r>
  <r>
    <n v="42109"/>
    <x v="38"/>
    <s v="Snyder"/>
    <n v="439"/>
    <n v="109"/>
    <n v="54"/>
    <n v="74"/>
    <n v="111"/>
    <n v="91"/>
    <n v="108"/>
    <n v="130"/>
    <n v="201"/>
    <n v="403"/>
    <n v="36"/>
    <x v="2300"/>
    <x v="0"/>
  </r>
  <r>
    <n v="42111"/>
    <x v="38"/>
    <s v="Somerset"/>
    <n v="1423"/>
    <n v="303"/>
    <n v="189"/>
    <n v="178"/>
    <n v="409"/>
    <n v="344"/>
    <n v="292"/>
    <n v="419"/>
    <n v="712"/>
    <n v="1327"/>
    <n v="96"/>
    <x v="2301"/>
    <x v="0"/>
  </r>
  <r>
    <n v="42113"/>
    <x v="38"/>
    <s v="Sullivan"/>
    <n v="146"/>
    <n v="38"/>
    <n v="19"/>
    <n v="16"/>
    <n v="39"/>
    <n v="34"/>
    <n v="37"/>
    <n v="40"/>
    <n v="69"/>
    <n v="135"/>
    <n v="11"/>
    <x v="2302"/>
    <x v="0"/>
  </r>
  <r>
    <n v="42115"/>
    <x v="38"/>
    <s v="Susquehanna"/>
    <n v="678"/>
    <n v="145"/>
    <n v="69"/>
    <n v="93"/>
    <n v="210"/>
    <n v="161"/>
    <n v="175"/>
    <n v="180"/>
    <n v="323"/>
    <n v="628"/>
    <n v="50"/>
    <x v="2303"/>
    <x v="0"/>
  </r>
  <r>
    <n v="42117"/>
    <x v="38"/>
    <s v="Tioga"/>
    <n v="1042"/>
    <n v="251"/>
    <n v="132"/>
    <n v="124"/>
    <n v="282"/>
    <n v="253"/>
    <n v="220"/>
    <n v="327"/>
    <n v="495"/>
    <n v="973"/>
    <n v="68"/>
    <x v="2304"/>
    <x v="0"/>
  </r>
  <r>
    <n v="42119"/>
    <x v="38"/>
    <s v="Union"/>
    <n v="457"/>
    <n v="97"/>
    <n v="55"/>
    <n v="56"/>
    <n v="141"/>
    <n v="108"/>
    <n v="119"/>
    <n v="159"/>
    <n v="179"/>
    <n v="411"/>
    <n v="46"/>
    <x v="2305"/>
    <x v="0"/>
  </r>
  <r>
    <n v="42121"/>
    <x v="38"/>
    <s v="Venango"/>
    <n v="1209"/>
    <n v="339"/>
    <n v="155"/>
    <n v="160"/>
    <n v="315"/>
    <n v="240"/>
    <n v="257"/>
    <n v="383"/>
    <n v="569"/>
    <n v="1127"/>
    <n v="82"/>
    <x v="2306"/>
    <x v="0"/>
  </r>
  <r>
    <n v="42123"/>
    <x v="38"/>
    <s v="Warren"/>
    <n v="1163"/>
    <n v="421"/>
    <n v="149"/>
    <n v="124"/>
    <n v="266"/>
    <n v="203"/>
    <n v="229"/>
    <n v="335"/>
    <n v="599"/>
    <n v="1080"/>
    <n v="83"/>
    <x v="2307"/>
    <x v="0"/>
  </r>
  <r>
    <n v="42125"/>
    <x v="38"/>
    <s v="Washington"/>
    <n v="3159"/>
    <n v="780"/>
    <n v="434"/>
    <n v="412"/>
    <n v="839"/>
    <n v="694"/>
    <n v="710"/>
    <n v="874"/>
    <n v="1575"/>
    <n v="2922"/>
    <n v="237"/>
    <x v="2308"/>
    <x v="0"/>
  </r>
  <r>
    <n v="42127"/>
    <x v="38"/>
    <s v="Wayne"/>
    <n v="1030"/>
    <n v="238"/>
    <n v="119"/>
    <n v="113"/>
    <n v="270"/>
    <n v="290"/>
    <n v="234"/>
    <n v="298"/>
    <n v="498"/>
    <n v="936"/>
    <n v="94"/>
    <x v="2309"/>
    <x v="0"/>
  </r>
  <r>
    <n v="42129"/>
    <x v="38"/>
    <s v="Westmoreland"/>
    <n v="5296"/>
    <n v="1253"/>
    <n v="740"/>
    <n v="710"/>
    <n v="1408"/>
    <n v="1185"/>
    <n v="1270"/>
    <n v="1457"/>
    <n v="2569"/>
    <n v="4866"/>
    <n v="427"/>
    <x v="2310"/>
    <x v="0"/>
  </r>
  <r>
    <n v="42131"/>
    <x v="38"/>
    <s v="Wyoming"/>
    <n v="476"/>
    <n v="83"/>
    <n v="49"/>
    <n v="52"/>
    <n v="156"/>
    <n v="136"/>
    <n v="112"/>
    <n v="141"/>
    <n v="223"/>
    <n v="436"/>
    <n v="40"/>
    <x v="2311"/>
    <x v="0"/>
  </r>
  <r>
    <n v="42133"/>
    <x v="38"/>
    <s v="York"/>
    <n v="7601"/>
    <n v="1540"/>
    <n v="895"/>
    <n v="977"/>
    <n v="2205"/>
    <n v="1984"/>
    <n v="2308"/>
    <n v="2689"/>
    <n v="2604"/>
    <n v="6696"/>
    <n v="904"/>
    <x v="2312"/>
    <x v="0"/>
  </r>
  <r>
    <n v="44001"/>
    <x v="39"/>
    <s v="Bristol"/>
    <n v="767"/>
    <n v="209"/>
    <n v="97"/>
    <n v="82"/>
    <n v="201"/>
    <n v="178"/>
    <n v="163"/>
    <n v="216"/>
    <n v="388"/>
    <n v="697"/>
    <n v="70"/>
    <x v="2313"/>
    <x v="0"/>
  </r>
  <r>
    <n v="44003"/>
    <x v="39"/>
    <s v="Kent"/>
    <n v="3411"/>
    <n v="801"/>
    <n v="412"/>
    <n v="448"/>
    <n v="994"/>
    <n v="756"/>
    <n v="980"/>
    <n v="966"/>
    <n v="1465"/>
    <n v="3101"/>
    <n v="310"/>
    <x v="2314"/>
    <x v="0"/>
  </r>
  <r>
    <n v="44005"/>
    <x v="39"/>
    <s v="Newport"/>
    <n v="1996"/>
    <n v="474"/>
    <n v="248"/>
    <n v="290"/>
    <n v="553"/>
    <n v="431"/>
    <n v="439"/>
    <n v="670"/>
    <n v="887"/>
    <n v="1732"/>
    <n v="264"/>
    <x v="2315"/>
    <x v="0"/>
  </r>
  <r>
    <n v="44007"/>
    <x v="39"/>
    <s v="Providence"/>
    <n v="7775"/>
    <n v="1909"/>
    <n v="937"/>
    <n v="1046"/>
    <n v="2224"/>
    <n v="1659"/>
    <n v="2281"/>
    <n v="1973"/>
    <n v="3521"/>
    <n v="7110"/>
    <n v="665"/>
    <x v="2316"/>
    <x v="0"/>
  </r>
  <r>
    <n v="44009"/>
    <x v="39"/>
    <s v="Washington"/>
    <n v="2263"/>
    <n v="603"/>
    <n v="287"/>
    <n v="286"/>
    <n v="637"/>
    <n v="450"/>
    <n v="492"/>
    <n v="653"/>
    <n v="1118"/>
    <n v="2072"/>
    <n v="189"/>
    <x v="2317"/>
    <x v="0"/>
  </r>
  <r>
    <n v="45001"/>
    <x v="40"/>
    <s v="Abbeville"/>
    <n v="637"/>
    <n v="107"/>
    <n v="51"/>
    <n v="82"/>
    <n v="198"/>
    <n v="199"/>
    <n v="119"/>
    <n v="196"/>
    <n v="322"/>
    <n v="575"/>
    <n v="62"/>
    <x v="2318"/>
    <x v="0"/>
  </r>
  <r>
    <n v="45003"/>
    <x v="40"/>
    <s v="Aiken"/>
    <n v="5544"/>
    <n v="807"/>
    <n v="577"/>
    <n v="665"/>
    <n v="1785"/>
    <n v="1710"/>
    <n v="1612"/>
    <n v="2019"/>
    <n v="1913"/>
    <n v="4678"/>
    <n v="865"/>
    <x v="2319"/>
    <x v="0"/>
  </r>
  <r>
    <n v="45005"/>
    <x v="40"/>
    <s v="Allendale"/>
    <n v="174"/>
    <n v="20"/>
    <n v="14"/>
    <n v="22"/>
    <n v="62"/>
    <n v="56"/>
    <n v="18"/>
    <n v="75"/>
    <n v="81"/>
    <n v="152"/>
    <n v="22"/>
    <x v="2320"/>
    <x v="0"/>
  </r>
  <r>
    <n v="45007"/>
    <x v="40"/>
    <s v="Anderson"/>
    <n v="4541"/>
    <n v="766"/>
    <n v="485"/>
    <n v="593"/>
    <n v="1411"/>
    <n v="1286"/>
    <n v="1134"/>
    <n v="1466"/>
    <n v="1941"/>
    <n v="4103"/>
    <n v="437"/>
    <x v="2321"/>
    <x v="0"/>
  </r>
  <r>
    <n v="45009"/>
    <x v="40"/>
    <s v="Bamberg"/>
    <n v="313"/>
    <n v="51"/>
    <n v="32"/>
    <n v="42"/>
    <n v="104"/>
    <n v="84"/>
    <n v="53"/>
    <n v="113"/>
    <n v="147"/>
    <n v="272"/>
    <n v="40"/>
    <x v="2322"/>
    <x v="0"/>
  </r>
  <r>
    <n v="45011"/>
    <x v="40"/>
    <s v="Barnwell"/>
    <n v="461"/>
    <n v="82"/>
    <n v="49"/>
    <n v="71"/>
    <n v="153"/>
    <n v="106"/>
    <n v="78"/>
    <n v="181"/>
    <n v="202"/>
    <n v="414"/>
    <n v="47"/>
    <x v="2323"/>
    <x v="0"/>
  </r>
  <r>
    <n v="45013"/>
    <x v="40"/>
    <s v="Beaufort"/>
    <n v="6801"/>
    <n v="1148"/>
    <n v="793"/>
    <n v="816"/>
    <n v="2057"/>
    <n v="1987"/>
    <n v="2045"/>
    <n v="2191"/>
    <n v="2565"/>
    <n v="5793"/>
    <n v="1008"/>
    <x v="2324"/>
    <x v="0"/>
  </r>
  <r>
    <n v="45015"/>
    <x v="40"/>
    <s v="Berkeley"/>
    <n v="12046"/>
    <n v="1828"/>
    <n v="1227"/>
    <n v="1567"/>
    <n v="3900"/>
    <n v="3524"/>
    <n v="4095"/>
    <n v="4479"/>
    <n v="3472"/>
    <n v="10000"/>
    <n v="2043"/>
    <x v="2325"/>
    <x v="0"/>
  </r>
  <r>
    <n v="45017"/>
    <x v="40"/>
    <s v="Calhoun"/>
    <n v="458"/>
    <n v="83"/>
    <n v="50"/>
    <n v="47"/>
    <n v="144"/>
    <n v="134"/>
    <n v="96"/>
    <n v="159"/>
    <n v="203"/>
    <n v="403"/>
    <n v="55"/>
    <x v="2326"/>
    <x v="0"/>
  </r>
  <r>
    <n v="45019"/>
    <x v="40"/>
    <s v="Charleston"/>
    <n v="10261"/>
    <n v="1927"/>
    <n v="1222"/>
    <n v="1319"/>
    <n v="3155"/>
    <n v="2638"/>
    <n v="2879"/>
    <n v="3367"/>
    <n v="4015"/>
    <n v="8815"/>
    <n v="1446"/>
    <x v="2327"/>
    <x v="0"/>
  </r>
  <r>
    <n v="45021"/>
    <x v="40"/>
    <s v="Cherokee"/>
    <n v="1024"/>
    <n v="178"/>
    <n v="105"/>
    <n v="129"/>
    <n v="344"/>
    <n v="268"/>
    <n v="231"/>
    <n v="314"/>
    <n v="479"/>
    <n v="937"/>
    <n v="87"/>
    <x v="2328"/>
    <x v="0"/>
  </r>
  <r>
    <n v="45023"/>
    <x v="40"/>
    <s v="Chester"/>
    <n v="686"/>
    <n v="111"/>
    <n v="74"/>
    <n v="86"/>
    <n v="223"/>
    <n v="192"/>
    <n v="143"/>
    <n v="200"/>
    <n v="343"/>
    <n v="633"/>
    <n v="53"/>
    <x v="2329"/>
    <x v="0"/>
  </r>
  <r>
    <n v="45025"/>
    <x v="40"/>
    <s v="Chesterfield"/>
    <n v="976"/>
    <n v="150"/>
    <n v="99"/>
    <n v="123"/>
    <n v="336"/>
    <n v="268"/>
    <n v="235"/>
    <n v="318"/>
    <n v="423"/>
    <n v="857"/>
    <n v="119"/>
    <x v="2330"/>
    <x v="0"/>
  </r>
  <r>
    <n v="45027"/>
    <x v="40"/>
    <s v="Clarendon"/>
    <n v="1161"/>
    <n v="230"/>
    <n v="110"/>
    <n v="148"/>
    <n v="352"/>
    <n v="321"/>
    <n v="147"/>
    <n v="354"/>
    <n v="660"/>
    <n v="1047"/>
    <n v="114"/>
    <x v="2331"/>
    <x v="0"/>
  </r>
  <r>
    <n v="45029"/>
    <x v="40"/>
    <s v="Colleton"/>
    <n v="1174"/>
    <n v="188"/>
    <n v="123"/>
    <n v="158"/>
    <n v="376"/>
    <n v="329"/>
    <n v="231"/>
    <n v="430"/>
    <n v="513"/>
    <n v="1025"/>
    <n v="149"/>
    <x v="2332"/>
    <x v="0"/>
  </r>
  <r>
    <n v="45031"/>
    <x v="40"/>
    <s v="Darlington"/>
    <n v="1398"/>
    <n v="224"/>
    <n v="149"/>
    <n v="161"/>
    <n v="456"/>
    <n v="408"/>
    <n v="292"/>
    <n v="474"/>
    <n v="632"/>
    <n v="1236"/>
    <n v="161"/>
    <x v="2333"/>
    <x v="0"/>
  </r>
  <r>
    <n v="45033"/>
    <x v="40"/>
    <s v="Dillon"/>
    <n v="605"/>
    <n v="97"/>
    <n v="60"/>
    <n v="66"/>
    <n v="216"/>
    <n v="166"/>
    <n v="133"/>
    <n v="236"/>
    <n v="236"/>
    <n v="526"/>
    <n v="79"/>
    <x v="2334"/>
    <x v="0"/>
  </r>
  <r>
    <n v="45035"/>
    <x v="40"/>
    <s v="Dorchester"/>
    <n v="8138"/>
    <n v="1296"/>
    <n v="877"/>
    <n v="1044"/>
    <n v="2557"/>
    <n v="2364"/>
    <n v="2457"/>
    <n v="3304"/>
    <n v="2377"/>
    <n v="6768"/>
    <n v="1370"/>
    <x v="2335"/>
    <x v="0"/>
  </r>
  <r>
    <n v="45037"/>
    <x v="40"/>
    <s v="Edgefield"/>
    <n v="902"/>
    <n v="117"/>
    <n v="83"/>
    <n v="122"/>
    <n v="288"/>
    <n v="292"/>
    <n v="211"/>
    <n v="379"/>
    <n v="312"/>
    <n v="760"/>
    <n v="142"/>
    <x v="2336"/>
    <x v="0"/>
  </r>
  <r>
    <n v="45039"/>
    <x v="40"/>
    <s v="Fairfield"/>
    <n v="718"/>
    <n v="113"/>
    <n v="70"/>
    <n v="72"/>
    <n v="218"/>
    <n v="245"/>
    <n v="93"/>
    <n v="292"/>
    <n v="333"/>
    <n v="628"/>
    <n v="90"/>
    <x v="2337"/>
    <x v="0"/>
  </r>
  <r>
    <n v="45041"/>
    <x v="40"/>
    <s v="Florence"/>
    <n v="3271"/>
    <n v="496"/>
    <n v="311"/>
    <n v="391"/>
    <n v="1117"/>
    <n v="956"/>
    <n v="725"/>
    <n v="1191"/>
    <n v="1355"/>
    <n v="2800"/>
    <n v="471"/>
    <x v="2338"/>
    <x v="0"/>
  </r>
  <r>
    <n v="45043"/>
    <x v="40"/>
    <s v="Georgetown"/>
    <n v="1720"/>
    <n v="354"/>
    <n v="177"/>
    <n v="189"/>
    <n v="527"/>
    <n v="473"/>
    <n v="298"/>
    <n v="492"/>
    <n v="930"/>
    <n v="1530"/>
    <n v="190"/>
    <x v="2339"/>
    <x v="0"/>
  </r>
  <r>
    <n v="45045"/>
    <x v="40"/>
    <s v="Greenville"/>
    <n v="9668"/>
    <n v="1759"/>
    <n v="1076"/>
    <n v="1107"/>
    <n v="2973"/>
    <n v="2753"/>
    <n v="2961"/>
    <n v="3112"/>
    <n v="3594"/>
    <n v="8465"/>
    <n v="1202"/>
    <x v="2340"/>
    <x v="0"/>
  </r>
  <r>
    <n v="45047"/>
    <x v="40"/>
    <s v="Greenwood"/>
    <n v="1407"/>
    <n v="220"/>
    <n v="130"/>
    <n v="146"/>
    <n v="453"/>
    <n v="458"/>
    <n v="276"/>
    <n v="405"/>
    <n v="726"/>
    <n v="1285"/>
    <n v="122"/>
    <x v="2341"/>
    <x v="0"/>
  </r>
  <r>
    <n v="45049"/>
    <x v="40"/>
    <s v="Hampton"/>
    <n v="499"/>
    <n v="77"/>
    <n v="48"/>
    <n v="54"/>
    <n v="180"/>
    <n v="140"/>
    <n v="112"/>
    <n v="186"/>
    <n v="201"/>
    <n v="439"/>
    <n v="60"/>
    <x v="2342"/>
    <x v="0"/>
  </r>
  <r>
    <n v="45051"/>
    <x v="40"/>
    <s v="Horry"/>
    <n v="12060"/>
    <n v="2226"/>
    <n v="1119"/>
    <n v="1318"/>
    <n v="3584"/>
    <n v="3813"/>
    <n v="2230"/>
    <n v="3691"/>
    <n v="6138"/>
    <n v="10806"/>
    <n v="1252"/>
    <x v="2343"/>
    <x v="0"/>
  </r>
  <r>
    <n v="45053"/>
    <x v="40"/>
    <s v="Jasper"/>
    <n v="1051"/>
    <n v="160"/>
    <n v="104"/>
    <n v="126"/>
    <n v="333"/>
    <n v="328"/>
    <n v="224"/>
    <n v="338"/>
    <n v="489"/>
    <n v="910"/>
    <n v="141"/>
    <x v="2344"/>
    <x v="0"/>
  </r>
  <r>
    <n v="45055"/>
    <x v="40"/>
    <s v="Kershaw"/>
    <n v="3516"/>
    <n v="384"/>
    <n v="285"/>
    <n v="343"/>
    <n v="1060"/>
    <n v="1444"/>
    <n v="932"/>
    <n v="1442"/>
    <n v="1142"/>
    <n v="2852"/>
    <n v="664"/>
    <x v="2345"/>
    <x v="0"/>
  </r>
  <r>
    <n v="45057"/>
    <x v="40"/>
    <s v="Lancaster"/>
    <n v="2249"/>
    <n v="350"/>
    <n v="211"/>
    <n v="242"/>
    <n v="655"/>
    <n v="791"/>
    <n v="511"/>
    <n v="766"/>
    <n v="972"/>
    <n v="1975"/>
    <n v="274"/>
    <x v="2346"/>
    <x v="0"/>
  </r>
  <r>
    <n v="45059"/>
    <x v="40"/>
    <s v="Laurens"/>
    <n v="1487"/>
    <n v="244"/>
    <n v="150"/>
    <n v="190"/>
    <n v="458"/>
    <n v="445"/>
    <n v="298"/>
    <n v="459"/>
    <n v="730"/>
    <n v="1357"/>
    <n v="130"/>
    <x v="2347"/>
    <x v="0"/>
  </r>
  <r>
    <n v="45061"/>
    <x v="40"/>
    <s v="Lee"/>
    <n v="422"/>
    <n v="59"/>
    <n v="39"/>
    <n v="53"/>
    <n v="136"/>
    <n v="135"/>
    <n v="73"/>
    <n v="158"/>
    <n v="191"/>
    <n v="360"/>
    <n v="62"/>
    <x v="2348"/>
    <x v="0"/>
  </r>
  <r>
    <n v="45063"/>
    <x v="40"/>
    <s v="Lexington"/>
    <n v="9171"/>
    <n v="1306"/>
    <n v="809"/>
    <n v="1032"/>
    <n v="2781"/>
    <n v="3243"/>
    <n v="2802"/>
    <n v="3434"/>
    <n v="2935"/>
    <n v="7872"/>
    <n v="1299"/>
    <x v="2349"/>
    <x v="0"/>
  </r>
  <r>
    <n v="45065"/>
    <x v="40"/>
    <s v="McCormick"/>
    <n v="403"/>
    <n v="77"/>
    <n v="38"/>
    <n v="43"/>
    <n v="116"/>
    <n v="129"/>
    <n v="31"/>
    <n v="129"/>
    <n v="243"/>
    <n v="360"/>
    <n v="43"/>
    <x v="2350"/>
    <x v="0"/>
  </r>
  <r>
    <n v="45067"/>
    <x v="40"/>
    <s v="Marion"/>
    <n v="867"/>
    <n v="131"/>
    <n v="70"/>
    <n v="106"/>
    <n v="288"/>
    <n v="272"/>
    <n v="146"/>
    <n v="297"/>
    <n v="424"/>
    <n v="761"/>
    <n v="106"/>
    <x v="2351"/>
    <x v="0"/>
  </r>
  <r>
    <n v="45069"/>
    <x v="40"/>
    <s v="Marlboro"/>
    <n v="592"/>
    <n v="94"/>
    <n v="57"/>
    <n v="70"/>
    <n v="200"/>
    <n v="171"/>
    <n v="111"/>
    <n v="211"/>
    <n v="270"/>
    <n v="528"/>
    <n v="64"/>
    <x v="2352"/>
    <x v="0"/>
  </r>
  <r>
    <n v="45071"/>
    <x v="40"/>
    <s v="Newberry"/>
    <n v="814"/>
    <n v="120"/>
    <n v="89"/>
    <n v="99"/>
    <n v="237"/>
    <n v="269"/>
    <n v="147"/>
    <n v="264"/>
    <n v="403"/>
    <n v="740"/>
    <n v="74"/>
    <x v="2353"/>
    <x v="0"/>
  </r>
  <r>
    <n v="45073"/>
    <x v="40"/>
    <s v="Oconee"/>
    <n v="1927"/>
    <n v="384"/>
    <n v="188"/>
    <n v="236"/>
    <n v="553"/>
    <n v="566"/>
    <n v="419"/>
    <n v="553"/>
    <n v="955"/>
    <n v="1760"/>
    <n v="166"/>
    <x v="2354"/>
    <x v="0"/>
  </r>
  <r>
    <n v="45075"/>
    <x v="40"/>
    <s v="Orangeburg"/>
    <n v="2265"/>
    <n v="364"/>
    <n v="237"/>
    <n v="268"/>
    <n v="767"/>
    <n v="629"/>
    <n v="421"/>
    <n v="758"/>
    <n v="1086"/>
    <n v="1973"/>
    <n v="292"/>
    <x v="2355"/>
    <x v="0"/>
  </r>
  <r>
    <n v="45077"/>
    <x v="40"/>
    <s v="Pickens"/>
    <n v="2420"/>
    <n v="471"/>
    <n v="307"/>
    <n v="302"/>
    <n v="697"/>
    <n v="643"/>
    <n v="686"/>
    <n v="691"/>
    <n v="1043"/>
    <n v="2199"/>
    <n v="221"/>
    <x v="2356"/>
    <x v="0"/>
  </r>
  <r>
    <n v="45079"/>
    <x v="40"/>
    <s v="Richland"/>
    <n v="20680"/>
    <n v="2088"/>
    <n v="1459"/>
    <n v="1818"/>
    <n v="6138"/>
    <n v="9177"/>
    <n v="5471"/>
    <n v="8547"/>
    <n v="6662"/>
    <n v="15745"/>
    <n v="4933"/>
    <x v="2357"/>
    <x v="0"/>
  </r>
  <r>
    <n v="45081"/>
    <x v="40"/>
    <s v="Saluda"/>
    <n v="414"/>
    <n v="69"/>
    <n v="43"/>
    <n v="49"/>
    <n v="135"/>
    <n v="118"/>
    <n v="80"/>
    <n v="135"/>
    <n v="199"/>
    <n v="383"/>
    <n v="31"/>
    <x v="2358"/>
    <x v="0"/>
  </r>
  <r>
    <n v="45083"/>
    <x v="40"/>
    <s v="Spartanburg"/>
    <n v="6640"/>
    <n v="1128"/>
    <n v="692"/>
    <n v="806"/>
    <n v="2090"/>
    <n v="1924"/>
    <n v="2075"/>
    <n v="2107"/>
    <n v="2458"/>
    <n v="5837"/>
    <n v="802"/>
    <x v="2359"/>
    <x v="0"/>
  </r>
  <r>
    <n v="45085"/>
    <x v="40"/>
    <s v="Sumter"/>
    <n v="6412"/>
    <n v="869"/>
    <n v="577"/>
    <n v="728"/>
    <n v="1991"/>
    <n v="2247"/>
    <n v="1575"/>
    <n v="2569"/>
    <n v="2268"/>
    <n v="5226"/>
    <n v="1186"/>
    <x v="2360"/>
    <x v="0"/>
  </r>
  <r>
    <n v="45087"/>
    <x v="40"/>
    <s v="Union"/>
    <n v="566"/>
    <n v="98"/>
    <n v="57"/>
    <n v="70"/>
    <n v="181"/>
    <n v="160"/>
    <n v="81"/>
    <n v="216"/>
    <n v="269"/>
    <n v="522"/>
    <n v="44"/>
    <x v="2361"/>
    <x v="0"/>
  </r>
  <r>
    <n v="45089"/>
    <x v="40"/>
    <s v="Williamsburg"/>
    <n v="830"/>
    <n v="138"/>
    <n v="64"/>
    <n v="109"/>
    <n v="262"/>
    <n v="257"/>
    <n v="161"/>
    <n v="282"/>
    <n v="387"/>
    <n v="734"/>
    <n v="96"/>
    <x v="2362"/>
    <x v="0"/>
  </r>
  <r>
    <n v="45091"/>
    <x v="40"/>
    <s v="York"/>
    <n v="6184"/>
    <n v="943"/>
    <n v="614"/>
    <n v="683"/>
    <n v="1930"/>
    <n v="2014"/>
    <n v="1817"/>
    <n v="2201"/>
    <n v="2166"/>
    <n v="5403"/>
    <n v="781"/>
    <x v="2363"/>
    <x v="0"/>
  </r>
  <r>
    <n v="46003"/>
    <x v="41"/>
    <s v="Aurora"/>
    <n v="65"/>
    <n v="16"/>
    <m/>
    <n v="14"/>
    <m/>
    <n v="16"/>
    <n v="10"/>
    <n v="14"/>
    <n v="41"/>
    <m/>
    <m/>
    <x v="2364"/>
    <x v="0"/>
  </r>
  <r>
    <n v="46005"/>
    <x v="41"/>
    <s v="Beadle"/>
    <n v="279"/>
    <n v="114"/>
    <n v="30"/>
    <n v="26"/>
    <n v="62"/>
    <n v="47"/>
    <n v="39"/>
    <n v="76"/>
    <n v="164"/>
    <n v="259"/>
    <n v="20"/>
    <x v="2365"/>
    <x v="0"/>
  </r>
  <r>
    <n v="46007"/>
    <x v="41"/>
    <s v="Bennett"/>
    <n v="41"/>
    <m/>
    <m/>
    <m/>
    <n v="11"/>
    <n v="11"/>
    <n v="12"/>
    <n v="13"/>
    <n v="16"/>
    <m/>
    <m/>
    <x v="2366"/>
    <x v="0"/>
  </r>
  <r>
    <n v="46009"/>
    <x v="41"/>
    <s v="Bon Homme"/>
    <n v="143"/>
    <n v="49"/>
    <n v="32"/>
    <n v="18"/>
    <n v="27"/>
    <n v="17"/>
    <n v="27"/>
    <n v="38"/>
    <n v="78"/>
    <m/>
    <m/>
    <x v="2367"/>
    <x v="0"/>
  </r>
  <r>
    <n v="46011"/>
    <x v="41"/>
    <s v="Brookings"/>
    <n v="613"/>
    <n v="204"/>
    <n v="78"/>
    <n v="82"/>
    <n v="147"/>
    <n v="102"/>
    <n v="172"/>
    <n v="177"/>
    <n v="264"/>
    <n v="557"/>
    <n v="56"/>
    <x v="2368"/>
    <x v="0"/>
  </r>
  <r>
    <n v="46013"/>
    <x v="41"/>
    <s v="Brown"/>
    <n v="719"/>
    <n v="213"/>
    <n v="112"/>
    <n v="101"/>
    <n v="171"/>
    <n v="122"/>
    <n v="170"/>
    <n v="230"/>
    <n v="319"/>
    <n v="659"/>
    <n v="60"/>
    <x v="2369"/>
    <x v="0"/>
  </r>
  <r>
    <n v="46015"/>
    <x v="41"/>
    <s v="Brule"/>
    <n v="102"/>
    <n v="33"/>
    <n v="20"/>
    <n v="14"/>
    <n v="23"/>
    <n v="12"/>
    <n v="17"/>
    <n v="37"/>
    <n v="48"/>
    <n v="91"/>
    <n v="11"/>
    <x v="2370"/>
    <x v="0"/>
  </r>
  <r>
    <n v="46017"/>
    <x v="41"/>
    <s v="Buffalo"/>
    <n v="17"/>
    <m/>
    <m/>
    <m/>
    <m/>
    <m/>
    <m/>
    <m/>
    <m/>
    <m/>
    <m/>
    <x v="2371"/>
    <x v="0"/>
  </r>
  <r>
    <n v="46019"/>
    <x v="41"/>
    <s v="Butte"/>
    <n v="356"/>
    <n v="73"/>
    <n v="58"/>
    <n v="48"/>
    <n v="105"/>
    <n v="72"/>
    <n v="70"/>
    <n v="116"/>
    <n v="170"/>
    <n v="325"/>
    <n v="31"/>
    <x v="2372"/>
    <x v="0"/>
  </r>
  <r>
    <n v="46021"/>
    <x v="41"/>
    <s v="Campbell"/>
    <n v="26"/>
    <m/>
    <m/>
    <m/>
    <m/>
    <m/>
    <m/>
    <m/>
    <n v="14"/>
    <m/>
    <m/>
    <x v="2373"/>
    <x v="0"/>
  </r>
  <r>
    <n v="46023"/>
    <x v="41"/>
    <s v="Charles Mix"/>
    <n v="155"/>
    <n v="52"/>
    <n v="23"/>
    <n v="18"/>
    <n v="37"/>
    <n v="25"/>
    <n v="22"/>
    <n v="51"/>
    <n v="82"/>
    <m/>
    <m/>
    <x v="2374"/>
    <x v="0"/>
  </r>
  <r>
    <n v="46025"/>
    <x v="41"/>
    <s v="Clark"/>
    <n v="65"/>
    <n v="17"/>
    <m/>
    <m/>
    <n v="15"/>
    <n v="12"/>
    <n v="12"/>
    <n v="14"/>
    <n v="39"/>
    <m/>
    <m/>
    <x v="2375"/>
    <x v="0"/>
  </r>
  <r>
    <n v="46027"/>
    <x v="41"/>
    <s v="Clay"/>
    <n v="247"/>
    <n v="65"/>
    <n v="32"/>
    <n v="35"/>
    <n v="73"/>
    <n v="42"/>
    <n v="70"/>
    <n v="86"/>
    <n v="91"/>
    <n v="231"/>
    <n v="16"/>
    <x v="2376"/>
    <x v="0"/>
  </r>
  <r>
    <n v="46029"/>
    <x v="41"/>
    <s v="Codington"/>
    <n v="635"/>
    <n v="196"/>
    <n v="95"/>
    <n v="71"/>
    <n v="154"/>
    <n v="119"/>
    <n v="124"/>
    <n v="216"/>
    <n v="295"/>
    <n v="586"/>
    <n v="49"/>
    <x v="2377"/>
    <x v="0"/>
  </r>
  <r>
    <n v="46031"/>
    <x v="41"/>
    <s v="Corson"/>
    <n v="49"/>
    <n v="11"/>
    <m/>
    <m/>
    <n v="18"/>
    <m/>
    <n v="11"/>
    <n v="20"/>
    <n v="18"/>
    <m/>
    <m/>
    <x v="2378"/>
    <x v="0"/>
  </r>
  <r>
    <n v="46033"/>
    <x v="41"/>
    <s v="Custer"/>
    <n v="517"/>
    <n v="128"/>
    <n v="62"/>
    <n v="65"/>
    <n v="150"/>
    <n v="112"/>
    <n v="56"/>
    <n v="195"/>
    <n v="266"/>
    <n v="456"/>
    <n v="61"/>
    <x v="2379"/>
    <x v="0"/>
  </r>
  <r>
    <n v="46035"/>
    <x v="41"/>
    <s v="Davison"/>
    <n v="503"/>
    <n v="160"/>
    <n v="62"/>
    <n v="54"/>
    <n v="120"/>
    <n v="107"/>
    <n v="77"/>
    <n v="143"/>
    <n v="283"/>
    <n v="465"/>
    <n v="38"/>
    <x v="2380"/>
    <x v="0"/>
  </r>
  <r>
    <n v="46037"/>
    <x v="41"/>
    <s v="Day"/>
    <n v="178"/>
    <n v="60"/>
    <n v="16"/>
    <n v="21"/>
    <n v="45"/>
    <n v="36"/>
    <n v="30"/>
    <n v="44"/>
    <n v="104"/>
    <n v="166"/>
    <n v="12"/>
    <x v="2381"/>
    <x v="0"/>
  </r>
  <r>
    <n v="46039"/>
    <x v="41"/>
    <s v="Deuel"/>
    <n v="97"/>
    <n v="34"/>
    <n v="12"/>
    <n v="15"/>
    <n v="22"/>
    <n v="14"/>
    <n v="12"/>
    <n v="39"/>
    <n v="46"/>
    <n v="84"/>
    <n v="13"/>
    <x v="2382"/>
    <x v="0"/>
  </r>
  <r>
    <n v="46041"/>
    <x v="41"/>
    <s v="Dewey"/>
    <n v="73"/>
    <n v="15"/>
    <m/>
    <m/>
    <n v="22"/>
    <n v="16"/>
    <n v="19"/>
    <n v="23"/>
    <n v="31"/>
    <m/>
    <m/>
    <x v="2383"/>
    <x v="0"/>
  </r>
  <r>
    <n v="46043"/>
    <x v="41"/>
    <s v="Douglas"/>
    <n v="50"/>
    <n v="15"/>
    <m/>
    <n v="11"/>
    <n v="10"/>
    <m/>
    <n v="11"/>
    <n v="14"/>
    <n v="25"/>
    <m/>
    <m/>
    <x v="2384"/>
    <x v="0"/>
  </r>
  <r>
    <n v="46045"/>
    <x v="41"/>
    <s v="Edmunds"/>
    <n v="50"/>
    <n v="16"/>
    <m/>
    <m/>
    <n v="11"/>
    <m/>
    <m/>
    <m/>
    <n v="28"/>
    <m/>
    <m/>
    <x v="2385"/>
    <x v="0"/>
  </r>
  <r>
    <n v="46047"/>
    <x v="41"/>
    <s v="Fall River"/>
    <n v="598"/>
    <n v="118"/>
    <n v="73"/>
    <n v="79"/>
    <n v="158"/>
    <n v="170"/>
    <n v="66"/>
    <n v="212"/>
    <n v="320"/>
    <n v="528"/>
    <n v="70"/>
    <x v="2386"/>
    <x v="0"/>
  </r>
  <r>
    <n v="46049"/>
    <x v="41"/>
    <s v="Faulk"/>
    <n v="41"/>
    <m/>
    <m/>
    <m/>
    <m/>
    <n v="10"/>
    <m/>
    <m/>
    <n v="23"/>
    <m/>
    <m/>
    <x v="2387"/>
    <x v="0"/>
  </r>
  <r>
    <n v="46051"/>
    <x v="41"/>
    <s v="Grant"/>
    <n v="174"/>
    <n v="57"/>
    <n v="27"/>
    <n v="19"/>
    <n v="33"/>
    <n v="38"/>
    <n v="20"/>
    <n v="49"/>
    <n v="105"/>
    <m/>
    <m/>
    <x v="2388"/>
    <x v="0"/>
  </r>
  <r>
    <n v="46053"/>
    <x v="41"/>
    <s v="Gregory"/>
    <n v="91"/>
    <n v="26"/>
    <m/>
    <m/>
    <n v="29"/>
    <n v="18"/>
    <n v="19"/>
    <n v="23"/>
    <n v="49"/>
    <n v="76"/>
    <n v="15"/>
    <x v="2389"/>
    <x v="0"/>
  </r>
  <r>
    <n v="46055"/>
    <x v="41"/>
    <s v="Haakon"/>
    <n v="23"/>
    <m/>
    <m/>
    <m/>
    <m/>
    <m/>
    <m/>
    <m/>
    <n v="12"/>
    <m/>
    <m/>
    <x v="2390"/>
    <x v="0"/>
  </r>
  <r>
    <n v="46057"/>
    <x v="41"/>
    <s v="Hamlin"/>
    <n v="110"/>
    <n v="39"/>
    <n v="13"/>
    <n v="11"/>
    <n v="27"/>
    <n v="20"/>
    <n v="21"/>
    <n v="39"/>
    <n v="50"/>
    <n v="96"/>
    <n v="14"/>
    <x v="2391"/>
    <x v="0"/>
  </r>
  <r>
    <n v="46059"/>
    <x v="41"/>
    <s v="Hand"/>
    <n v="59"/>
    <n v="15"/>
    <m/>
    <n v="10"/>
    <n v="18"/>
    <m/>
    <n v="10"/>
    <n v="17"/>
    <n v="32"/>
    <m/>
    <m/>
    <x v="2392"/>
    <x v="0"/>
  </r>
  <r>
    <n v="46061"/>
    <x v="41"/>
    <s v="Hanson"/>
    <n v="91"/>
    <n v="32"/>
    <m/>
    <m/>
    <n v="23"/>
    <n v="14"/>
    <n v="17"/>
    <n v="29"/>
    <n v="45"/>
    <n v="79"/>
    <n v="12"/>
    <x v="2393"/>
    <x v="0"/>
  </r>
  <r>
    <n v="46063"/>
    <x v="41"/>
    <s v="Harding"/>
    <n v="19"/>
    <m/>
    <m/>
    <m/>
    <m/>
    <m/>
    <m/>
    <m/>
    <m/>
    <m/>
    <m/>
    <x v="2394"/>
    <x v="0"/>
  </r>
  <r>
    <n v="46065"/>
    <x v="41"/>
    <s v="Hughes"/>
    <n v="340"/>
    <n v="81"/>
    <n v="53"/>
    <n v="52"/>
    <n v="100"/>
    <n v="54"/>
    <n v="75"/>
    <n v="131"/>
    <n v="134"/>
    <n v="301"/>
    <n v="39"/>
    <x v="2395"/>
    <x v="0"/>
  </r>
  <r>
    <n v="46067"/>
    <x v="41"/>
    <s v="Hutchinson"/>
    <n v="163"/>
    <n v="42"/>
    <n v="26"/>
    <n v="22"/>
    <n v="42"/>
    <n v="31"/>
    <n v="31"/>
    <n v="52"/>
    <n v="80"/>
    <n v="150"/>
    <n v="13"/>
    <x v="2396"/>
    <x v="0"/>
  </r>
  <r>
    <n v="46069"/>
    <x v="41"/>
    <s v="Hyde"/>
    <n v="20"/>
    <m/>
    <m/>
    <m/>
    <m/>
    <m/>
    <m/>
    <m/>
    <m/>
    <m/>
    <m/>
    <x v="2397"/>
    <x v="0"/>
  </r>
  <r>
    <n v="46071"/>
    <x v="41"/>
    <s v="Jackson"/>
    <n v="21"/>
    <m/>
    <m/>
    <m/>
    <m/>
    <m/>
    <m/>
    <m/>
    <m/>
    <m/>
    <m/>
    <x v="2398"/>
    <x v="0"/>
  </r>
  <r>
    <n v="46073"/>
    <x v="41"/>
    <s v="Jerauld"/>
    <n v="55"/>
    <n v="17"/>
    <m/>
    <m/>
    <m/>
    <n v="14"/>
    <m/>
    <m/>
    <n v="39"/>
    <m/>
    <m/>
    <x v="2399"/>
    <x v="0"/>
  </r>
  <r>
    <n v="46075"/>
    <x v="41"/>
    <s v="Jones"/>
    <m/>
    <m/>
    <m/>
    <m/>
    <m/>
    <m/>
    <m/>
    <m/>
    <m/>
    <m/>
    <m/>
    <x v="2400"/>
    <x v="0"/>
  </r>
  <r>
    <n v="46077"/>
    <x v="41"/>
    <s v="Kingsbury"/>
    <n v="133"/>
    <n v="40"/>
    <n v="15"/>
    <n v="24"/>
    <n v="35"/>
    <n v="19"/>
    <n v="25"/>
    <n v="37"/>
    <n v="71"/>
    <m/>
    <m/>
    <x v="2401"/>
    <x v="0"/>
  </r>
  <r>
    <n v="46079"/>
    <x v="41"/>
    <s v="Lake"/>
    <n v="294"/>
    <n v="101"/>
    <n v="35"/>
    <n v="41"/>
    <n v="68"/>
    <n v="49"/>
    <n v="62"/>
    <n v="76"/>
    <n v="156"/>
    <n v="261"/>
    <n v="33"/>
    <x v="2402"/>
    <x v="0"/>
  </r>
  <r>
    <n v="46081"/>
    <x v="41"/>
    <s v="Lawrence"/>
    <n v="859"/>
    <n v="189"/>
    <n v="97"/>
    <n v="135"/>
    <n v="246"/>
    <n v="192"/>
    <n v="152"/>
    <n v="307"/>
    <n v="400"/>
    <n v="760"/>
    <n v="99"/>
    <x v="2403"/>
    <x v="0"/>
  </r>
  <r>
    <n v="46083"/>
    <x v="41"/>
    <s v="Lincoln"/>
    <n v="1705"/>
    <n v="444"/>
    <n v="194"/>
    <n v="238"/>
    <n v="461"/>
    <n v="368"/>
    <n v="501"/>
    <n v="564"/>
    <n v="640"/>
    <n v="1492"/>
    <n v="213"/>
    <x v="2404"/>
    <x v="0"/>
  </r>
  <r>
    <n v="46085"/>
    <x v="41"/>
    <s v="Lyman"/>
    <n v="62"/>
    <n v="27"/>
    <m/>
    <m/>
    <n v="16"/>
    <m/>
    <n v="10"/>
    <n v="18"/>
    <n v="34"/>
    <m/>
    <m/>
    <x v="2405"/>
    <x v="0"/>
  </r>
  <r>
    <n v="46087"/>
    <x v="41"/>
    <s v="McCook"/>
    <n v="131"/>
    <n v="42"/>
    <n v="16"/>
    <n v="12"/>
    <n v="38"/>
    <n v="23"/>
    <n v="31"/>
    <n v="45"/>
    <n v="55"/>
    <n v="121"/>
    <n v="10"/>
    <x v="2406"/>
    <x v="0"/>
  </r>
  <r>
    <n v="46089"/>
    <x v="41"/>
    <s v="McPherson"/>
    <n v="46"/>
    <n v="15"/>
    <m/>
    <m/>
    <m/>
    <n v="12"/>
    <m/>
    <m/>
    <n v="24"/>
    <m/>
    <m/>
    <x v="2407"/>
    <x v="0"/>
  </r>
  <r>
    <n v="46091"/>
    <x v="41"/>
    <s v="Marshall"/>
    <n v="62"/>
    <n v="15"/>
    <m/>
    <m/>
    <n v="14"/>
    <n v="12"/>
    <m/>
    <m/>
    <n v="38"/>
    <m/>
    <m/>
    <x v="2408"/>
    <x v="0"/>
  </r>
  <r>
    <n v="46093"/>
    <x v="41"/>
    <s v="Meade"/>
    <n v="1695"/>
    <n v="315"/>
    <n v="208"/>
    <n v="236"/>
    <n v="544"/>
    <n v="392"/>
    <n v="480"/>
    <n v="656"/>
    <n v="559"/>
    <n v="1446"/>
    <n v="249"/>
    <x v="2409"/>
    <x v="0"/>
  </r>
  <r>
    <n v="46095"/>
    <x v="41"/>
    <s v="Mellette"/>
    <n v="21"/>
    <m/>
    <m/>
    <m/>
    <m/>
    <m/>
    <m/>
    <m/>
    <n v="10"/>
    <m/>
    <m/>
    <x v="2410"/>
    <x v="0"/>
  </r>
  <r>
    <n v="46097"/>
    <x v="41"/>
    <s v="Miner"/>
    <n v="55"/>
    <n v="18"/>
    <m/>
    <n v="11"/>
    <n v="14"/>
    <m/>
    <m/>
    <m/>
    <n v="39"/>
    <m/>
    <m/>
    <x v="2411"/>
    <x v="0"/>
  </r>
  <r>
    <n v="46099"/>
    <x v="41"/>
    <s v="Minnehaha"/>
    <n v="4714"/>
    <n v="1334"/>
    <n v="598"/>
    <n v="616"/>
    <n v="1256"/>
    <n v="910"/>
    <n v="1261"/>
    <n v="1548"/>
    <n v="1905"/>
    <n v="4205"/>
    <n v="509"/>
    <x v="2412"/>
    <x v="0"/>
  </r>
  <r>
    <n v="46101"/>
    <x v="41"/>
    <s v="Moody"/>
    <n v="129"/>
    <n v="31"/>
    <n v="17"/>
    <n v="19"/>
    <n v="34"/>
    <n v="28"/>
    <n v="36"/>
    <n v="41"/>
    <n v="52"/>
    <n v="114"/>
    <n v="15"/>
    <x v="2413"/>
    <x v="0"/>
  </r>
  <r>
    <n v="46102"/>
    <x v="41"/>
    <s v="Oglala Lakota"/>
    <n v="159"/>
    <n v="39"/>
    <n v="14"/>
    <n v="16"/>
    <n v="60"/>
    <n v="30"/>
    <n v="35"/>
    <n v="75"/>
    <n v="49"/>
    <n v="130"/>
    <n v="29"/>
    <x v="2414"/>
    <x v="0"/>
  </r>
  <r>
    <n v="46103"/>
    <x v="41"/>
    <s v="Pennington"/>
    <n v="5242"/>
    <n v="1128"/>
    <n v="694"/>
    <n v="801"/>
    <n v="1522"/>
    <n v="1097"/>
    <n v="1336"/>
    <n v="1978"/>
    <n v="1928"/>
    <n v="4543"/>
    <n v="699"/>
    <x v="2415"/>
    <x v="0"/>
  </r>
  <r>
    <n v="46105"/>
    <x v="41"/>
    <s v="Perkins"/>
    <n v="70"/>
    <n v="24"/>
    <m/>
    <m/>
    <n v="23"/>
    <m/>
    <n v="19"/>
    <n v="15"/>
    <n v="36"/>
    <m/>
    <m/>
    <x v="2416"/>
    <x v="0"/>
  </r>
  <r>
    <n v="46107"/>
    <x v="41"/>
    <s v="Potter"/>
    <n v="41"/>
    <n v="12"/>
    <n v="11"/>
    <m/>
    <m/>
    <m/>
    <m/>
    <m/>
    <n v="30"/>
    <m/>
    <m/>
    <x v="2417"/>
    <x v="0"/>
  </r>
  <r>
    <n v="46109"/>
    <x v="41"/>
    <s v="Roberts"/>
    <n v="197"/>
    <n v="56"/>
    <n v="26"/>
    <n v="30"/>
    <n v="46"/>
    <n v="39"/>
    <n v="34"/>
    <n v="60"/>
    <n v="103"/>
    <m/>
    <m/>
    <x v="2418"/>
    <x v="0"/>
  </r>
  <r>
    <n v="46111"/>
    <x v="41"/>
    <s v="Sanborn"/>
    <n v="64"/>
    <n v="22"/>
    <m/>
    <n v="12"/>
    <n v="12"/>
    <m/>
    <n v="10"/>
    <n v="16"/>
    <n v="38"/>
    <m/>
    <m/>
    <x v="2419"/>
    <x v="0"/>
  </r>
  <r>
    <n v="46115"/>
    <x v="41"/>
    <s v="Spink"/>
    <n v="99"/>
    <n v="26"/>
    <n v="16"/>
    <n v="10"/>
    <n v="28"/>
    <n v="19"/>
    <n v="16"/>
    <n v="30"/>
    <n v="53"/>
    <m/>
    <m/>
    <x v="2420"/>
    <x v="0"/>
  </r>
  <r>
    <n v="46117"/>
    <x v="41"/>
    <s v="Stanley"/>
    <n v="75"/>
    <n v="11"/>
    <n v="13"/>
    <n v="12"/>
    <n v="23"/>
    <n v="16"/>
    <m/>
    <m/>
    <n v="49"/>
    <m/>
    <m/>
    <x v="2421"/>
    <x v="0"/>
  </r>
  <r>
    <n v="46119"/>
    <x v="41"/>
    <s v="Sully"/>
    <n v="21"/>
    <m/>
    <m/>
    <m/>
    <m/>
    <m/>
    <m/>
    <m/>
    <m/>
    <m/>
    <m/>
    <x v="2422"/>
    <x v="0"/>
  </r>
  <r>
    <n v="46121"/>
    <x v="41"/>
    <s v="Todd"/>
    <n v="71"/>
    <n v="17"/>
    <n v="14"/>
    <n v="11"/>
    <n v="16"/>
    <n v="13"/>
    <n v="11"/>
    <n v="25"/>
    <n v="35"/>
    <m/>
    <m/>
    <x v="2423"/>
    <x v="0"/>
  </r>
  <r>
    <n v="46123"/>
    <x v="41"/>
    <s v="Tripp"/>
    <n v="80"/>
    <n v="28"/>
    <n v="16"/>
    <m/>
    <n v="18"/>
    <m/>
    <n v="19"/>
    <n v="22"/>
    <n v="39"/>
    <m/>
    <m/>
    <x v="2424"/>
    <x v="0"/>
  </r>
  <r>
    <n v="46125"/>
    <x v="41"/>
    <s v="Turner"/>
    <n v="243"/>
    <n v="77"/>
    <n v="28"/>
    <n v="26"/>
    <n v="74"/>
    <n v="38"/>
    <n v="60"/>
    <n v="78"/>
    <n v="105"/>
    <n v="225"/>
    <n v="18"/>
    <x v="2425"/>
    <x v="0"/>
  </r>
  <r>
    <n v="46127"/>
    <x v="41"/>
    <s v="Union"/>
    <n v="376"/>
    <n v="107"/>
    <n v="42"/>
    <n v="48"/>
    <n v="102"/>
    <n v="77"/>
    <n v="76"/>
    <n v="128"/>
    <n v="172"/>
    <n v="349"/>
    <n v="27"/>
    <x v="2426"/>
    <x v="0"/>
  </r>
  <r>
    <n v="46129"/>
    <x v="41"/>
    <s v="Walworth"/>
    <n v="105"/>
    <n v="25"/>
    <n v="18"/>
    <n v="18"/>
    <n v="24"/>
    <n v="20"/>
    <n v="10"/>
    <n v="38"/>
    <n v="57"/>
    <n v="94"/>
    <n v="11"/>
    <x v="2427"/>
    <x v="0"/>
  </r>
  <r>
    <n v="46135"/>
    <x v="41"/>
    <s v="Yankton"/>
    <n v="485"/>
    <n v="170"/>
    <n v="62"/>
    <n v="55"/>
    <n v="104"/>
    <n v="94"/>
    <n v="76"/>
    <n v="166"/>
    <n v="243"/>
    <n v="440"/>
    <n v="45"/>
    <x v="2428"/>
    <x v="0"/>
  </r>
  <r>
    <n v="46137"/>
    <x v="41"/>
    <s v="Ziebach"/>
    <n v="12"/>
    <m/>
    <m/>
    <m/>
    <m/>
    <m/>
    <m/>
    <m/>
    <m/>
    <m/>
    <m/>
    <x v="2429"/>
    <x v="0"/>
  </r>
  <r>
    <n v="47001"/>
    <x v="42"/>
    <s v="Anderson"/>
    <n v="2157"/>
    <n v="509"/>
    <n v="242"/>
    <n v="266"/>
    <n v="589"/>
    <n v="551"/>
    <n v="607"/>
    <n v="699"/>
    <n v="851"/>
    <n v="1945"/>
    <n v="212"/>
    <x v="2430"/>
    <x v="0"/>
  </r>
  <r>
    <n v="47003"/>
    <x v="42"/>
    <s v="Bedford"/>
    <n v="990"/>
    <n v="187"/>
    <n v="91"/>
    <n v="139"/>
    <n v="293"/>
    <n v="280"/>
    <n v="275"/>
    <n v="309"/>
    <n v="406"/>
    <n v="887"/>
    <n v="103"/>
    <x v="2431"/>
    <x v="0"/>
  </r>
  <r>
    <n v="47005"/>
    <x v="42"/>
    <s v="Benton"/>
    <n v="490"/>
    <n v="76"/>
    <n v="55"/>
    <n v="62"/>
    <n v="154"/>
    <n v="143"/>
    <n v="80"/>
    <n v="181"/>
    <n v="229"/>
    <n v="439"/>
    <n v="51"/>
    <x v="2432"/>
    <x v="0"/>
  </r>
  <r>
    <n v="47007"/>
    <x v="42"/>
    <s v="Bledsoe"/>
    <n v="325"/>
    <n v="67"/>
    <n v="29"/>
    <n v="46"/>
    <n v="87"/>
    <n v="96"/>
    <n v="65"/>
    <n v="108"/>
    <n v="152"/>
    <n v="298"/>
    <n v="27"/>
    <x v="2433"/>
    <x v="0"/>
  </r>
  <r>
    <n v="47009"/>
    <x v="42"/>
    <s v="Blount"/>
    <n v="4019"/>
    <n v="1022"/>
    <n v="445"/>
    <n v="472"/>
    <n v="1082"/>
    <n v="998"/>
    <n v="957"/>
    <n v="1276"/>
    <n v="1786"/>
    <n v="3633"/>
    <n v="386"/>
    <x v="2434"/>
    <x v="0"/>
  </r>
  <r>
    <n v="47011"/>
    <x v="42"/>
    <s v="Bradley"/>
    <n v="2263"/>
    <n v="474"/>
    <n v="232"/>
    <n v="268"/>
    <n v="687"/>
    <n v="602"/>
    <n v="613"/>
    <n v="741"/>
    <n v="909"/>
    <n v="2064"/>
    <n v="199"/>
    <x v="2435"/>
    <x v="0"/>
  </r>
  <r>
    <n v="47013"/>
    <x v="42"/>
    <s v="Campbell"/>
    <n v="1036"/>
    <n v="187"/>
    <n v="85"/>
    <n v="102"/>
    <n v="306"/>
    <n v="356"/>
    <n v="178"/>
    <n v="284"/>
    <n v="574"/>
    <n v="979"/>
    <n v="57"/>
    <x v="2436"/>
    <x v="0"/>
  </r>
  <r>
    <n v="47015"/>
    <x v="42"/>
    <s v="Cannon"/>
    <n v="309"/>
    <n v="52"/>
    <n v="30"/>
    <n v="31"/>
    <n v="93"/>
    <n v="103"/>
    <n v="89"/>
    <n v="89"/>
    <n v="131"/>
    <n v="277"/>
    <n v="32"/>
    <x v="2437"/>
    <x v="0"/>
  </r>
  <r>
    <n v="47017"/>
    <x v="42"/>
    <s v="Carroll"/>
    <n v="722"/>
    <n v="140"/>
    <n v="81"/>
    <n v="77"/>
    <n v="209"/>
    <n v="215"/>
    <n v="144"/>
    <n v="254"/>
    <n v="324"/>
    <n v="649"/>
    <n v="73"/>
    <x v="2438"/>
    <x v="0"/>
  </r>
  <r>
    <n v="47019"/>
    <x v="42"/>
    <s v="Carter"/>
    <n v="1930"/>
    <n v="372"/>
    <n v="208"/>
    <n v="271"/>
    <n v="586"/>
    <n v="493"/>
    <n v="363"/>
    <n v="585"/>
    <n v="982"/>
    <n v="1745"/>
    <n v="185"/>
    <x v="2439"/>
    <x v="0"/>
  </r>
  <r>
    <n v="47021"/>
    <x v="42"/>
    <s v="Cheatham"/>
    <n v="1087"/>
    <n v="189"/>
    <n v="122"/>
    <n v="121"/>
    <n v="299"/>
    <n v="356"/>
    <n v="376"/>
    <n v="341"/>
    <n v="370"/>
    <n v="965"/>
    <n v="122"/>
    <x v="2440"/>
    <x v="0"/>
  </r>
  <r>
    <n v="47023"/>
    <x v="42"/>
    <s v="Chester"/>
    <n v="369"/>
    <n v="62"/>
    <n v="44"/>
    <n v="49"/>
    <n v="117"/>
    <n v="97"/>
    <n v="106"/>
    <n v="120"/>
    <n v="143"/>
    <n v="334"/>
    <n v="35"/>
    <x v="2441"/>
    <x v="0"/>
  </r>
  <r>
    <n v="47025"/>
    <x v="42"/>
    <s v="Claiborne"/>
    <n v="746"/>
    <n v="138"/>
    <n v="65"/>
    <n v="73"/>
    <n v="232"/>
    <n v="238"/>
    <n v="162"/>
    <n v="236"/>
    <n v="348"/>
    <n v="689"/>
    <n v="57"/>
    <x v="2442"/>
    <x v="0"/>
  </r>
  <r>
    <n v="47027"/>
    <x v="42"/>
    <s v="Clay"/>
    <n v="194"/>
    <n v="42"/>
    <n v="16"/>
    <n v="20"/>
    <n v="56"/>
    <n v="60"/>
    <n v="38"/>
    <n v="76"/>
    <n v="80"/>
    <n v="178"/>
    <n v="16"/>
    <x v="2443"/>
    <x v="0"/>
  </r>
  <r>
    <n v="47029"/>
    <x v="42"/>
    <s v="Cocke"/>
    <n v="1050"/>
    <n v="212"/>
    <n v="95"/>
    <n v="136"/>
    <n v="303"/>
    <n v="304"/>
    <n v="183"/>
    <n v="317"/>
    <n v="550"/>
    <n v="950"/>
    <n v="100"/>
    <x v="2444"/>
    <x v="0"/>
  </r>
  <r>
    <n v="47031"/>
    <x v="42"/>
    <s v="Coffee"/>
    <n v="1559"/>
    <n v="283"/>
    <n v="142"/>
    <n v="169"/>
    <n v="468"/>
    <n v="497"/>
    <n v="408"/>
    <n v="563"/>
    <n v="588"/>
    <n v="1384"/>
    <n v="175"/>
    <x v="2445"/>
    <x v="0"/>
  </r>
  <r>
    <n v="47033"/>
    <x v="42"/>
    <s v="Crockett"/>
    <n v="260"/>
    <n v="55"/>
    <n v="22"/>
    <n v="21"/>
    <n v="81"/>
    <n v="81"/>
    <n v="57"/>
    <n v="71"/>
    <n v="132"/>
    <n v="238"/>
    <n v="22"/>
    <x v="2446"/>
    <x v="0"/>
  </r>
  <r>
    <n v="47035"/>
    <x v="42"/>
    <s v="Cumberland"/>
    <n v="2167"/>
    <n v="514"/>
    <n v="237"/>
    <n v="258"/>
    <n v="585"/>
    <n v="573"/>
    <n v="279"/>
    <n v="575"/>
    <n v="1313"/>
    <n v="1989"/>
    <n v="177"/>
    <x v="2447"/>
    <x v="0"/>
  </r>
  <r>
    <n v="47037"/>
    <x v="42"/>
    <s v="Davidson"/>
    <n v="8649"/>
    <n v="1713"/>
    <n v="954"/>
    <n v="954"/>
    <n v="2683"/>
    <n v="2345"/>
    <n v="3148"/>
    <n v="2628"/>
    <n v="2873"/>
    <n v="7419"/>
    <n v="1227"/>
    <x v="2448"/>
    <x v="0"/>
  </r>
  <r>
    <n v="47039"/>
    <x v="42"/>
    <s v="Decatur"/>
    <n v="261"/>
    <n v="47"/>
    <n v="29"/>
    <n v="34"/>
    <n v="78"/>
    <n v="73"/>
    <n v="43"/>
    <n v="81"/>
    <n v="137"/>
    <n v="236"/>
    <n v="25"/>
    <x v="2449"/>
    <x v="0"/>
  </r>
  <r>
    <n v="47041"/>
    <x v="42"/>
    <s v="DeKalb"/>
    <n v="394"/>
    <n v="72"/>
    <n v="35"/>
    <n v="46"/>
    <n v="129"/>
    <n v="112"/>
    <n v="106"/>
    <n v="127"/>
    <n v="161"/>
    <n v="358"/>
    <n v="36"/>
    <x v="2450"/>
    <x v="0"/>
  </r>
  <r>
    <n v="47043"/>
    <x v="42"/>
    <s v="Dickson"/>
    <n v="1419"/>
    <n v="288"/>
    <n v="108"/>
    <n v="158"/>
    <n v="437"/>
    <n v="428"/>
    <n v="434"/>
    <n v="458"/>
    <n v="527"/>
    <n v="1279"/>
    <n v="140"/>
    <x v="2451"/>
    <x v="0"/>
  </r>
  <r>
    <n v="47045"/>
    <x v="42"/>
    <s v="Dyer"/>
    <n v="666"/>
    <n v="156"/>
    <n v="78"/>
    <n v="72"/>
    <n v="192"/>
    <n v="168"/>
    <n v="158"/>
    <n v="181"/>
    <n v="327"/>
    <n v="611"/>
    <n v="55"/>
    <x v="2452"/>
    <x v="0"/>
  </r>
  <r>
    <n v="47047"/>
    <x v="42"/>
    <s v="Fayette"/>
    <n v="1131"/>
    <n v="224"/>
    <n v="117"/>
    <n v="128"/>
    <n v="340"/>
    <n v="322"/>
    <n v="214"/>
    <n v="428"/>
    <n v="489"/>
    <n v="994"/>
    <n v="137"/>
    <x v="2453"/>
    <x v="0"/>
  </r>
  <r>
    <n v="47049"/>
    <x v="42"/>
    <s v="Fentress"/>
    <n v="603"/>
    <n v="135"/>
    <n v="58"/>
    <n v="76"/>
    <n v="167"/>
    <n v="167"/>
    <n v="125"/>
    <n v="170"/>
    <n v="308"/>
    <n v="543"/>
    <n v="60"/>
    <x v="2454"/>
    <x v="0"/>
  </r>
  <r>
    <n v="47051"/>
    <x v="42"/>
    <s v="Franklin"/>
    <n v="1249"/>
    <n v="226"/>
    <n v="122"/>
    <n v="163"/>
    <n v="378"/>
    <n v="360"/>
    <n v="276"/>
    <n v="443"/>
    <n v="530"/>
    <n v="1125"/>
    <n v="123"/>
    <x v="2455"/>
    <x v="0"/>
  </r>
  <r>
    <n v="47053"/>
    <x v="42"/>
    <s v="Gibson"/>
    <n v="1081"/>
    <n v="253"/>
    <n v="107"/>
    <n v="124"/>
    <n v="321"/>
    <n v="276"/>
    <n v="256"/>
    <n v="332"/>
    <n v="493"/>
    <n v="985"/>
    <n v="96"/>
    <x v="2456"/>
    <x v="0"/>
  </r>
  <r>
    <n v="47055"/>
    <x v="42"/>
    <s v="Giles"/>
    <n v="626"/>
    <n v="142"/>
    <n v="57"/>
    <n v="91"/>
    <n v="155"/>
    <n v="181"/>
    <n v="127"/>
    <n v="215"/>
    <n v="284"/>
    <n v="570"/>
    <n v="56"/>
    <x v="2457"/>
    <x v="0"/>
  </r>
  <r>
    <n v="47057"/>
    <x v="42"/>
    <s v="Grainger"/>
    <n v="574"/>
    <n v="130"/>
    <n v="61"/>
    <n v="64"/>
    <n v="153"/>
    <n v="166"/>
    <n v="94"/>
    <n v="192"/>
    <n v="288"/>
    <n v="531"/>
    <n v="43"/>
    <x v="2458"/>
    <x v="0"/>
  </r>
  <r>
    <n v="47059"/>
    <x v="42"/>
    <s v="Greene"/>
    <n v="2162"/>
    <n v="538"/>
    <n v="261"/>
    <n v="251"/>
    <n v="592"/>
    <n v="520"/>
    <n v="416"/>
    <n v="624"/>
    <n v="1122"/>
    <n v="1986"/>
    <n v="175"/>
    <x v="2459"/>
    <x v="0"/>
  </r>
  <r>
    <n v="47061"/>
    <x v="42"/>
    <s v="Grundy"/>
    <n v="318"/>
    <n v="63"/>
    <n v="40"/>
    <n v="25"/>
    <n v="101"/>
    <n v="89"/>
    <n v="66"/>
    <n v="101"/>
    <n v="151"/>
    <n v="290"/>
    <n v="28"/>
    <x v="2460"/>
    <x v="0"/>
  </r>
  <r>
    <n v="47063"/>
    <x v="42"/>
    <s v="Hamblen"/>
    <n v="1466"/>
    <n v="345"/>
    <n v="154"/>
    <n v="183"/>
    <n v="413"/>
    <n v="371"/>
    <n v="327"/>
    <n v="432"/>
    <n v="707"/>
    <n v="1353"/>
    <n v="113"/>
    <x v="2461"/>
    <x v="0"/>
  </r>
  <r>
    <n v="47065"/>
    <x v="42"/>
    <s v="Hamilton"/>
    <n v="7033"/>
    <n v="1365"/>
    <n v="745"/>
    <n v="866"/>
    <n v="2176"/>
    <n v="1881"/>
    <n v="1855"/>
    <n v="2340"/>
    <n v="2838"/>
    <n v="6311"/>
    <n v="722"/>
    <x v="2462"/>
    <x v="0"/>
  </r>
  <r>
    <n v="47067"/>
    <x v="42"/>
    <s v="Hancock"/>
    <n v="189"/>
    <n v="44"/>
    <n v="21"/>
    <n v="13"/>
    <n v="46"/>
    <n v="65"/>
    <n v="27"/>
    <n v="79"/>
    <n v="83"/>
    <n v="168"/>
    <n v="21"/>
    <x v="2463"/>
    <x v="0"/>
  </r>
  <r>
    <n v="47069"/>
    <x v="42"/>
    <s v="Hardeman"/>
    <n v="468"/>
    <n v="105"/>
    <n v="60"/>
    <n v="63"/>
    <n v="121"/>
    <n v="119"/>
    <n v="79"/>
    <n v="138"/>
    <n v="251"/>
    <n v="425"/>
    <n v="43"/>
    <x v="2464"/>
    <x v="0"/>
  </r>
  <r>
    <n v="47071"/>
    <x v="42"/>
    <s v="Hardin"/>
    <n v="683"/>
    <n v="146"/>
    <n v="75"/>
    <n v="75"/>
    <n v="199"/>
    <n v="188"/>
    <n v="136"/>
    <n v="197"/>
    <n v="350"/>
    <n v="627"/>
    <n v="56"/>
    <x v="2465"/>
    <x v="0"/>
  </r>
  <r>
    <n v="47073"/>
    <x v="42"/>
    <s v="Hawkins"/>
    <n v="1883"/>
    <n v="423"/>
    <n v="189"/>
    <n v="198"/>
    <n v="579"/>
    <n v="494"/>
    <n v="328"/>
    <n v="619"/>
    <n v="936"/>
    <n v="1748"/>
    <n v="135"/>
    <x v="2466"/>
    <x v="0"/>
  </r>
  <r>
    <n v="47075"/>
    <x v="42"/>
    <s v="Haywood"/>
    <n v="350"/>
    <n v="94"/>
    <n v="28"/>
    <n v="41"/>
    <n v="82"/>
    <n v="105"/>
    <n v="49"/>
    <n v="124"/>
    <n v="177"/>
    <n v="310"/>
    <n v="40"/>
    <x v="2467"/>
    <x v="0"/>
  </r>
  <r>
    <n v="47077"/>
    <x v="42"/>
    <s v="Henderson"/>
    <n v="540"/>
    <n v="123"/>
    <n v="49"/>
    <n v="55"/>
    <n v="172"/>
    <n v="141"/>
    <n v="118"/>
    <n v="168"/>
    <n v="254"/>
    <n v="495"/>
    <n v="45"/>
    <x v="2468"/>
    <x v="0"/>
  </r>
  <r>
    <n v="47079"/>
    <x v="42"/>
    <s v="Henry"/>
    <n v="1047"/>
    <n v="192"/>
    <n v="114"/>
    <n v="131"/>
    <n v="292"/>
    <n v="318"/>
    <n v="227"/>
    <n v="340"/>
    <n v="480"/>
    <n v="945"/>
    <n v="102"/>
    <x v="2469"/>
    <x v="0"/>
  </r>
  <r>
    <n v="47081"/>
    <x v="42"/>
    <s v="Hickman"/>
    <n v="501"/>
    <n v="92"/>
    <n v="54"/>
    <n v="54"/>
    <n v="156"/>
    <n v="145"/>
    <n v="125"/>
    <n v="152"/>
    <n v="224"/>
    <n v="458"/>
    <n v="43"/>
    <x v="2470"/>
    <x v="0"/>
  </r>
  <r>
    <n v="47083"/>
    <x v="42"/>
    <s v="Houston"/>
    <n v="334"/>
    <n v="53"/>
    <n v="24"/>
    <n v="30"/>
    <n v="117"/>
    <n v="110"/>
    <n v="93"/>
    <n v="116"/>
    <n v="125"/>
    <n v="292"/>
    <n v="42"/>
    <x v="2471"/>
    <x v="0"/>
  </r>
  <r>
    <n v="47085"/>
    <x v="42"/>
    <s v="Humphreys"/>
    <n v="528"/>
    <n v="110"/>
    <n v="56"/>
    <n v="68"/>
    <n v="141"/>
    <n v="153"/>
    <n v="131"/>
    <n v="167"/>
    <n v="230"/>
    <n v="480"/>
    <n v="48"/>
    <x v="2472"/>
    <x v="0"/>
  </r>
  <r>
    <n v="47087"/>
    <x v="42"/>
    <s v="Jackson"/>
    <n v="345"/>
    <n v="62"/>
    <n v="39"/>
    <n v="35"/>
    <n v="115"/>
    <n v="94"/>
    <n v="80"/>
    <n v="120"/>
    <n v="145"/>
    <n v="309"/>
    <n v="36"/>
    <x v="2473"/>
    <x v="0"/>
  </r>
  <r>
    <n v="47089"/>
    <x v="42"/>
    <s v="Jefferson"/>
    <n v="1684"/>
    <n v="378"/>
    <n v="176"/>
    <n v="194"/>
    <n v="473"/>
    <n v="463"/>
    <n v="393"/>
    <n v="491"/>
    <n v="800"/>
    <n v="1543"/>
    <n v="141"/>
    <x v="2474"/>
    <x v="0"/>
  </r>
  <r>
    <n v="47091"/>
    <x v="42"/>
    <s v="Johnson"/>
    <n v="577"/>
    <n v="107"/>
    <n v="57"/>
    <n v="86"/>
    <n v="181"/>
    <n v="146"/>
    <n v="72"/>
    <n v="184"/>
    <n v="321"/>
    <n v="538"/>
    <n v="39"/>
    <x v="2475"/>
    <x v="0"/>
  </r>
  <r>
    <n v="47093"/>
    <x v="42"/>
    <s v="Knox"/>
    <n v="9729"/>
    <n v="2107"/>
    <n v="1060"/>
    <n v="1132"/>
    <n v="2882"/>
    <n v="2548"/>
    <n v="2966"/>
    <n v="3097"/>
    <n v="3666"/>
    <n v="8682"/>
    <n v="1045"/>
    <x v="2476"/>
    <x v="0"/>
  </r>
  <r>
    <n v="47095"/>
    <x v="42"/>
    <s v="Lake"/>
    <n v="82"/>
    <n v="23"/>
    <m/>
    <m/>
    <n v="25"/>
    <n v="19"/>
    <n v="11"/>
    <n v="33"/>
    <n v="38"/>
    <m/>
    <m/>
    <x v="2477"/>
    <x v="0"/>
  </r>
  <r>
    <n v="47097"/>
    <x v="42"/>
    <s v="Lauderdale"/>
    <n v="379"/>
    <n v="80"/>
    <n v="45"/>
    <n v="54"/>
    <n v="102"/>
    <n v="98"/>
    <n v="78"/>
    <n v="106"/>
    <n v="195"/>
    <n v="346"/>
    <n v="33"/>
    <x v="2478"/>
    <x v="0"/>
  </r>
  <r>
    <n v="47099"/>
    <x v="42"/>
    <s v="Lawrence"/>
    <n v="820"/>
    <n v="167"/>
    <n v="80"/>
    <n v="94"/>
    <n v="258"/>
    <n v="221"/>
    <n v="214"/>
    <n v="248"/>
    <n v="358"/>
    <n v="752"/>
    <n v="68"/>
    <x v="2479"/>
    <x v="0"/>
  </r>
  <r>
    <n v="47101"/>
    <x v="42"/>
    <s v="Lewis"/>
    <n v="327"/>
    <n v="67"/>
    <n v="30"/>
    <n v="30"/>
    <n v="109"/>
    <n v="91"/>
    <n v="71"/>
    <n v="106"/>
    <n v="150"/>
    <n v="301"/>
    <n v="26"/>
    <x v="2480"/>
    <x v="0"/>
  </r>
  <r>
    <n v="47103"/>
    <x v="42"/>
    <s v="Lincoln"/>
    <n v="900"/>
    <n v="153"/>
    <n v="89"/>
    <n v="81"/>
    <n v="293"/>
    <n v="284"/>
    <n v="215"/>
    <n v="331"/>
    <n v="354"/>
    <n v="795"/>
    <n v="105"/>
    <x v="2481"/>
    <x v="0"/>
  </r>
  <r>
    <n v="47105"/>
    <x v="42"/>
    <s v="Loudon"/>
    <n v="1689"/>
    <n v="475"/>
    <n v="206"/>
    <n v="203"/>
    <n v="415"/>
    <n v="390"/>
    <n v="279"/>
    <n v="510"/>
    <n v="900"/>
    <n v="1532"/>
    <n v="157"/>
    <x v="2482"/>
    <x v="0"/>
  </r>
  <r>
    <n v="47107"/>
    <x v="42"/>
    <s v="McMinn"/>
    <n v="1584"/>
    <n v="367"/>
    <n v="185"/>
    <n v="178"/>
    <n v="430"/>
    <n v="424"/>
    <n v="323"/>
    <n v="521"/>
    <n v="740"/>
    <n v="1453"/>
    <n v="131"/>
    <x v="2483"/>
    <x v="0"/>
  </r>
  <r>
    <n v="47109"/>
    <x v="42"/>
    <s v="McNairy"/>
    <n v="612"/>
    <n v="147"/>
    <n v="62"/>
    <n v="75"/>
    <n v="179"/>
    <n v="149"/>
    <n v="105"/>
    <n v="186"/>
    <n v="321"/>
    <n v="565"/>
    <n v="47"/>
    <x v="2484"/>
    <x v="0"/>
  </r>
  <r>
    <n v="47111"/>
    <x v="42"/>
    <s v="Macon"/>
    <n v="425"/>
    <n v="78"/>
    <n v="44"/>
    <n v="43"/>
    <n v="143"/>
    <n v="117"/>
    <n v="113"/>
    <n v="152"/>
    <n v="160"/>
    <n v="387"/>
    <n v="38"/>
    <x v="2485"/>
    <x v="0"/>
  </r>
  <r>
    <n v="47113"/>
    <x v="42"/>
    <s v="Madison"/>
    <n v="2123"/>
    <n v="495"/>
    <n v="239"/>
    <n v="232"/>
    <n v="609"/>
    <n v="548"/>
    <n v="429"/>
    <n v="674"/>
    <n v="1020"/>
    <n v="1857"/>
    <n v="265"/>
    <x v="2486"/>
    <x v="0"/>
  </r>
  <r>
    <n v="47115"/>
    <x v="42"/>
    <s v="Marion"/>
    <n v="637"/>
    <n v="145"/>
    <n v="54"/>
    <n v="68"/>
    <n v="192"/>
    <n v="178"/>
    <n v="128"/>
    <n v="218"/>
    <n v="291"/>
    <n v="581"/>
    <n v="56"/>
    <x v="2487"/>
    <x v="0"/>
  </r>
  <r>
    <n v="47117"/>
    <x v="42"/>
    <s v="Marshall"/>
    <n v="735"/>
    <n v="138"/>
    <n v="65"/>
    <n v="80"/>
    <n v="245"/>
    <n v="207"/>
    <n v="223"/>
    <n v="247"/>
    <n v="265"/>
    <n v="662"/>
    <n v="73"/>
    <x v="2488"/>
    <x v="0"/>
  </r>
  <r>
    <n v="47119"/>
    <x v="42"/>
    <s v="Maury"/>
    <n v="2037"/>
    <n v="429"/>
    <n v="221"/>
    <n v="199"/>
    <n v="657"/>
    <n v="531"/>
    <n v="645"/>
    <n v="585"/>
    <n v="807"/>
    <n v="1840"/>
    <n v="196"/>
    <x v="2489"/>
    <x v="0"/>
  </r>
  <r>
    <n v="47121"/>
    <x v="42"/>
    <s v="Meigs"/>
    <n v="409"/>
    <n v="90"/>
    <n v="40"/>
    <n v="45"/>
    <n v="117"/>
    <n v="117"/>
    <n v="95"/>
    <n v="134"/>
    <n v="180"/>
    <n v="384"/>
    <n v="25"/>
    <x v="2490"/>
    <x v="0"/>
  </r>
  <r>
    <n v="47123"/>
    <x v="42"/>
    <s v="Monroe"/>
    <n v="1324"/>
    <n v="300"/>
    <n v="144"/>
    <n v="142"/>
    <n v="404"/>
    <n v="334"/>
    <n v="271"/>
    <n v="389"/>
    <n v="664"/>
    <n v="1204"/>
    <n v="120"/>
    <x v="2491"/>
    <x v="0"/>
  </r>
  <r>
    <n v="47125"/>
    <x v="42"/>
    <s v="Montgomery"/>
    <n v="23053"/>
    <n v="2124"/>
    <n v="1507"/>
    <n v="2030"/>
    <n v="7262"/>
    <n v="10130"/>
    <n v="9311"/>
    <n v="9322"/>
    <n v="4420"/>
    <n v="18559"/>
    <n v="4494"/>
    <x v="2492"/>
    <x v="0"/>
  </r>
  <r>
    <n v="47127"/>
    <x v="42"/>
    <s v="Moore"/>
    <n v="192"/>
    <n v="29"/>
    <n v="20"/>
    <n v="15"/>
    <n v="64"/>
    <n v="64"/>
    <n v="49"/>
    <n v="69"/>
    <n v="74"/>
    <n v="180"/>
    <n v="12"/>
    <x v="2493"/>
    <x v="0"/>
  </r>
  <r>
    <n v="47129"/>
    <x v="42"/>
    <s v="Morgan"/>
    <n v="627"/>
    <n v="146"/>
    <n v="71"/>
    <n v="82"/>
    <n v="157"/>
    <n v="171"/>
    <n v="136"/>
    <n v="206"/>
    <n v="285"/>
    <n v="577"/>
    <n v="50"/>
    <x v="2494"/>
    <x v="0"/>
  </r>
  <r>
    <n v="47131"/>
    <x v="42"/>
    <s v="Obion"/>
    <n v="549"/>
    <n v="101"/>
    <n v="77"/>
    <n v="75"/>
    <n v="162"/>
    <n v="134"/>
    <n v="96"/>
    <n v="183"/>
    <n v="270"/>
    <n v="509"/>
    <n v="40"/>
    <x v="2495"/>
    <x v="0"/>
  </r>
  <r>
    <n v="47133"/>
    <x v="42"/>
    <s v="Overton"/>
    <n v="547"/>
    <n v="92"/>
    <n v="56"/>
    <n v="65"/>
    <n v="175"/>
    <n v="159"/>
    <n v="122"/>
    <n v="167"/>
    <n v="258"/>
    <n v="507"/>
    <n v="40"/>
    <x v="2496"/>
    <x v="0"/>
  </r>
  <r>
    <n v="47135"/>
    <x v="42"/>
    <s v="Perry"/>
    <n v="222"/>
    <n v="37"/>
    <n v="25"/>
    <n v="24"/>
    <n v="77"/>
    <n v="59"/>
    <n v="32"/>
    <n v="83"/>
    <n v="107"/>
    <n v="201"/>
    <n v="21"/>
    <x v="2497"/>
    <x v="0"/>
  </r>
  <r>
    <n v="47137"/>
    <x v="42"/>
    <s v="Pickett"/>
    <n v="149"/>
    <n v="31"/>
    <n v="13"/>
    <n v="20"/>
    <n v="34"/>
    <n v="51"/>
    <n v="21"/>
    <n v="43"/>
    <n v="85"/>
    <m/>
    <m/>
    <x v="2498"/>
    <x v="0"/>
  </r>
  <r>
    <n v="47139"/>
    <x v="42"/>
    <s v="Polk"/>
    <n v="435"/>
    <n v="89"/>
    <n v="50"/>
    <n v="54"/>
    <n v="123"/>
    <n v="119"/>
    <n v="84"/>
    <n v="149"/>
    <n v="202"/>
    <n v="404"/>
    <n v="31"/>
    <x v="2499"/>
    <x v="0"/>
  </r>
  <r>
    <n v="47141"/>
    <x v="42"/>
    <s v="Putnam"/>
    <n v="1829"/>
    <n v="404"/>
    <n v="160"/>
    <n v="203"/>
    <n v="533"/>
    <n v="529"/>
    <n v="485"/>
    <n v="596"/>
    <n v="748"/>
    <n v="1653"/>
    <n v="176"/>
    <x v="2500"/>
    <x v="0"/>
  </r>
  <r>
    <n v="47143"/>
    <x v="42"/>
    <s v="Rhea"/>
    <n v="795"/>
    <n v="182"/>
    <n v="93"/>
    <n v="88"/>
    <n v="223"/>
    <n v="209"/>
    <n v="183"/>
    <n v="253"/>
    <n v="359"/>
    <n v="730"/>
    <n v="65"/>
    <x v="2501"/>
    <x v="0"/>
  </r>
  <r>
    <n v="47145"/>
    <x v="42"/>
    <s v="Roane"/>
    <n v="1851"/>
    <n v="438"/>
    <n v="194"/>
    <n v="218"/>
    <n v="529"/>
    <n v="472"/>
    <n v="439"/>
    <n v="615"/>
    <n v="797"/>
    <n v="1684"/>
    <n v="167"/>
    <x v="2502"/>
    <x v="0"/>
  </r>
  <r>
    <n v="47147"/>
    <x v="42"/>
    <s v="Robertson"/>
    <n v="1785"/>
    <n v="300"/>
    <n v="173"/>
    <n v="198"/>
    <n v="578"/>
    <n v="536"/>
    <n v="583"/>
    <n v="617"/>
    <n v="585"/>
    <n v="1595"/>
    <n v="190"/>
    <x v="2503"/>
    <x v="0"/>
  </r>
  <r>
    <n v="47149"/>
    <x v="42"/>
    <s v="Rutherford"/>
    <n v="7428"/>
    <n v="1317"/>
    <n v="723"/>
    <n v="792"/>
    <n v="2348"/>
    <n v="2248"/>
    <n v="2479"/>
    <n v="2714"/>
    <n v="2235"/>
    <n v="6380"/>
    <n v="1048"/>
    <x v="2504"/>
    <x v="0"/>
  </r>
  <r>
    <n v="47151"/>
    <x v="42"/>
    <s v="Scott"/>
    <n v="529"/>
    <n v="115"/>
    <n v="63"/>
    <n v="45"/>
    <n v="168"/>
    <n v="138"/>
    <n v="102"/>
    <n v="164"/>
    <n v="263"/>
    <n v="492"/>
    <n v="37"/>
    <x v="2505"/>
    <x v="0"/>
  </r>
  <r>
    <n v="47153"/>
    <x v="42"/>
    <s v="Sequatchie"/>
    <n v="436"/>
    <n v="66"/>
    <n v="33"/>
    <n v="41"/>
    <n v="157"/>
    <n v="139"/>
    <n v="95"/>
    <n v="140"/>
    <n v="201"/>
    <n v="412"/>
    <n v="24"/>
    <x v="2506"/>
    <x v="0"/>
  </r>
  <r>
    <n v="47155"/>
    <x v="42"/>
    <s v="Sevier"/>
    <n v="2633"/>
    <n v="617"/>
    <n v="294"/>
    <n v="319"/>
    <n v="727"/>
    <n v="676"/>
    <n v="538"/>
    <n v="729"/>
    <n v="1366"/>
    <n v="2443"/>
    <n v="189"/>
    <x v="2507"/>
    <x v="0"/>
  </r>
  <r>
    <n v="47157"/>
    <x v="42"/>
    <s v="Shelby"/>
    <n v="15521"/>
    <n v="3222"/>
    <n v="1647"/>
    <n v="1730"/>
    <n v="4565"/>
    <n v="4357"/>
    <n v="3214"/>
    <n v="6026"/>
    <n v="6281"/>
    <n v="13148"/>
    <n v="2373"/>
    <x v="2508"/>
    <x v="0"/>
  </r>
  <r>
    <n v="47159"/>
    <x v="42"/>
    <s v="Smith"/>
    <n v="427"/>
    <n v="94"/>
    <n v="47"/>
    <n v="59"/>
    <n v="115"/>
    <n v="112"/>
    <n v="127"/>
    <n v="145"/>
    <n v="155"/>
    <n v="392"/>
    <n v="35"/>
    <x v="2509"/>
    <x v="0"/>
  </r>
  <r>
    <n v="47161"/>
    <x v="42"/>
    <s v="Stewart"/>
    <n v="1126"/>
    <n v="136"/>
    <n v="94"/>
    <n v="106"/>
    <n v="361"/>
    <n v="429"/>
    <n v="300"/>
    <n v="478"/>
    <n v="348"/>
    <n v="973"/>
    <n v="153"/>
    <x v="2510"/>
    <x v="0"/>
  </r>
  <r>
    <n v="47163"/>
    <x v="42"/>
    <s v="Sullivan"/>
    <n v="4616"/>
    <n v="1003"/>
    <n v="511"/>
    <n v="550"/>
    <n v="1368"/>
    <n v="1184"/>
    <n v="998"/>
    <n v="1499"/>
    <n v="2119"/>
    <n v="4254"/>
    <n v="362"/>
    <x v="2511"/>
    <x v="0"/>
  </r>
  <r>
    <n v="47165"/>
    <x v="42"/>
    <s v="Sumner"/>
    <n v="4300"/>
    <n v="817"/>
    <n v="464"/>
    <n v="506"/>
    <n v="1294"/>
    <n v="1219"/>
    <n v="1385"/>
    <n v="1463"/>
    <n v="1452"/>
    <n v="3827"/>
    <n v="473"/>
    <x v="2512"/>
    <x v="0"/>
  </r>
  <r>
    <n v="47167"/>
    <x v="42"/>
    <s v="Tipton"/>
    <n v="2311"/>
    <n v="434"/>
    <n v="210"/>
    <n v="291"/>
    <n v="650"/>
    <n v="726"/>
    <n v="489"/>
    <n v="1012"/>
    <n v="810"/>
    <n v="1961"/>
    <n v="349"/>
    <x v="2513"/>
    <x v="0"/>
  </r>
  <r>
    <n v="47169"/>
    <x v="42"/>
    <s v="Trousdale"/>
    <n v="218"/>
    <n v="41"/>
    <n v="24"/>
    <n v="27"/>
    <n v="70"/>
    <n v="56"/>
    <n v="65"/>
    <n v="81"/>
    <n v="72"/>
    <n v="193"/>
    <n v="25"/>
    <x v="2514"/>
    <x v="0"/>
  </r>
  <r>
    <n v="47171"/>
    <x v="42"/>
    <s v="Unicoi"/>
    <n v="649"/>
    <n v="161"/>
    <n v="76"/>
    <n v="70"/>
    <n v="190"/>
    <n v="152"/>
    <n v="113"/>
    <n v="173"/>
    <n v="363"/>
    <n v="604"/>
    <n v="45"/>
    <x v="2515"/>
    <x v="0"/>
  </r>
  <r>
    <n v="47173"/>
    <x v="42"/>
    <s v="Union"/>
    <n v="491"/>
    <n v="101"/>
    <n v="47"/>
    <n v="57"/>
    <n v="133"/>
    <n v="153"/>
    <n v="102"/>
    <n v="161"/>
    <n v="228"/>
    <n v="449"/>
    <n v="42"/>
    <x v="2516"/>
    <x v="0"/>
  </r>
  <r>
    <n v="47175"/>
    <x v="42"/>
    <s v="Van Buren"/>
    <n v="191"/>
    <n v="36"/>
    <n v="18"/>
    <n v="26"/>
    <n v="57"/>
    <n v="54"/>
    <n v="45"/>
    <n v="53"/>
    <n v="93"/>
    <n v="173"/>
    <n v="18"/>
    <x v="2517"/>
    <x v="0"/>
  </r>
  <r>
    <n v="47177"/>
    <x v="42"/>
    <s v="Warren"/>
    <n v="814"/>
    <n v="150"/>
    <n v="65"/>
    <n v="92"/>
    <n v="249"/>
    <n v="258"/>
    <n v="198"/>
    <n v="251"/>
    <n v="365"/>
    <n v="745"/>
    <n v="69"/>
    <x v="2518"/>
    <x v="0"/>
  </r>
  <r>
    <n v="47179"/>
    <x v="42"/>
    <s v="Washington"/>
    <n v="4610"/>
    <n v="939"/>
    <n v="491"/>
    <n v="544"/>
    <n v="1416"/>
    <n v="1220"/>
    <n v="1035"/>
    <n v="1513"/>
    <n v="2062"/>
    <n v="4176"/>
    <n v="434"/>
    <x v="2519"/>
    <x v="0"/>
  </r>
  <r>
    <n v="47181"/>
    <x v="42"/>
    <s v="Wayne"/>
    <n v="297"/>
    <n v="65"/>
    <n v="28"/>
    <n v="43"/>
    <n v="86"/>
    <n v="75"/>
    <n v="60"/>
    <n v="101"/>
    <n v="136"/>
    <n v="280"/>
    <n v="17"/>
    <x v="2520"/>
    <x v="0"/>
  </r>
  <r>
    <n v="47183"/>
    <x v="42"/>
    <s v="Weakley"/>
    <n v="606"/>
    <n v="117"/>
    <n v="77"/>
    <n v="78"/>
    <n v="185"/>
    <n v="149"/>
    <n v="124"/>
    <n v="207"/>
    <n v="275"/>
    <n v="561"/>
    <n v="45"/>
    <x v="2521"/>
    <x v="0"/>
  </r>
  <r>
    <n v="47185"/>
    <x v="42"/>
    <s v="White"/>
    <n v="695"/>
    <n v="128"/>
    <n v="69"/>
    <n v="73"/>
    <n v="199"/>
    <n v="226"/>
    <n v="189"/>
    <n v="216"/>
    <n v="290"/>
    <n v="628"/>
    <n v="67"/>
    <x v="2522"/>
    <x v="0"/>
  </r>
  <r>
    <n v="47187"/>
    <x v="42"/>
    <s v="Williamson"/>
    <n v="3109"/>
    <n v="659"/>
    <n v="371"/>
    <n v="366"/>
    <n v="883"/>
    <n v="830"/>
    <n v="868"/>
    <n v="1171"/>
    <n v="1070"/>
    <n v="2802"/>
    <n v="305"/>
    <x v="2523"/>
    <x v="0"/>
  </r>
  <r>
    <n v="47189"/>
    <x v="42"/>
    <s v="Wilson"/>
    <n v="3624"/>
    <n v="717"/>
    <n v="328"/>
    <n v="385"/>
    <n v="1130"/>
    <n v="1064"/>
    <n v="1107"/>
    <n v="1215"/>
    <n v="1302"/>
    <n v="3222"/>
    <n v="402"/>
    <x v="2524"/>
    <x v="0"/>
  </r>
  <r>
    <n v="48001"/>
    <x v="43"/>
    <s v="Anderson"/>
    <n v="1199"/>
    <n v="217"/>
    <n v="138"/>
    <n v="126"/>
    <n v="373"/>
    <n v="345"/>
    <n v="305"/>
    <n v="344"/>
    <n v="550"/>
    <n v="1088"/>
    <n v="111"/>
    <x v="2525"/>
    <x v="0"/>
  </r>
  <r>
    <n v="48003"/>
    <x v="43"/>
    <s v="Andrews"/>
    <n v="155"/>
    <n v="23"/>
    <n v="18"/>
    <n v="26"/>
    <n v="53"/>
    <n v="35"/>
    <n v="78"/>
    <n v="42"/>
    <n v="35"/>
    <n v="140"/>
    <n v="15"/>
    <x v="2526"/>
    <x v="0"/>
  </r>
  <r>
    <n v="48005"/>
    <x v="43"/>
    <s v="Angelina"/>
    <n v="1974"/>
    <n v="363"/>
    <n v="208"/>
    <n v="231"/>
    <n v="670"/>
    <n v="502"/>
    <n v="551"/>
    <n v="610"/>
    <n v="813"/>
    <n v="1759"/>
    <n v="215"/>
    <x v="2527"/>
    <x v="0"/>
  </r>
  <r>
    <n v="48007"/>
    <x v="43"/>
    <s v="Aransas"/>
    <n v="992"/>
    <n v="211"/>
    <n v="97"/>
    <n v="94"/>
    <n v="283"/>
    <n v="307"/>
    <n v="173"/>
    <n v="352"/>
    <n v="467"/>
    <n v="890"/>
    <n v="102"/>
    <x v="2528"/>
    <x v="0"/>
  </r>
  <r>
    <n v="48009"/>
    <x v="43"/>
    <s v="Archer"/>
    <n v="314"/>
    <n v="49"/>
    <n v="35"/>
    <n v="21"/>
    <n v="81"/>
    <n v="128"/>
    <n v="76"/>
    <n v="120"/>
    <n v="118"/>
    <n v="272"/>
    <n v="42"/>
    <x v="2529"/>
    <x v="0"/>
  </r>
  <r>
    <n v="48011"/>
    <x v="43"/>
    <s v="Armstrong"/>
    <n v="57"/>
    <n v="10"/>
    <m/>
    <n v="12"/>
    <n v="22"/>
    <m/>
    <n v="13"/>
    <n v="21"/>
    <n v="23"/>
    <m/>
    <m/>
    <x v="2530"/>
    <x v="0"/>
  </r>
  <r>
    <n v="48013"/>
    <x v="43"/>
    <s v="Atascosa"/>
    <n v="1733"/>
    <n v="278"/>
    <n v="151"/>
    <n v="183"/>
    <n v="521"/>
    <n v="600"/>
    <n v="458"/>
    <n v="620"/>
    <n v="655"/>
    <n v="1495"/>
    <n v="238"/>
    <x v="2531"/>
    <x v="0"/>
  </r>
  <r>
    <n v="48015"/>
    <x v="43"/>
    <s v="Austin"/>
    <n v="487"/>
    <n v="93"/>
    <n v="62"/>
    <n v="62"/>
    <n v="148"/>
    <n v="122"/>
    <n v="146"/>
    <n v="157"/>
    <n v="184"/>
    <n v="434"/>
    <n v="53"/>
    <x v="2532"/>
    <x v="0"/>
  </r>
  <r>
    <n v="48017"/>
    <x v="43"/>
    <s v="Bailey"/>
    <n v="61"/>
    <n v="16"/>
    <m/>
    <m/>
    <n v="17"/>
    <n v="13"/>
    <n v="14"/>
    <n v="22"/>
    <n v="25"/>
    <m/>
    <m/>
    <x v="2533"/>
    <x v="0"/>
  </r>
  <r>
    <n v="48019"/>
    <x v="43"/>
    <s v="Bandera"/>
    <n v="1411"/>
    <n v="238"/>
    <n v="124"/>
    <n v="168"/>
    <n v="399"/>
    <n v="482"/>
    <n v="267"/>
    <n v="544"/>
    <n v="600"/>
    <n v="1232"/>
    <n v="179"/>
    <x v="2534"/>
    <x v="0"/>
  </r>
  <r>
    <n v="48021"/>
    <x v="43"/>
    <s v="Bastrop"/>
    <n v="2556"/>
    <n v="464"/>
    <n v="248"/>
    <n v="295"/>
    <n v="784"/>
    <n v="765"/>
    <n v="812"/>
    <n v="828"/>
    <n v="916"/>
    <n v="2186"/>
    <n v="369"/>
    <x v="2535"/>
    <x v="0"/>
  </r>
  <r>
    <n v="48023"/>
    <x v="43"/>
    <s v="Baylor"/>
    <n v="67"/>
    <n v="15"/>
    <m/>
    <m/>
    <n v="16"/>
    <n v="16"/>
    <n v="15"/>
    <n v="16"/>
    <n v="36"/>
    <m/>
    <m/>
    <x v="2536"/>
    <x v="0"/>
  </r>
  <r>
    <n v="48025"/>
    <x v="43"/>
    <s v="Bee"/>
    <n v="644"/>
    <n v="121"/>
    <n v="58"/>
    <n v="81"/>
    <n v="217"/>
    <n v="167"/>
    <n v="155"/>
    <n v="195"/>
    <n v="294"/>
    <n v="596"/>
    <n v="48"/>
    <x v="2537"/>
    <x v="0"/>
  </r>
  <r>
    <n v="48027"/>
    <x v="43"/>
    <s v="Bell"/>
    <n v="39929"/>
    <n v="3466"/>
    <n v="2611"/>
    <n v="3424"/>
    <n v="12216"/>
    <n v="18212"/>
    <n v="14270"/>
    <n v="17085"/>
    <n v="8573"/>
    <n v="30829"/>
    <n v="9099"/>
    <x v="2538"/>
    <x v="0"/>
  </r>
  <r>
    <n v="48029"/>
    <x v="43"/>
    <s v="Bexar"/>
    <n v="95255"/>
    <n v="12377"/>
    <n v="7672"/>
    <n v="8978"/>
    <n v="28075"/>
    <n v="38153"/>
    <n v="30180"/>
    <n v="37519"/>
    <n v="27556"/>
    <n v="76906"/>
    <n v="18341"/>
    <x v="2539"/>
    <x v="0"/>
  </r>
  <r>
    <n v="48031"/>
    <x v="43"/>
    <s v="Blanco"/>
    <n v="409"/>
    <n v="82"/>
    <n v="40"/>
    <n v="41"/>
    <n v="123"/>
    <n v="123"/>
    <n v="82"/>
    <n v="142"/>
    <n v="185"/>
    <n v="352"/>
    <n v="57"/>
    <x v="2540"/>
    <x v="0"/>
  </r>
  <r>
    <n v="48033"/>
    <x v="43"/>
    <s v="Borden"/>
    <m/>
    <m/>
    <m/>
    <m/>
    <m/>
    <m/>
    <m/>
    <m/>
    <m/>
    <m/>
    <m/>
    <x v="2541"/>
    <x v="0"/>
  </r>
  <r>
    <n v="48035"/>
    <x v="43"/>
    <s v="Bosque"/>
    <n v="524"/>
    <n v="118"/>
    <n v="44"/>
    <n v="41"/>
    <n v="169"/>
    <n v="152"/>
    <n v="124"/>
    <n v="127"/>
    <n v="273"/>
    <n v="470"/>
    <n v="54"/>
    <x v="2542"/>
    <x v="0"/>
  </r>
  <r>
    <n v="48037"/>
    <x v="43"/>
    <s v="Bowie"/>
    <n v="2727"/>
    <n v="413"/>
    <n v="280"/>
    <n v="324"/>
    <n v="854"/>
    <n v="856"/>
    <n v="660"/>
    <n v="1030"/>
    <n v="1037"/>
    <n v="2402"/>
    <n v="325"/>
    <x v="2543"/>
    <x v="0"/>
  </r>
  <r>
    <n v="48039"/>
    <x v="43"/>
    <s v="Brazoria"/>
    <n v="9156"/>
    <n v="1422"/>
    <n v="809"/>
    <n v="949"/>
    <n v="2780"/>
    <n v="3196"/>
    <n v="3298"/>
    <n v="3300"/>
    <n v="2558"/>
    <n v="7729"/>
    <n v="1426"/>
    <x v="2544"/>
    <x v="0"/>
  </r>
  <r>
    <n v="48041"/>
    <x v="43"/>
    <s v="Brazos"/>
    <n v="3706"/>
    <n v="616"/>
    <n v="365"/>
    <n v="430"/>
    <n v="1183"/>
    <n v="1112"/>
    <n v="1509"/>
    <n v="1106"/>
    <n v="1091"/>
    <n v="3250"/>
    <n v="455"/>
    <x v="2545"/>
    <x v="0"/>
  </r>
  <r>
    <n v="48043"/>
    <x v="43"/>
    <s v="Brewster"/>
    <n v="238"/>
    <n v="49"/>
    <n v="24"/>
    <n v="31"/>
    <n v="78"/>
    <n v="56"/>
    <n v="69"/>
    <n v="76"/>
    <n v="93"/>
    <n v="214"/>
    <n v="24"/>
    <x v="2546"/>
    <x v="0"/>
  </r>
  <r>
    <n v="48045"/>
    <x v="43"/>
    <s v="Briscoe"/>
    <n v="25"/>
    <m/>
    <m/>
    <m/>
    <m/>
    <m/>
    <m/>
    <m/>
    <n v="15"/>
    <m/>
    <m/>
    <x v="2547"/>
    <x v="0"/>
  </r>
  <r>
    <n v="48047"/>
    <x v="43"/>
    <s v="Brooks"/>
    <n v="128"/>
    <n v="32"/>
    <m/>
    <m/>
    <n v="34"/>
    <n v="33"/>
    <n v="18"/>
    <n v="35"/>
    <n v="75"/>
    <m/>
    <m/>
    <x v="2548"/>
    <x v="0"/>
  </r>
  <r>
    <n v="48049"/>
    <x v="43"/>
    <s v="Brown"/>
    <n v="922"/>
    <n v="166"/>
    <n v="116"/>
    <n v="120"/>
    <n v="288"/>
    <n v="232"/>
    <n v="254"/>
    <n v="300"/>
    <n v="368"/>
    <n v="839"/>
    <n v="83"/>
    <x v="2549"/>
    <x v="0"/>
  </r>
  <r>
    <n v="48051"/>
    <x v="43"/>
    <s v="Burleson"/>
    <n v="481"/>
    <n v="84"/>
    <n v="52"/>
    <n v="63"/>
    <n v="152"/>
    <n v="130"/>
    <n v="131"/>
    <n v="147"/>
    <n v="203"/>
    <n v="424"/>
    <n v="57"/>
    <x v="2550"/>
    <x v="0"/>
  </r>
  <r>
    <n v="48053"/>
    <x v="43"/>
    <s v="Burnet"/>
    <n v="1490"/>
    <n v="307"/>
    <n v="144"/>
    <n v="170"/>
    <n v="436"/>
    <n v="433"/>
    <n v="379"/>
    <n v="476"/>
    <n v="635"/>
    <n v="1331"/>
    <n v="159"/>
    <x v="2551"/>
    <x v="0"/>
  </r>
  <r>
    <n v="48055"/>
    <x v="43"/>
    <s v="Caldwell"/>
    <n v="979"/>
    <n v="175"/>
    <n v="93"/>
    <n v="106"/>
    <n v="318"/>
    <n v="287"/>
    <n v="277"/>
    <n v="295"/>
    <n v="407"/>
    <n v="874"/>
    <n v="105"/>
    <x v="2552"/>
    <x v="0"/>
  </r>
  <r>
    <n v="48057"/>
    <x v="43"/>
    <s v="Calhoun"/>
    <n v="447"/>
    <n v="124"/>
    <n v="49"/>
    <n v="38"/>
    <n v="135"/>
    <n v="101"/>
    <n v="74"/>
    <n v="113"/>
    <n v="260"/>
    <n v="416"/>
    <n v="31"/>
    <x v="2553"/>
    <x v="0"/>
  </r>
  <r>
    <n v="48059"/>
    <x v="43"/>
    <s v="Callahan"/>
    <n v="512"/>
    <n v="86"/>
    <n v="50"/>
    <n v="71"/>
    <n v="155"/>
    <n v="150"/>
    <n v="127"/>
    <n v="179"/>
    <n v="206"/>
    <n v="454"/>
    <n v="58"/>
    <x v="2554"/>
    <x v="0"/>
  </r>
  <r>
    <n v="48061"/>
    <x v="43"/>
    <s v="Cameron"/>
    <n v="8544"/>
    <n v="1435"/>
    <n v="677"/>
    <n v="771"/>
    <n v="2569"/>
    <n v="3092"/>
    <n v="2534"/>
    <n v="2672"/>
    <n v="3338"/>
    <n v="7865"/>
    <n v="678"/>
    <x v="2555"/>
    <x v="0"/>
  </r>
  <r>
    <n v="48063"/>
    <x v="43"/>
    <s v="Camp"/>
    <n v="300"/>
    <n v="51"/>
    <n v="32"/>
    <n v="29"/>
    <n v="96"/>
    <n v="92"/>
    <n v="81"/>
    <n v="104"/>
    <n v="115"/>
    <n v="271"/>
    <n v="29"/>
    <x v="2556"/>
    <x v="0"/>
  </r>
  <r>
    <n v="48065"/>
    <x v="43"/>
    <s v="Carson"/>
    <n v="148"/>
    <n v="39"/>
    <n v="18"/>
    <n v="20"/>
    <n v="37"/>
    <n v="34"/>
    <n v="44"/>
    <n v="55"/>
    <n v="49"/>
    <n v="137"/>
    <n v="11"/>
    <x v="2557"/>
    <x v="0"/>
  </r>
  <r>
    <n v="48067"/>
    <x v="43"/>
    <s v="Cass"/>
    <n v="983"/>
    <n v="145"/>
    <n v="83"/>
    <n v="135"/>
    <n v="332"/>
    <n v="288"/>
    <n v="214"/>
    <n v="353"/>
    <n v="416"/>
    <n v="887"/>
    <n v="96"/>
    <x v="2558"/>
    <x v="0"/>
  </r>
  <r>
    <n v="48069"/>
    <x v="43"/>
    <s v="Castro"/>
    <n v="53"/>
    <m/>
    <m/>
    <n v="12"/>
    <n v="14"/>
    <n v="13"/>
    <m/>
    <m/>
    <n v="34"/>
    <m/>
    <m/>
    <x v="2559"/>
    <x v="0"/>
  </r>
  <r>
    <n v="48071"/>
    <x v="43"/>
    <s v="Chambers"/>
    <n v="1108"/>
    <n v="184"/>
    <n v="86"/>
    <n v="125"/>
    <n v="354"/>
    <n v="359"/>
    <n v="477"/>
    <n v="402"/>
    <n v="229"/>
    <n v="973"/>
    <n v="135"/>
    <x v="2560"/>
    <x v="0"/>
  </r>
  <r>
    <n v="48073"/>
    <x v="43"/>
    <s v="Cherokee"/>
    <n v="1008"/>
    <n v="158"/>
    <n v="93"/>
    <n v="119"/>
    <n v="337"/>
    <n v="301"/>
    <n v="250"/>
    <n v="333"/>
    <n v="425"/>
    <n v="915"/>
    <n v="93"/>
    <x v="2561"/>
    <x v="0"/>
  </r>
  <r>
    <n v="48075"/>
    <x v="43"/>
    <s v="Childress"/>
    <n v="102"/>
    <n v="28"/>
    <n v="11"/>
    <n v="10"/>
    <n v="30"/>
    <n v="23"/>
    <n v="22"/>
    <n v="36"/>
    <n v="44"/>
    <m/>
    <m/>
    <x v="2562"/>
    <x v="0"/>
  </r>
  <r>
    <n v="48077"/>
    <x v="43"/>
    <s v="Clay"/>
    <n v="386"/>
    <n v="65"/>
    <n v="35"/>
    <n v="46"/>
    <n v="117"/>
    <n v="123"/>
    <n v="89"/>
    <n v="137"/>
    <n v="160"/>
    <n v="351"/>
    <n v="35"/>
    <x v="2563"/>
    <x v="0"/>
  </r>
  <r>
    <n v="48079"/>
    <x v="43"/>
    <s v="Cochran"/>
    <n v="22"/>
    <m/>
    <m/>
    <m/>
    <m/>
    <m/>
    <m/>
    <n v="12"/>
    <m/>
    <m/>
    <m/>
    <x v="2564"/>
    <x v="0"/>
  </r>
  <r>
    <n v="48081"/>
    <x v="43"/>
    <s v="Coke"/>
    <n v="77"/>
    <m/>
    <n v="12"/>
    <m/>
    <n v="29"/>
    <n v="18"/>
    <n v="13"/>
    <n v="26"/>
    <n v="38"/>
    <m/>
    <m/>
    <x v="2565"/>
    <x v="0"/>
  </r>
  <r>
    <n v="48083"/>
    <x v="43"/>
    <s v="Coleman"/>
    <n v="204"/>
    <n v="43"/>
    <n v="30"/>
    <n v="18"/>
    <n v="65"/>
    <n v="48"/>
    <n v="42"/>
    <n v="57"/>
    <n v="105"/>
    <n v="192"/>
    <n v="12"/>
    <x v="2566"/>
    <x v="0"/>
  </r>
  <r>
    <n v="48085"/>
    <x v="43"/>
    <s v="Collin"/>
    <n v="16767"/>
    <n v="2644"/>
    <n v="1646"/>
    <n v="1928"/>
    <n v="4855"/>
    <n v="5694"/>
    <n v="6811"/>
    <n v="6008"/>
    <n v="3948"/>
    <n v="14350"/>
    <n v="2416"/>
    <x v="2567"/>
    <x v="0"/>
  </r>
  <r>
    <n v="48087"/>
    <x v="43"/>
    <s v="Collingsworth"/>
    <n v="37"/>
    <m/>
    <m/>
    <m/>
    <m/>
    <n v="12"/>
    <m/>
    <m/>
    <n v="20"/>
    <m/>
    <m/>
    <x v="2568"/>
    <x v="0"/>
  </r>
  <r>
    <n v="48089"/>
    <x v="43"/>
    <s v="Colorado"/>
    <n v="396"/>
    <n v="92"/>
    <n v="51"/>
    <n v="46"/>
    <n v="115"/>
    <n v="92"/>
    <n v="77"/>
    <n v="105"/>
    <n v="214"/>
    <n v="372"/>
    <n v="24"/>
    <x v="2569"/>
    <x v="0"/>
  </r>
  <r>
    <n v="48091"/>
    <x v="43"/>
    <s v="Comal"/>
    <n v="11781"/>
    <n v="1497"/>
    <n v="846"/>
    <n v="1045"/>
    <n v="3116"/>
    <n v="5277"/>
    <n v="2905"/>
    <n v="5219"/>
    <n v="3657"/>
    <n v="9759"/>
    <n v="2022"/>
    <x v="2570"/>
    <x v="0"/>
  </r>
  <r>
    <n v="48093"/>
    <x v="43"/>
    <s v="Comanche"/>
    <n v="306"/>
    <n v="54"/>
    <n v="32"/>
    <n v="43"/>
    <n v="97"/>
    <n v="80"/>
    <n v="84"/>
    <n v="83"/>
    <n v="139"/>
    <n v="284"/>
    <n v="22"/>
    <x v="2571"/>
    <x v="0"/>
  </r>
  <r>
    <n v="48095"/>
    <x v="43"/>
    <s v="Concho"/>
    <n v="63"/>
    <n v="10"/>
    <m/>
    <m/>
    <n v="18"/>
    <n v="22"/>
    <m/>
    <m/>
    <n v="35"/>
    <m/>
    <m/>
    <x v="2572"/>
    <x v="0"/>
  </r>
  <r>
    <n v="48097"/>
    <x v="43"/>
    <s v="Cooke"/>
    <n v="823"/>
    <n v="184"/>
    <n v="96"/>
    <n v="95"/>
    <n v="235"/>
    <n v="213"/>
    <n v="243"/>
    <n v="204"/>
    <n v="376"/>
    <n v="758"/>
    <n v="65"/>
    <x v="2573"/>
    <x v="0"/>
  </r>
  <r>
    <n v="48099"/>
    <x v="43"/>
    <s v="Coryell"/>
    <n v="7398"/>
    <n v="764"/>
    <n v="585"/>
    <n v="687"/>
    <n v="2407"/>
    <n v="2955"/>
    <n v="2614"/>
    <n v="2972"/>
    <n v="1812"/>
    <n v="5870"/>
    <n v="1528"/>
    <x v="2574"/>
    <x v="0"/>
  </r>
  <r>
    <n v="48101"/>
    <x v="43"/>
    <s v="Cottle"/>
    <n v="25"/>
    <m/>
    <m/>
    <m/>
    <n v="10"/>
    <m/>
    <m/>
    <m/>
    <n v="11"/>
    <m/>
    <m/>
    <x v="2575"/>
    <x v="0"/>
  </r>
  <r>
    <n v="48103"/>
    <x v="43"/>
    <s v="Crane"/>
    <n v="35"/>
    <m/>
    <m/>
    <m/>
    <n v="11"/>
    <m/>
    <m/>
    <m/>
    <n v="14"/>
    <m/>
    <m/>
    <x v="2576"/>
    <x v="0"/>
  </r>
  <r>
    <n v="48105"/>
    <x v="43"/>
    <s v="Crockett"/>
    <n v="47"/>
    <m/>
    <m/>
    <m/>
    <n v="13"/>
    <n v="13"/>
    <m/>
    <m/>
    <n v="23"/>
    <m/>
    <m/>
    <x v="2577"/>
    <x v="0"/>
  </r>
  <r>
    <n v="48107"/>
    <x v="43"/>
    <s v="Crosby"/>
    <n v="86"/>
    <n v="22"/>
    <m/>
    <m/>
    <n v="22"/>
    <n v="20"/>
    <n v="20"/>
    <n v="30"/>
    <n v="36"/>
    <m/>
    <m/>
    <x v="2578"/>
    <x v="0"/>
  </r>
  <r>
    <n v="48109"/>
    <x v="43"/>
    <s v="Culberson"/>
    <n v="43"/>
    <m/>
    <m/>
    <m/>
    <n v="14"/>
    <n v="10"/>
    <n v="10"/>
    <n v="17"/>
    <n v="16"/>
    <m/>
    <m/>
    <x v="2579"/>
    <x v="0"/>
  </r>
  <r>
    <n v="48111"/>
    <x v="43"/>
    <s v="Dallam"/>
    <n v="53"/>
    <n v="12"/>
    <n v="11"/>
    <m/>
    <m/>
    <n v="16"/>
    <n v="16"/>
    <n v="14"/>
    <n v="23"/>
    <m/>
    <m/>
    <x v="2580"/>
    <x v="0"/>
  </r>
  <r>
    <n v="48113"/>
    <x v="43"/>
    <s v="Dallas"/>
    <n v="27991"/>
    <n v="4689"/>
    <n v="2929"/>
    <n v="3260"/>
    <n v="8759"/>
    <n v="8354"/>
    <n v="10361"/>
    <n v="8916"/>
    <n v="8714"/>
    <n v="23448"/>
    <n v="4540"/>
    <x v="2581"/>
    <x v="0"/>
  </r>
  <r>
    <n v="48115"/>
    <x v="43"/>
    <s v="Dawson"/>
    <n v="83"/>
    <n v="16"/>
    <n v="11"/>
    <n v="11"/>
    <n v="22"/>
    <n v="23"/>
    <n v="26"/>
    <n v="26"/>
    <n v="31"/>
    <m/>
    <m/>
    <x v="2582"/>
    <x v="0"/>
  </r>
  <r>
    <n v="48117"/>
    <x v="43"/>
    <s v="Deaf Smith"/>
    <n v="116"/>
    <n v="26"/>
    <n v="24"/>
    <n v="13"/>
    <n v="26"/>
    <n v="27"/>
    <n v="32"/>
    <n v="35"/>
    <n v="49"/>
    <n v="106"/>
    <n v="10"/>
    <x v="2583"/>
    <x v="0"/>
  </r>
  <r>
    <n v="48119"/>
    <x v="43"/>
    <s v="Delta"/>
    <n v="156"/>
    <n v="25"/>
    <n v="19"/>
    <n v="20"/>
    <n v="51"/>
    <n v="41"/>
    <n v="45"/>
    <n v="44"/>
    <n v="67"/>
    <n v="144"/>
    <n v="12"/>
    <x v="2584"/>
    <x v="0"/>
  </r>
  <r>
    <n v="48121"/>
    <x v="43"/>
    <s v="Denton"/>
    <n v="17525"/>
    <n v="2815"/>
    <n v="1794"/>
    <n v="2007"/>
    <n v="5308"/>
    <n v="5601"/>
    <n v="6935"/>
    <n v="6382"/>
    <n v="4208"/>
    <n v="15079"/>
    <n v="2444"/>
    <x v="2585"/>
    <x v="0"/>
  </r>
  <r>
    <n v="48123"/>
    <x v="43"/>
    <s v="DeWitt"/>
    <n v="427"/>
    <n v="103"/>
    <n v="53"/>
    <n v="47"/>
    <n v="135"/>
    <n v="89"/>
    <n v="97"/>
    <n v="116"/>
    <n v="214"/>
    <n v="392"/>
    <n v="35"/>
    <x v="2586"/>
    <x v="0"/>
  </r>
  <r>
    <n v="48125"/>
    <x v="43"/>
    <s v="Dickens"/>
    <n v="50"/>
    <m/>
    <m/>
    <m/>
    <n v="13"/>
    <n v="15"/>
    <n v="11"/>
    <n v="14"/>
    <n v="25"/>
    <m/>
    <m/>
    <x v="2587"/>
    <x v="0"/>
  </r>
  <r>
    <n v="48127"/>
    <x v="43"/>
    <s v="Dimmit"/>
    <n v="135"/>
    <n v="29"/>
    <n v="17"/>
    <n v="12"/>
    <n v="43"/>
    <n v="34"/>
    <n v="21"/>
    <n v="48"/>
    <n v="66"/>
    <m/>
    <m/>
    <x v="2588"/>
    <x v="0"/>
  </r>
  <r>
    <n v="48129"/>
    <x v="43"/>
    <s v="Donley"/>
    <n v="90"/>
    <n v="11"/>
    <m/>
    <m/>
    <n v="41"/>
    <n v="24"/>
    <n v="17"/>
    <n v="24"/>
    <n v="49"/>
    <m/>
    <m/>
    <x v="2589"/>
    <x v="0"/>
  </r>
  <r>
    <n v="48131"/>
    <x v="43"/>
    <s v="Duval"/>
    <n v="216"/>
    <n v="59"/>
    <n v="25"/>
    <n v="22"/>
    <n v="58"/>
    <n v="52"/>
    <n v="36"/>
    <n v="55"/>
    <n v="125"/>
    <n v="206"/>
    <n v="10"/>
    <x v="2590"/>
    <x v="0"/>
  </r>
  <r>
    <n v="48133"/>
    <x v="43"/>
    <s v="Eastland"/>
    <n v="427"/>
    <n v="96"/>
    <n v="40"/>
    <n v="51"/>
    <n v="127"/>
    <n v="113"/>
    <n v="101"/>
    <n v="121"/>
    <n v="205"/>
    <n v="390"/>
    <n v="37"/>
    <x v="2591"/>
    <x v="0"/>
  </r>
  <r>
    <n v="48135"/>
    <x v="43"/>
    <s v="Ector"/>
    <n v="1529"/>
    <n v="297"/>
    <n v="171"/>
    <n v="232"/>
    <n v="493"/>
    <n v="336"/>
    <n v="638"/>
    <n v="495"/>
    <n v="396"/>
    <n v="1385"/>
    <n v="144"/>
    <x v="2592"/>
    <x v="0"/>
  </r>
  <r>
    <n v="48137"/>
    <x v="43"/>
    <s v="Edwards"/>
    <n v="52"/>
    <n v="10"/>
    <m/>
    <m/>
    <n v="20"/>
    <n v="12"/>
    <m/>
    <m/>
    <n v="33"/>
    <m/>
    <m/>
    <x v="2593"/>
    <x v="0"/>
  </r>
  <r>
    <n v="48139"/>
    <x v="43"/>
    <s v="Ellis"/>
    <n v="6506"/>
    <n v="808"/>
    <n v="514"/>
    <n v="677"/>
    <n v="1900"/>
    <n v="2607"/>
    <n v="2392"/>
    <n v="2614"/>
    <n v="1500"/>
    <n v="5339"/>
    <n v="1166"/>
    <x v="2594"/>
    <x v="0"/>
  </r>
  <r>
    <n v="48141"/>
    <x v="43"/>
    <s v="El Paso"/>
    <n v="30865"/>
    <n v="3391"/>
    <n v="2122"/>
    <n v="2728"/>
    <n v="9931"/>
    <n v="12693"/>
    <n v="12210"/>
    <n v="10753"/>
    <n v="7902"/>
    <n v="26574"/>
    <n v="4290"/>
    <x v="2595"/>
    <x v="0"/>
  </r>
  <r>
    <n v="48143"/>
    <x v="43"/>
    <s v="Erath"/>
    <n v="602"/>
    <n v="103"/>
    <n v="58"/>
    <n v="58"/>
    <n v="189"/>
    <n v="194"/>
    <n v="187"/>
    <n v="193"/>
    <n v="222"/>
    <n v="547"/>
    <n v="55"/>
    <x v="2596"/>
    <x v="0"/>
  </r>
  <r>
    <n v="48145"/>
    <x v="43"/>
    <s v="Falls"/>
    <n v="495"/>
    <n v="90"/>
    <n v="51"/>
    <n v="61"/>
    <n v="164"/>
    <n v="129"/>
    <n v="105"/>
    <n v="158"/>
    <n v="232"/>
    <n v="429"/>
    <n v="66"/>
    <x v="2597"/>
    <x v="0"/>
  </r>
  <r>
    <n v="48147"/>
    <x v="43"/>
    <s v="Fannin"/>
    <n v="1195"/>
    <n v="200"/>
    <n v="126"/>
    <n v="124"/>
    <n v="387"/>
    <n v="358"/>
    <n v="300"/>
    <n v="353"/>
    <n v="542"/>
    <n v="1063"/>
    <n v="132"/>
    <x v="2598"/>
    <x v="0"/>
  </r>
  <r>
    <n v="48149"/>
    <x v="43"/>
    <s v="Fayette"/>
    <n v="492"/>
    <n v="96"/>
    <n v="64"/>
    <n v="57"/>
    <n v="142"/>
    <n v="133"/>
    <n v="113"/>
    <n v="117"/>
    <n v="262"/>
    <n v="437"/>
    <n v="55"/>
    <x v="2599"/>
    <x v="0"/>
  </r>
  <r>
    <n v="48151"/>
    <x v="43"/>
    <s v="Fisher"/>
    <n v="64"/>
    <n v="13"/>
    <m/>
    <m/>
    <n v="23"/>
    <n v="14"/>
    <n v="15"/>
    <n v="16"/>
    <n v="33"/>
    <m/>
    <m/>
    <x v="2600"/>
    <x v="0"/>
  </r>
  <r>
    <n v="48153"/>
    <x v="43"/>
    <s v="Floyd"/>
    <n v="87"/>
    <m/>
    <m/>
    <n v="17"/>
    <n v="25"/>
    <n v="21"/>
    <n v="18"/>
    <n v="26"/>
    <n v="43"/>
    <m/>
    <m/>
    <x v="2601"/>
    <x v="0"/>
  </r>
  <r>
    <n v="48155"/>
    <x v="43"/>
    <s v="Foard"/>
    <n v="26"/>
    <m/>
    <m/>
    <m/>
    <m/>
    <m/>
    <m/>
    <m/>
    <m/>
    <m/>
    <m/>
    <x v="2602"/>
    <x v="0"/>
  </r>
  <r>
    <n v="48157"/>
    <x v="43"/>
    <s v="Fort Bend"/>
    <n v="12986"/>
    <n v="1916"/>
    <n v="1028"/>
    <n v="1306"/>
    <n v="3855"/>
    <n v="4881"/>
    <n v="4701"/>
    <n v="4865"/>
    <n v="3420"/>
    <n v="10845"/>
    <n v="2141"/>
    <x v="2603"/>
    <x v="0"/>
  </r>
  <r>
    <n v="48159"/>
    <x v="43"/>
    <s v="Franklin"/>
    <n v="226"/>
    <n v="34"/>
    <n v="28"/>
    <n v="32"/>
    <n v="71"/>
    <n v="61"/>
    <n v="56"/>
    <n v="71"/>
    <n v="99"/>
    <n v="205"/>
    <n v="21"/>
    <x v="2604"/>
    <x v="0"/>
  </r>
  <r>
    <n v="48161"/>
    <x v="43"/>
    <s v="Freestone"/>
    <n v="491"/>
    <n v="94"/>
    <n v="58"/>
    <n v="56"/>
    <n v="154"/>
    <n v="129"/>
    <n v="110"/>
    <n v="136"/>
    <n v="245"/>
    <n v="433"/>
    <n v="57"/>
    <x v="2605"/>
    <x v="0"/>
  </r>
  <r>
    <n v="48163"/>
    <x v="43"/>
    <s v="Frio"/>
    <n v="265"/>
    <n v="50"/>
    <n v="23"/>
    <n v="28"/>
    <n v="83"/>
    <n v="81"/>
    <n v="76"/>
    <n v="90"/>
    <n v="99"/>
    <n v="229"/>
    <n v="36"/>
    <x v="2606"/>
    <x v="0"/>
  </r>
  <r>
    <n v="48165"/>
    <x v="43"/>
    <s v="Gaines"/>
    <n v="144"/>
    <n v="24"/>
    <n v="15"/>
    <n v="17"/>
    <n v="56"/>
    <n v="32"/>
    <n v="65"/>
    <n v="31"/>
    <n v="48"/>
    <n v="133"/>
    <n v="11"/>
    <x v="2607"/>
    <x v="0"/>
  </r>
  <r>
    <n v="48167"/>
    <x v="43"/>
    <s v="Galveston"/>
    <n v="8038"/>
    <n v="1478"/>
    <n v="729"/>
    <n v="933"/>
    <n v="2406"/>
    <n v="2492"/>
    <n v="2676"/>
    <n v="2842"/>
    <n v="2520"/>
    <n v="7013"/>
    <n v="1021"/>
    <x v="2608"/>
    <x v="0"/>
  </r>
  <r>
    <n v="48169"/>
    <x v="43"/>
    <s v="Garza"/>
    <n v="56"/>
    <n v="20"/>
    <m/>
    <m/>
    <n v="19"/>
    <m/>
    <n v="11"/>
    <n v="19"/>
    <n v="26"/>
    <m/>
    <m/>
    <x v="2609"/>
    <x v="0"/>
  </r>
  <r>
    <n v="48171"/>
    <x v="43"/>
    <s v="Gillespie"/>
    <n v="744"/>
    <n v="188"/>
    <n v="97"/>
    <n v="84"/>
    <n v="198"/>
    <n v="177"/>
    <n v="137"/>
    <n v="185"/>
    <n v="422"/>
    <n v="674"/>
    <n v="70"/>
    <x v="2610"/>
    <x v="0"/>
  </r>
  <r>
    <n v="48173"/>
    <x v="43"/>
    <s v="Glasscock"/>
    <m/>
    <m/>
    <m/>
    <m/>
    <m/>
    <m/>
    <m/>
    <m/>
    <m/>
    <m/>
    <m/>
    <x v="2611"/>
    <x v="0"/>
  </r>
  <r>
    <n v="48175"/>
    <x v="43"/>
    <s v="Goliad"/>
    <n v="208"/>
    <n v="47"/>
    <n v="27"/>
    <n v="22"/>
    <n v="56"/>
    <n v="56"/>
    <n v="39"/>
    <n v="63"/>
    <n v="106"/>
    <n v="185"/>
    <n v="23"/>
    <x v="2612"/>
    <x v="0"/>
  </r>
  <r>
    <n v="48177"/>
    <x v="43"/>
    <s v="Gonzales"/>
    <n v="366"/>
    <n v="76"/>
    <n v="45"/>
    <n v="39"/>
    <n v="101"/>
    <n v="105"/>
    <n v="101"/>
    <n v="105"/>
    <n v="160"/>
    <n v="333"/>
    <n v="33"/>
    <x v="2613"/>
    <x v="0"/>
  </r>
  <r>
    <n v="48179"/>
    <x v="43"/>
    <s v="Gray"/>
    <n v="295"/>
    <n v="65"/>
    <n v="31"/>
    <n v="29"/>
    <n v="90"/>
    <n v="80"/>
    <n v="80"/>
    <n v="86"/>
    <n v="128"/>
    <n v="271"/>
    <n v="24"/>
    <x v="2614"/>
    <x v="0"/>
  </r>
  <r>
    <n v="48181"/>
    <x v="43"/>
    <s v="Grayson"/>
    <n v="3763"/>
    <n v="726"/>
    <n v="362"/>
    <n v="448"/>
    <n v="1154"/>
    <n v="1073"/>
    <n v="1116"/>
    <n v="1148"/>
    <n v="1499"/>
    <n v="3397"/>
    <n v="366"/>
    <x v="2615"/>
    <x v="0"/>
  </r>
  <r>
    <n v="48183"/>
    <x v="43"/>
    <s v="Gregg"/>
    <n v="2285"/>
    <n v="457"/>
    <n v="228"/>
    <n v="278"/>
    <n v="692"/>
    <n v="630"/>
    <n v="682"/>
    <n v="704"/>
    <n v="899"/>
    <n v="2015"/>
    <n v="270"/>
    <x v="2616"/>
    <x v="0"/>
  </r>
  <r>
    <n v="48185"/>
    <x v="43"/>
    <s v="Grimes"/>
    <n v="704"/>
    <n v="159"/>
    <n v="57"/>
    <n v="87"/>
    <n v="212"/>
    <n v="189"/>
    <n v="196"/>
    <n v="199"/>
    <n v="309"/>
    <n v="610"/>
    <n v="94"/>
    <x v="2617"/>
    <x v="0"/>
  </r>
  <r>
    <n v="48187"/>
    <x v="43"/>
    <s v="Guadalupe"/>
    <n v="14384"/>
    <n v="1422"/>
    <n v="956"/>
    <n v="1236"/>
    <n v="3921"/>
    <n v="6849"/>
    <n v="3948"/>
    <n v="6744"/>
    <n v="3692"/>
    <n v="11379"/>
    <n v="3005"/>
    <x v="2618"/>
    <x v="0"/>
  </r>
  <r>
    <n v="48189"/>
    <x v="43"/>
    <s v="Hale"/>
    <n v="382"/>
    <n v="95"/>
    <n v="47"/>
    <n v="51"/>
    <n v="99"/>
    <n v="90"/>
    <n v="99"/>
    <n v="99"/>
    <n v="184"/>
    <n v="354"/>
    <n v="28"/>
    <x v="2619"/>
    <x v="0"/>
  </r>
  <r>
    <n v="48191"/>
    <x v="43"/>
    <s v="Hall"/>
    <n v="43"/>
    <n v="11"/>
    <m/>
    <m/>
    <n v="15"/>
    <m/>
    <m/>
    <n v="20"/>
    <m/>
    <m/>
    <m/>
    <x v="2620"/>
    <x v="0"/>
  </r>
  <r>
    <n v="48193"/>
    <x v="43"/>
    <s v="Hamilton"/>
    <n v="232"/>
    <n v="49"/>
    <n v="25"/>
    <n v="31"/>
    <n v="59"/>
    <n v="68"/>
    <n v="60"/>
    <n v="74"/>
    <n v="98"/>
    <n v="217"/>
    <n v="15"/>
    <x v="2621"/>
    <x v="0"/>
  </r>
  <r>
    <n v="48195"/>
    <x v="43"/>
    <s v="Hansford"/>
    <n v="28"/>
    <m/>
    <m/>
    <m/>
    <m/>
    <n v="11"/>
    <m/>
    <m/>
    <n v="12"/>
    <m/>
    <m/>
    <x v="2622"/>
    <x v="0"/>
  </r>
  <r>
    <n v="48197"/>
    <x v="43"/>
    <s v="Hardeman"/>
    <n v="70"/>
    <n v="14"/>
    <m/>
    <m/>
    <n v="27"/>
    <n v="16"/>
    <n v="18"/>
    <n v="21"/>
    <n v="31"/>
    <m/>
    <m/>
    <x v="2623"/>
    <x v="0"/>
  </r>
  <r>
    <n v="48199"/>
    <x v="43"/>
    <s v="Hardin"/>
    <n v="1311"/>
    <n v="257"/>
    <n v="132"/>
    <n v="131"/>
    <n v="466"/>
    <n v="325"/>
    <n v="433"/>
    <n v="399"/>
    <n v="479"/>
    <n v="1199"/>
    <n v="112"/>
    <x v="2624"/>
    <x v="0"/>
  </r>
  <r>
    <n v="48201"/>
    <x v="43"/>
    <s v="Harris"/>
    <n v="61160"/>
    <n v="10271"/>
    <n v="5544"/>
    <n v="6399"/>
    <n v="19597"/>
    <n v="19349"/>
    <n v="25215"/>
    <n v="19993"/>
    <n v="15952"/>
    <n v="51138"/>
    <n v="10017"/>
    <x v="2625"/>
    <x v="0"/>
  </r>
  <r>
    <n v="48203"/>
    <x v="43"/>
    <s v="Harrison"/>
    <n v="1602"/>
    <n v="259"/>
    <n v="163"/>
    <n v="198"/>
    <n v="511"/>
    <n v="471"/>
    <n v="416"/>
    <n v="554"/>
    <n v="632"/>
    <n v="1425"/>
    <n v="175"/>
    <x v="2626"/>
    <x v="0"/>
  </r>
  <r>
    <n v="48205"/>
    <x v="43"/>
    <s v="Hartley"/>
    <n v="49"/>
    <n v="15"/>
    <m/>
    <m/>
    <m/>
    <n v="13"/>
    <n v="10"/>
    <n v="19"/>
    <n v="20"/>
    <m/>
    <m/>
    <x v="2627"/>
    <x v="0"/>
  </r>
  <r>
    <n v="48207"/>
    <x v="43"/>
    <s v="Haskell"/>
    <n v="87"/>
    <n v="19"/>
    <m/>
    <m/>
    <n v="26"/>
    <n v="23"/>
    <n v="24"/>
    <n v="28"/>
    <n v="35"/>
    <m/>
    <m/>
    <x v="2628"/>
    <x v="0"/>
  </r>
  <r>
    <n v="48209"/>
    <x v="43"/>
    <s v="Hays"/>
    <n v="6519"/>
    <n v="979"/>
    <n v="587"/>
    <n v="715"/>
    <n v="1993"/>
    <n v="2245"/>
    <n v="2624"/>
    <n v="2049"/>
    <n v="1846"/>
    <n v="5633"/>
    <n v="885"/>
    <x v="2629"/>
    <x v="0"/>
  </r>
  <r>
    <n v="48211"/>
    <x v="43"/>
    <s v="Hemphill"/>
    <n v="40"/>
    <m/>
    <m/>
    <m/>
    <n v="18"/>
    <n v="10"/>
    <n v="17"/>
    <n v="12"/>
    <n v="11"/>
    <m/>
    <m/>
    <x v="2630"/>
    <x v="0"/>
  </r>
  <r>
    <n v="48213"/>
    <x v="43"/>
    <s v="Henderson"/>
    <n v="1941"/>
    <n v="340"/>
    <n v="193"/>
    <n v="249"/>
    <n v="607"/>
    <n v="552"/>
    <n v="514"/>
    <n v="567"/>
    <n v="860"/>
    <n v="1736"/>
    <n v="205"/>
    <x v="2631"/>
    <x v="0"/>
  </r>
  <r>
    <n v="48215"/>
    <x v="43"/>
    <s v="Hidalgo"/>
    <n v="12178"/>
    <n v="2191"/>
    <n v="984"/>
    <n v="1127"/>
    <n v="3671"/>
    <n v="4205"/>
    <n v="3713"/>
    <n v="3783"/>
    <n v="4682"/>
    <n v="11236"/>
    <n v="941"/>
    <x v="2632"/>
    <x v="0"/>
  </r>
  <r>
    <n v="48217"/>
    <x v="43"/>
    <s v="Hill"/>
    <n v="981"/>
    <n v="181"/>
    <n v="120"/>
    <n v="131"/>
    <n v="302"/>
    <n v="247"/>
    <n v="263"/>
    <n v="279"/>
    <n v="439"/>
    <n v="895"/>
    <n v="86"/>
    <x v="2633"/>
    <x v="0"/>
  </r>
  <r>
    <n v="48219"/>
    <x v="43"/>
    <s v="Hockley"/>
    <n v="314"/>
    <n v="78"/>
    <n v="41"/>
    <n v="35"/>
    <n v="89"/>
    <n v="71"/>
    <n v="95"/>
    <n v="102"/>
    <n v="117"/>
    <n v="282"/>
    <n v="32"/>
    <x v="2634"/>
    <x v="0"/>
  </r>
  <r>
    <n v="48221"/>
    <x v="43"/>
    <s v="Hood"/>
    <n v="2048"/>
    <n v="396"/>
    <n v="217"/>
    <n v="240"/>
    <n v="601"/>
    <n v="594"/>
    <n v="568"/>
    <n v="617"/>
    <n v="863"/>
    <n v="1845"/>
    <n v="203"/>
    <x v="2635"/>
    <x v="0"/>
  </r>
  <r>
    <n v="48223"/>
    <x v="43"/>
    <s v="Hopkins"/>
    <n v="689"/>
    <n v="114"/>
    <n v="66"/>
    <n v="73"/>
    <n v="221"/>
    <n v="215"/>
    <n v="216"/>
    <n v="235"/>
    <n v="238"/>
    <n v="629"/>
    <n v="60"/>
    <x v="2636"/>
    <x v="0"/>
  </r>
  <r>
    <n v="48225"/>
    <x v="43"/>
    <s v="Houston"/>
    <n v="470"/>
    <n v="74"/>
    <n v="51"/>
    <n v="67"/>
    <n v="148"/>
    <n v="130"/>
    <n v="126"/>
    <n v="121"/>
    <n v="223"/>
    <n v="429"/>
    <n v="41"/>
    <x v="2637"/>
    <x v="0"/>
  </r>
  <r>
    <n v="48227"/>
    <x v="43"/>
    <s v="Howard"/>
    <n v="865"/>
    <n v="167"/>
    <n v="95"/>
    <n v="110"/>
    <n v="268"/>
    <n v="225"/>
    <n v="203"/>
    <n v="283"/>
    <n v="379"/>
    <n v="794"/>
    <n v="71"/>
    <x v="2638"/>
    <x v="0"/>
  </r>
  <r>
    <n v="48229"/>
    <x v="43"/>
    <s v="Hudspeth"/>
    <n v="90"/>
    <m/>
    <m/>
    <n v="12"/>
    <n v="40"/>
    <n v="19"/>
    <n v="18"/>
    <n v="33"/>
    <n v="39"/>
    <n v="77"/>
    <n v="13"/>
    <x v="2639"/>
    <x v="0"/>
  </r>
  <r>
    <n v="48231"/>
    <x v="43"/>
    <s v="Hunt"/>
    <n v="3033"/>
    <n v="478"/>
    <n v="312"/>
    <n v="346"/>
    <n v="913"/>
    <n v="984"/>
    <n v="1193"/>
    <n v="946"/>
    <n v="894"/>
    <n v="2654"/>
    <n v="379"/>
    <x v="2640"/>
    <x v="0"/>
  </r>
  <r>
    <n v="48233"/>
    <x v="43"/>
    <s v="Hutchinson"/>
    <n v="398"/>
    <n v="77"/>
    <n v="51"/>
    <n v="45"/>
    <n v="130"/>
    <n v="95"/>
    <n v="126"/>
    <n v="113"/>
    <n v="159"/>
    <n v="365"/>
    <n v="33"/>
    <x v="2641"/>
    <x v="0"/>
  </r>
  <r>
    <n v="48235"/>
    <x v="43"/>
    <s v="Irion"/>
    <n v="20"/>
    <m/>
    <m/>
    <m/>
    <m/>
    <m/>
    <m/>
    <m/>
    <n v="10"/>
    <m/>
    <m/>
    <x v="2642"/>
    <x v="0"/>
  </r>
  <r>
    <n v="48237"/>
    <x v="43"/>
    <s v="Jack"/>
    <n v="152"/>
    <n v="25"/>
    <n v="15"/>
    <n v="24"/>
    <n v="47"/>
    <n v="41"/>
    <n v="51"/>
    <n v="51"/>
    <n v="50"/>
    <n v="138"/>
    <n v="14"/>
    <x v="2643"/>
    <x v="0"/>
  </r>
  <r>
    <n v="48239"/>
    <x v="43"/>
    <s v="Jackson"/>
    <n v="317"/>
    <n v="67"/>
    <n v="29"/>
    <n v="40"/>
    <n v="112"/>
    <n v="69"/>
    <n v="91"/>
    <n v="88"/>
    <n v="138"/>
    <n v="291"/>
    <n v="26"/>
    <x v="2644"/>
    <x v="0"/>
  </r>
  <r>
    <n v="48241"/>
    <x v="43"/>
    <s v="Jasper"/>
    <n v="788"/>
    <n v="124"/>
    <n v="82"/>
    <n v="101"/>
    <n v="259"/>
    <n v="222"/>
    <n v="190"/>
    <n v="253"/>
    <n v="345"/>
    <n v="710"/>
    <n v="78"/>
    <x v="2645"/>
    <x v="0"/>
  </r>
  <r>
    <n v="48243"/>
    <x v="43"/>
    <s v="Jeff Davis"/>
    <n v="47"/>
    <n v="12"/>
    <m/>
    <m/>
    <n v="15"/>
    <m/>
    <m/>
    <m/>
    <n v="22"/>
    <m/>
    <m/>
    <x v="2646"/>
    <x v="0"/>
  </r>
  <r>
    <n v="48245"/>
    <x v="43"/>
    <s v="Jefferson"/>
    <n v="4361"/>
    <n v="884"/>
    <n v="478"/>
    <n v="509"/>
    <n v="1371"/>
    <n v="1119"/>
    <n v="1107"/>
    <n v="1515"/>
    <n v="1739"/>
    <n v="3855"/>
    <n v="505"/>
    <x v="2647"/>
    <x v="0"/>
  </r>
  <r>
    <n v="48247"/>
    <x v="43"/>
    <s v="Jim Hogg"/>
    <n v="85"/>
    <n v="15"/>
    <m/>
    <m/>
    <n v="25"/>
    <n v="28"/>
    <n v="20"/>
    <n v="17"/>
    <n v="48"/>
    <m/>
    <m/>
    <x v="2648"/>
    <x v="0"/>
  </r>
  <r>
    <n v="48249"/>
    <x v="43"/>
    <s v="Jim Wells"/>
    <n v="882"/>
    <n v="137"/>
    <n v="74"/>
    <n v="91"/>
    <n v="278"/>
    <n v="302"/>
    <n v="193"/>
    <n v="289"/>
    <n v="400"/>
    <n v="811"/>
    <n v="71"/>
    <x v="2649"/>
    <x v="0"/>
  </r>
  <r>
    <n v="48251"/>
    <x v="43"/>
    <s v="Johnson"/>
    <n v="5089"/>
    <n v="730"/>
    <n v="488"/>
    <n v="585"/>
    <n v="1463"/>
    <n v="1823"/>
    <n v="1969"/>
    <n v="1754"/>
    <n v="1366"/>
    <n v="4363"/>
    <n v="726"/>
    <x v="2650"/>
    <x v="0"/>
  </r>
  <r>
    <n v="48253"/>
    <x v="43"/>
    <s v="Jones"/>
    <n v="486"/>
    <n v="84"/>
    <n v="45"/>
    <n v="54"/>
    <n v="137"/>
    <n v="166"/>
    <n v="140"/>
    <n v="193"/>
    <n v="153"/>
    <n v="432"/>
    <n v="54"/>
    <x v="2651"/>
    <x v="0"/>
  </r>
  <r>
    <n v="48255"/>
    <x v="43"/>
    <s v="Karnes"/>
    <n v="240"/>
    <n v="49"/>
    <n v="16"/>
    <n v="24"/>
    <n v="90"/>
    <n v="61"/>
    <n v="85"/>
    <n v="68"/>
    <n v="87"/>
    <n v="213"/>
    <n v="27"/>
    <x v="2652"/>
    <x v="0"/>
  </r>
  <r>
    <n v="48257"/>
    <x v="43"/>
    <s v="Kaufman"/>
    <n v="4681"/>
    <n v="544"/>
    <n v="359"/>
    <n v="473"/>
    <n v="1464"/>
    <n v="1841"/>
    <n v="2115"/>
    <n v="1620"/>
    <n v="946"/>
    <n v="3810"/>
    <n v="870"/>
    <x v="2653"/>
    <x v="0"/>
  </r>
  <r>
    <n v="48259"/>
    <x v="43"/>
    <s v="Kendall"/>
    <n v="2042"/>
    <n v="281"/>
    <n v="187"/>
    <n v="188"/>
    <n v="545"/>
    <n v="841"/>
    <n v="496"/>
    <n v="808"/>
    <n v="738"/>
    <n v="1740"/>
    <n v="302"/>
    <x v="2654"/>
    <x v="0"/>
  </r>
  <r>
    <n v="48261"/>
    <x v="43"/>
    <s v="Kenedy"/>
    <m/>
    <m/>
    <m/>
    <m/>
    <m/>
    <m/>
    <m/>
    <m/>
    <m/>
    <m/>
    <m/>
    <x v="2655"/>
    <x v="0"/>
  </r>
  <r>
    <n v="48263"/>
    <x v="43"/>
    <s v="Kent"/>
    <m/>
    <m/>
    <m/>
    <m/>
    <m/>
    <m/>
    <m/>
    <m/>
    <m/>
    <m/>
    <m/>
    <x v="2656"/>
    <x v="0"/>
  </r>
  <r>
    <n v="48265"/>
    <x v="43"/>
    <s v="Kerr"/>
    <n v="2033"/>
    <n v="419"/>
    <n v="228"/>
    <n v="220"/>
    <n v="581"/>
    <n v="585"/>
    <n v="342"/>
    <n v="555"/>
    <n v="1136"/>
    <n v="1826"/>
    <n v="207"/>
    <x v="2657"/>
    <x v="0"/>
  </r>
  <r>
    <n v="48267"/>
    <x v="43"/>
    <s v="Kimble"/>
    <n v="79"/>
    <m/>
    <m/>
    <n v="14"/>
    <n v="18"/>
    <n v="27"/>
    <n v="13"/>
    <n v="18"/>
    <n v="48"/>
    <m/>
    <m/>
    <x v="2658"/>
    <x v="0"/>
  </r>
  <r>
    <n v="48269"/>
    <x v="43"/>
    <s v="King"/>
    <m/>
    <m/>
    <m/>
    <m/>
    <m/>
    <m/>
    <m/>
    <m/>
    <m/>
    <m/>
    <m/>
    <x v="2659"/>
    <x v="0"/>
  </r>
  <r>
    <n v="48271"/>
    <x v="43"/>
    <s v="Kinney"/>
    <n v="154"/>
    <n v="32"/>
    <n v="14"/>
    <n v="20"/>
    <n v="56"/>
    <n v="32"/>
    <n v="28"/>
    <n v="33"/>
    <n v="93"/>
    <n v="138"/>
    <n v="16"/>
    <x v="2660"/>
    <x v="0"/>
  </r>
  <r>
    <n v="48273"/>
    <x v="43"/>
    <s v="Kleberg"/>
    <n v="1030"/>
    <n v="158"/>
    <n v="105"/>
    <n v="113"/>
    <n v="330"/>
    <n v="324"/>
    <n v="308"/>
    <n v="358"/>
    <n v="364"/>
    <n v="944"/>
    <n v="86"/>
    <x v="2661"/>
    <x v="0"/>
  </r>
  <r>
    <n v="48275"/>
    <x v="43"/>
    <s v="Knox"/>
    <n v="48"/>
    <m/>
    <m/>
    <m/>
    <n v="13"/>
    <n v="17"/>
    <m/>
    <m/>
    <n v="22"/>
    <m/>
    <m/>
    <x v="2662"/>
    <x v="0"/>
  </r>
  <r>
    <n v="48277"/>
    <x v="43"/>
    <s v="Lamar"/>
    <n v="1159"/>
    <n v="242"/>
    <n v="100"/>
    <n v="127"/>
    <n v="364"/>
    <n v="326"/>
    <n v="308"/>
    <n v="337"/>
    <n v="514"/>
    <n v="1042"/>
    <n v="117"/>
    <x v="2663"/>
    <x v="0"/>
  </r>
  <r>
    <n v="48279"/>
    <x v="43"/>
    <s v="Lamb"/>
    <n v="193"/>
    <n v="41"/>
    <n v="24"/>
    <n v="22"/>
    <n v="65"/>
    <n v="41"/>
    <n v="52"/>
    <n v="64"/>
    <n v="77"/>
    <n v="176"/>
    <n v="17"/>
    <x v="2664"/>
    <x v="0"/>
  </r>
  <r>
    <n v="48281"/>
    <x v="43"/>
    <s v="Lampasas"/>
    <n v="2276"/>
    <n v="254"/>
    <n v="149"/>
    <n v="200"/>
    <n v="739"/>
    <n v="934"/>
    <n v="511"/>
    <n v="992"/>
    <n v="773"/>
    <n v="1878"/>
    <n v="398"/>
    <x v="2665"/>
    <x v="0"/>
  </r>
  <r>
    <n v="48283"/>
    <x v="43"/>
    <s v="La Salle"/>
    <n v="54"/>
    <m/>
    <m/>
    <n v="10"/>
    <n v="25"/>
    <m/>
    <n v="12"/>
    <n v="13"/>
    <n v="29"/>
    <m/>
    <m/>
    <x v="2666"/>
    <x v="0"/>
  </r>
  <r>
    <n v="48285"/>
    <x v="43"/>
    <s v="Lavaca"/>
    <n v="383"/>
    <n v="94"/>
    <n v="35"/>
    <n v="45"/>
    <n v="109"/>
    <n v="100"/>
    <n v="79"/>
    <n v="95"/>
    <n v="209"/>
    <n v="347"/>
    <n v="36"/>
    <x v="2667"/>
    <x v="0"/>
  </r>
  <r>
    <n v="48287"/>
    <x v="43"/>
    <s v="Lee"/>
    <n v="339"/>
    <n v="64"/>
    <n v="41"/>
    <n v="45"/>
    <n v="97"/>
    <n v="92"/>
    <n v="95"/>
    <n v="91"/>
    <n v="153"/>
    <n v="314"/>
    <n v="25"/>
    <x v="2668"/>
    <x v="0"/>
  </r>
  <r>
    <n v="48289"/>
    <x v="43"/>
    <s v="Leon"/>
    <n v="479"/>
    <n v="87"/>
    <n v="35"/>
    <n v="60"/>
    <n v="164"/>
    <n v="133"/>
    <n v="104"/>
    <n v="132"/>
    <n v="243"/>
    <n v="439"/>
    <n v="40"/>
    <x v="2669"/>
    <x v="0"/>
  </r>
  <r>
    <n v="48291"/>
    <x v="43"/>
    <s v="Liberty"/>
    <n v="1706"/>
    <n v="307"/>
    <n v="153"/>
    <n v="216"/>
    <n v="533"/>
    <n v="497"/>
    <n v="618"/>
    <n v="534"/>
    <n v="554"/>
    <n v="1511"/>
    <n v="195"/>
    <x v="2670"/>
    <x v="0"/>
  </r>
  <r>
    <n v="48293"/>
    <x v="43"/>
    <s v="Limestone"/>
    <n v="481"/>
    <n v="94"/>
    <n v="55"/>
    <n v="60"/>
    <n v="142"/>
    <n v="130"/>
    <n v="103"/>
    <n v="144"/>
    <n v="234"/>
    <n v="443"/>
    <n v="38"/>
    <x v="2671"/>
    <x v="0"/>
  </r>
  <r>
    <n v="48295"/>
    <x v="43"/>
    <s v="Lipscomb"/>
    <n v="40"/>
    <n v="10"/>
    <m/>
    <m/>
    <m/>
    <m/>
    <m/>
    <m/>
    <n v="23"/>
    <m/>
    <m/>
    <x v="2672"/>
    <x v="0"/>
  </r>
  <r>
    <n v="48297"/>
    <x v="43"/>
    <s v="Live Oak"/>
    <n v="295"/>
    <n v="51"/>
    <n v="32"/>
    <n v="31"/>
    <n v="105"/>
    <n v="76"/>
    <n v="60"/>
    <n v="90"/>
    <n v="145"/>
    <n v="272"/>
    <n v="23"/>
    <x v="2673"/>
    <x v="0"/>
  </r>
  <r>
    <n v="48299"/>
    <x v="43"/>
    <s v="Llano"/>
    <n v="569"/>
    <n v="127"/>
    <n v="58"/>
    <n v="76"/>
    <n v="167"/>
    <n v="141"/>
    <n v="96"/>
    <n v="174"/>
    <n v="299"/>
    <n v="510"/>
    <n v="59"/>
    <x v="2674"/>
    <x v="0"/>
  </r>
  <r>
    <n v="48301"/>
    <x v="43"/>
    <s v="Loving"/>
    <m/>
    <m/>
    <m/>
    <m/>
    <m/>
    <m/>
    <m/>
    <m/>
    <m/>
    <m/>
    <m/>
    <x v="2675"/>
    <x v="0"/>
  </r>
  <r>
    <n v="48303"/>
    <x v="43"/>
    <s v="Lubbock"/>
    <n v="5790"/>
    <n v="1132"/>
    <n v="617"/>
    <n v="747"/>
    <n v="1799"/>
    <n v="1495"/>
    <n v="1982"/>
    <n v="1812"/>
    <n v="1996"/>
    <n v="5176"/>
    <n v="614"/>
    <x v="2676"/>
    <x v="0"/>
  </r>
  <r>
    <n v="48305"/>
    <x v="43"/>
    <s v="Lynn"/>
    <n v="93"/>
    <n v="20"/>
    <m/>
    <m/>
    <n v="26"/>
    <n v="29"/>
    <n v="33"/>
    <n v="34"/>
    <n v="26"/>
    <n v="82"/>
    <n v="11"/>
    <x v="2677"/>
    <x v="0"/>
  </r>
  <r>
    <n v="48307"/>
    <x v="43"/>
    <s v="McCulloch"/>
    <n v="178"/>
    <n v="25"/>
    <n v="23"/>
    <n v="26"/>
    <n v="62"/>
    <n v="42"/>
    <n v="36"/>
    <n v="60"/>
    <n v="82"/>
    <n v="158"/>
    <n v="20"/>
    <x v="2678"/>
    <x v="0"/>
  </r>
  <r>
    <n v="48309"/>
    <x v="43"/>
    <s v="McLennan"/>
    <n v="7144"/>
    <n v="1134"/>
    <n v="695"/>
    <n v="816"/>
    <n v="2247"/>
    <n v="2252"/>
    <n v="2152"/>
    <n v="2299"/>
    <n v="2693"/>
    <n v="6290"/>
    <n v="854"/>
    <x v="2679"/>
    <x v="0"/>
  </r>
  <r>
    <n v="48311"/>
    <x v="43"/>
    <s v="McMullen"/>
    <n v="13"/>
    <m/>
    <m/>
    <m/>
    <m/>
    <m/>
    <m/>
    <m/>
    <m/>
    <m/>
    <m/>
    <x v="2680"/>
    <x v="0"/>
  </r>
  <r>
    <n v="48313"/>
    <x v="43"/>
    <s v="Madison"/>
    <n v="254"/>
    <n v="56"/>
    <n v="26"/>
    <n v="20"/>
    <n v="75"/>
    <n v="77"/>
    <n v="69"/>
    <n v="79"/>
    <n v="106"/>
    <n v="234"/>
    <n v="20"/>
    <x v="2681"/>
    <x v="0"/>
  </r>
  <r>
    <n v="48315"/>
    <x v="43"/>
    <s v="Marion"/>
    <n v="346"/>
    <n v="49"/>
    <n v="29"/>
    <n v="52"/>
    <n v="119"/>
    <n v="97"/>
    <n v="58"/>
    <n v="118"/>
    <n v="170"/>
    <n v="303"/>
    <n v="43"/>
    <x v="2682"/>
    <x v="0"/>
  </r>
  <r>
    <n v="48317"/>
    <x v="43"/>
    <s v="Martin"/>
    <n v="52"/>
    <m/>
    <m/>
    <m/>
    <n v="18"/>
    <n v="11"/>
    <n v="17"/>
    <n v="19"/>
    <n v="16"/>
    <m/>
    <m/>
    <x v="2683"/>
    <x v="0"/>
  </r>
  <r>
    <n v="48319"/>
    <x v="43"/>
    <s v="Mason"/>
    <n v="79"/>
    <n v="18"/>
    <n v="10"/>
    <n v="10"/>
    <n v="25"/>
    <n v="16"/>
    <n v="12"/>
    <n v="21"/>
    <n v="46"/>
    <m/>
    <m/>
    <x v="2684"/>
    <x v="0"/>
  </r>
  <r>
    <n v="48321"/>
    <x v="43"/>
    <s v="Matagorda"/>
    <n v="741"/>
    <n v="205"/>
    <n v="86"/>
    <n v="85"/>
    <n v="205"/>
    <n v="160"/>
    <n v="164"/>
    <n v="201"/>
    <n v="376"/>
    <n v="682"/>
    <n v="59"/>
    <x v="2685"/>
    <x v="0"/>
  </r>
  <r>
    <n v="48323"/>
    <x v="43"/>
    <s v="Maverick"/>
    <n v="617"/>
    <n v="96"/>
    <n v="60"/>
    <n v="68"/>
    <n v="207"/>
    <n v="186"/>
    <n v="243"/>
    <n v="208"/>
    <n v="166"/>
    <n v="581"/>
    <n v="36"/>
    <x v="2686"/>
    <x v="0"/>
  </r>
  <r>
    <n v="48325"/>
    <x v="43"/>
    <s v="Medina"/>
    <n v="3297"/>
    <n v="395"/>
    <n v="226"/>
    <n v="279"/>
    <n v="901"/>
    <n v="1496"/>
    <n v="852"/>
    <n v="1451"/>
    <n v="994"/>
    <n v="2742"/>
    <n v="554"/>
    <x v="2687"/>
    <x v="0"/>
  </r>
  <r>
    <n v="48327"/>
    <x v="43"/>
    <s v="Menard"/>
    <n v="48"/>
    <m/>
    <m/>
    <m/>
    <n v="15"/>
    <n v="18"/>
    <m/>
    <m/>
    <n v="29"/>
    <m/>
    <m/>
    <x v="2688"/>
    <x v="0"/>
  </r>
  <r>
    <n v="48329"/>
    <x v="43"/>
    <s v="Midland"/>
    <n v="2226"/>
    <n v="419"/>
    <n v="236"/>
    <n v="325"/>
    <n v="740"/>
    <n v="506"/>
    <n v="947"/>
    <n v="734"/>
    <n v="545"/>
    <n v="2009"/>
    <n v="217"/>
    <x v="2689"/>
    <x v="0"/>
  </r>
  <r>
    <n v="48331"/>
    <x v="43"/>
    <s v="Milam"/>
    <n v="598"/>
    <n v="121"/>
    <n v="68"/>
    <n v="60"/>
    <n v="208"/>
    <n v="141"/>
    <n v="145"/>
    <n v="183"/>
    <n v="270"/>
    <n v="548"/>
    <n v="50"/>
    <x v="2690"/>
    <x v="0"/>
  </r>
  <r>
    <n v="48333"/>
    <x v="43"/>
    <s v="Mills"/>
    <n v="138"/>
    <n v="20"/>
    <n v="13"/>
    <n v="14"/>
    <n v="45"/>
    <n v="46"/>
    <n v="32"/>
    <n v="45"/>
    <n v="61"/>
    <m/>
    <m/>
    <x v="2691"/>
    <x v="0"/>
  </r>
  <r>
    <n v="48335"/>
    <x v="43"/>
    <s v="Mitchell"/>
    <n v="131"/>
    <n v="19"/>
    <n v="11"/>
    <n v="30"/>
    <n v="47"/>
    <n v="24"/>
    <n v="30"/>
    <n v="51"/>
    <n v="50"/>
    <m/>
    <m/>
    <x v="2692"/>
    <x v="0"/>
  </r>
  <r>
    <n v="48337"/>
    <x v="43"/>
    <s v="Montague"/>
    <n v="525"/>
    <n v="96"/>
    <n v="62"/>
    <n v="59"/>
    <n v="158"/>
    <n v="150"/>
    <n v="103"/>
    <n v="153"/>
    <n v="269"/>
    <n v="482"/>
    <n v="43"/>
    <x v="2693"/>
    <x v="0"/>
  </r>
  <r>
    <n v="48339"/>
    <x v="43"/>
    <s v="Montgomery"/>
    <n v="16882"/>
    <n v="2549"/>
    <n v="1410"/>
    <n v="1822"/>
    <n v="5253"/>
    <n v="5848"/>
    <n v="6928"/>
    <n v="5758"/>
    <n v="4196"/>
    <n v="14577"/>
    <n v="2303"/>
    <x v="2694"/>
    <x v="0"/>
  </r>
  <r>
    <n v="48341"/>
    <x v="43"/>
    <s v="Moore"/>
    <n v="142"/>
    <n v="36"/>
    <n v="14"/>
    <n v="18"/>
    <n v="38"/>
    <n v="36"/>
    <n v="40"/>
    <n v="37"/>
    <n v="65"/>
    <n v="129"/>
    <n v="13"/>
    <x v="2695"/>
    <x v="0"/>
  </r>
  <r>
    <n v="48343"/>
    <x v="43"/>
    <s v="Morris"/>
    <n v="302"/>
    <n v="52"/>
    <n v="29"/>
    <n v="33"/>
    <n v="95"/>
    <n v="93"/>
    <n v="68"/>
    <n v="99"/>
    <n v="135"/>
    <n v="277"/>
    <n v="25"/>
    <x v="2696"/>
    <x v="0"/>
  </r>
  <r>
    <n v="48345"/>
    <x v="43"/>
    <s v="Motley"/>
    <n v="20"/>
    <m/>
    <m/>
    <m/>
    <m/>
    <m/>
    <m/>
    <m/>
    <m/>
    <m/>
    <m/>
    <x v="2697"/>
    <x v="0"/>
  </r>
  <r>
    <n v="48347"/>
    <x v="43"/>
    <s v="Nacogdoches"/>
    <n v="1143"/>
    <n v="207"/>
    <n v="114"/>
    <n v="127"/>
    <n v="368"/>
    <n v="327"/>
    <n v="327"/>
    <n v="335"/>
    <n v="481"/>
    <n v="1019"/>
    <n v="124"/>
    <x v="2698"/>
    <x v="0"/>
  </r>
  <r>
    <n v="48349"/>
    <x v="43"/>
    <s v="Navarro"/>
    <n v="1138"/>
    <n v="200"/>
    <n v="128"/>
    <n v="137"/>
    <n v="364"/>
    <n v="309"/>
    <n v="295"/>
    <n v="326"/>
    <n v="517"/>
    <n v="1049"/>
    <n v="89"/>
    <x v="2699"/>
    <x v="0"/>
  </r>
  <r>
    <n v="48351"/>
    <x v="43"/>
    <s v="Newton"/>
    <n v="314"/>
    <n v="66"/>
    <n v="29"/>
    <n v="32"/>
    <n v="89"/>
    <n v="98"/>
    <n v="66"/>
    <n v="105"/>
    <n v="143"/>
    <n v="293"/>
    <n v="21"/>
    <x v="2700"/>
    <x v="0"/>
  </r>
  <r>
    <n v="48353"/>
    <x v="43"/>
    <s v="Nolan"/>
    <n v="270"/>
    <n v="59"/>
    <n v="34"/>
    <n v="29"/>
    <n v="86"/>
    <n v="62"/>
    <n v="67"/>
    <n v="89"/>
    <n v="114"/>
    <n v="240"/>
    <n v="30"/>
    <x v="2701"/>
    <x v="0"/>
  </r>
  <r>
    <n v="48355"/>
    <x v="43"/>
    <s v="Nueces"/>
    <n v="11556"/>
    <n v="1937"/>
    <n v="1031"/>
    <n v="1204"/>
    <n v="3467"/>
    <n v="3917"/>
    <n v="3028"/>
    <n v="4278"/>
    <n v="4250"/>
    <n v="10355"/>
    <n v="1201"/>
    <x v="2702"/>
    <x v="0"/>
  </r>
  <r>
    <n v="48357"/>
    <x v="43"/>
    <s v="Ochiltree"/>
    <n v="70"/>
    <n v="16"/>
    <m/>
    <m/>
    <n v="18"/>
    <n v="21"/>
    <n v="21"/>
    <n v="16"/>
    <n v="33"/>
    <m/>
    <m/>
    <x v="2703"/>
    <x v="0"/>
  </r>
  <r>
    <n v="48359"/>
    <x v="43"/>
    <s v="Oldham"/>
    <n v="49"/>
    <n v="15"/>
    <m/>
    <m/>
    <m/>
    <n v="17"/>
    <n v="13"/>
    <n v="13"/>
    <n v="23"/>
    <m/>
    <m/>
    <x v="2704"/>
    <x v="0"/>
  </r>
  <r>
    <n v="48361"/>
    <x v="43"/>
    <s v="Orange"/>
    <n v="1915"/>
    <n v="400"/>
    <n v="184"/>
    <n v="253"/>
    <n v="614"/>
    <n v="464"/>
    <n v="557"/>
    <n v="588"/>
    <n v="770"/>
    <n v="1747"/>
    <n v="168"/>
    <x v="2705"/>
    <x v="0"/>
  </r>
  <r>
    <n v="48363"/>
    <x v="43"/>
    <s v="Palo Pinto"/>
    <n v="656"/>
    <n v="124"/>
    <n v="88"/>
    <n v="68"/>
    <n v="198"/>
    <n v="178"/>
    <n v="184"/>
    <n v="181"/>
    <n v="291"/>
    <n v="599"/>
    <n v="57"/>
    <x v="2706"/>
    <x v="0"/>
  </r>
  <r>
    <n v="48365"/>
    <x v="43"/>
    <s v="Panola"/>
    <n v="499"/>
    <n v="69"/>
    <n v="49"/>
    <n v="59"/>
    <n v="156"/>
    <n v="166"/>
    <n v="124"/>
    <n v="161"/>
    <n v="214"/>
    <n v="443"/>
    <n v="56"/>
    <x v="2707"/>
    <x v="0"/>
  </r>
  <r>
    <n v="48367"/>
    <x v="43"/>
    <s v="Parker"/>
    <n v="6174"/>
    <n v="967"/>
    <n v="539"/>
    <n v="642"/>
    <n v="1816"/>
    <n v="2210"/>
    <n v="2189"/>
    <n v="2384"/>
    <n v="1601"/>
    <n v="5426"/>
    <n v="748"/>
    <x v="2708"/>
    <x v="0"/>
  </r>
  <r>
    <n v="48369"/>
    <x v="43"/>
    <s v="Parmer"/>
    <n v="56"/>
    <n v="14"/>
    <m/>
    <m/>
    <n v="19"/>
    <n v="11"/>
    <n v="18"/>
    <n v="19"/>
    <n v="19"/>
    <m/>
    <m/>
    <x v="2709"/>
    <x v="0"/>
  </r>
  <r>
    <n v="48371"/>
    <x v="43"/>
    <s v="Pecos"/>
    <n v="163"/>
    <n v="28"/>
    <n v="17"/>
    <n v="26"/>
    <n v="57"/>
    <n v="35"/>
    <n v="49"/>
    <n v="63"/>
    <n v="51"/>
    <n v="149"/>
    <n v="14"/>
    <x v="2710"/>
    <x v="0"/>
  </r>
  <r>
    <n v="48373"/>
    <x v="43"/>
    <s v="Polk"/>
    <n v="1768"/>
    <n v="385"/>
    <n v="192"/>
    <n v="224"/>
    <n v="498"/>
    <n v="469"/>
    <n v="335"/>
    <n v="589"/>
    <n v="844"/>
    <n v="1575"/>
    <n v="193"/>
    <x v="2711"/>
    <x v="0"/>
  </r>
  <r>
    <n v="48375"/>
    <x v="43"/>
    <s v="Potter"/>
    <n v="1972"/>
    <n v="422"/>
    <n v="199"/>
    <n v="248"/>
    <n v="556"/>
    <n v="547"/>
    <n v="522"/>
    <n v="627"/>
    <n v="823"/>
    <n v="1804"/>
    <n v="168"/>
    <x v="2712"/>
    <x v="0"/>
  </r>
  <r>
    <n v="48377"/>
    <x v="43"/>
    <s v="Presidio"/>
    <n v="52"/>
    <n v="13"/>
    <m/>
    <m/>
    <n v="19"/>
    <m/>
    <n v="14"/>
    <n v="19"/>
    <n v="19"/>
    <m/>
    <m/>
    <x v="2713"/>
    <x v="0"/>
  </r>
  <r>
    <n v="48379"/>
    <x v="43"/>
    <s v="Rains"/>
    <n v="403"/>
    <n v="56"/>
    <n v="39"/>
    <n v="49"/>
    <n v="132"/>
    <n v="127"/>
    <n v="93"/>
    <n v="126"/>
    <n v="184"/>
    <n v="365"/>
    <n v="38"/>
    <x v="2714"/>
    <x v="0"/>
  </r>
  <r>
    <n v="48381"/>
    <x v="43"/>
    <s v="Randall"/>
    <n v="3603"/>
    <n v="631"/>
    <n v="348"/>
    <n v="422"/>
    <n v="1058"/>
    <n v="1144"/>
    <n v="1325"/>
    <n v="1166"/>
    <n v="1112"/>
    <n v="3238"/>
    <n v="365"/>
    <x v="2715"/>
    <x v="0"/>
  </r>
  <r>
    <n v="48383"/>
    <x v="43"/>
    <s v="Reagan"/>
    <n v="26"/>
    <m/>
    <m/>
    <m/>
    <m/>
    <m/>
    <n v="11"/>
    <m/>
    <m/>
    <m/>
    <m/>
    <x v="2716"/>
    <x v="0"/>
  </r>
  <r>
    <n v="48385"/>
    <x v="43"/>
    <s v="Real"/>
    <n v="104"/>
    <n v="28"/>
    <m/>
    <m/>
    <n v="25"/>
    <n v="31"/>
    <n v="21"/>
    <n v="28"/>
    <n v="55"/>
    <n v="92"/>
    <n v="12"/>
    <x v="2717"/>
    <x v="0"/>
  </r>
  <r>
    <n v="48387"/>
    <x v="43"/>
    <s v="Red River"/>
    <n v="331"/>
    <n v="61"/>
    <n v="32"/>
    <n v="32"/>
    <n v="95"/>
    <n v="111"/>
    <n v="68"/>
    <n v="107"/>
    <n v="156"/>
    <n v="293"/>
    <n v="38"/>
    <x v="2718"/>
    <x v="0"/>
  </r>
  <r>
    <n v="48389"/>
    <x v="43"/>
    <s v="Reeves"/>
    <n v="114"/>
    <n v="23"/>
    <n v="20"/>
    <n v="19"/>
    <n v="32"/>
    <n v="20"/>
    <n v="30"/>
    <n v="45"/>
    <n v="39"/>
    <n v="104"/>
    <n v="10"/>
    <x v="2719"/>
    <x v="0"/>
  </r>
  <r>
    <n v="48391"/>
    <x v="43"/>
    <s v="Refugio"/>
    <n v="219"/>
    <n v="59"/>
    <n v="15"/>
    <n v="20"/>
    <n v="60"/>
    <n v="65"/>
    <n v="38"/>
    <n v="68"/>
    <n v="113"/>
    <n v="205"/>
    <n v="14"/>
    <x v="2720"/>
    <x v="0"/>
  </r>
  <r>
    <n v="48393"/>
    <x v="43"/>
    <s v="Roberts"/>
    <n v="11"/>
    <m/>
    <m/>
    <m/>
    <m/>
    <m/>
    <m/>
    <m/>
    <m/>
    <m/>
    <m/>
    <x v="2721"/>
    <x v="0"/>
  </r>
  <r>
    <n v="48395"/>
    <x v="43"/>
    <s v="Robertson"/>
    <n v="366"/>
    <n v="59"/>
    <n v="32"/>
    <n v="45"/>
    <n v="114"/>
    <n v="116"/>
    <n v="83"/>
    <n v="99"/>
    <n v="184"/>
    <n v="334"/>
    <n v="32"/>
    <x v="2722"/>
    <x v="0"/>
  </r>
  <r>
    <n v="48397"/>
    <x v="43"/>
    <s v="Rockwall"/>
    <n v="3259"/>
    <n v="409"/>
    <n v="271"/>
    <n v="319"/>
    <n v="921"/>
    <n v="1339"/>
    <n v="1241"/>
    <n v="1313"/>
    <n v="705"/>
    <n v="2814"/>
    <n v="444"/>
    <x v="2723"/>
    <x v="0"/>
  </r>
  <r>
    <n v="48399"/>
    <x v="43"/>
    <s v="Runnels"/>
    <n v="218"/>
    <n v="41"/>
    <n v="15"/>
    <n v="33"/>
    <n v="64"/>
    <n v="65"/>
    <n v="48"/>
    <n v="70"/>
    <n v="100"/>
    <n v="198"/>
    <n v="20"/>
    <x v="2724"/>
    <x v="0"/>
  </r>
  <r>
    <n v="48401"/>
    <x v="43"/>
    <s v="Rusk"/>
    <n v="974"/>
    <n v="166"/>
    <n v="112"/>
    <n v="120"/>
    <n v="296"/>
    <n v="280"/>
    <n v="275"/>
    <n v="321"/>
    <n v="378"/>
    <n v="856"/>
    <n v="118"/>
    <x v="2725"/>
    <x v="0"/>
  </r>
  <r>
    <n v="48403"/>
    <x v="43"/>
    <s v="Sabine"/>
    <n v="353"/>
    <n v="72"/>
    <n v="37"/>
    <n v="43"/>
    <n v="119"/>
    <n v="82"/>
    <n v="61"/>
    <n v="89"/>
    <n v="203"/>
    <n v="331"/>
    <n v="22"/>
    <x v="2726"/>
    <x v="0"/>
  </r>
  <r>
    <n v="48405"/>
    <x v="43"/>
    <s v="San Augustine"/>
    <n v="203"/>
    <n v="36"/>
    <n v="24"/>
    <n v="22"/>
    <n v="70"/>
    <n v="51"/>
    <n v="41"/>
    <n v="56"/>
    <n v="106"/>
    <n v="182"/>
    <n v="21"/>
    <x v="2727"/>
    <x v="0"/>
  </r>
  <r>
    <n v="48407"/>
    <x v="43"/>
    <s v="San Jacinto"/>
    <n v="769"/>
    <n v="152"/>
    <n v="75"/>
    <n v="76"/>
    <n v="240"/>
    <n v="226"/>
    <n v="187"/>
    <n v="244"/>
    <n v="338"/>
    <n v="694"/>
    <n v="75"/>
    <x v="2728"/>
    <x v="0"/>
  </r>
  <r>
    <n v="48409"/>
    <x v="43"/>
    <s v="San Patricio"/>
    <n v="2360"/>
    <n v="378"/>
    <n v="225"/>
    <n v="267"/>
    <n v="726"/>
    <n v="764"/>
    <n v="608"/>
    <n v="913"/>
    <n v="839"/>
    <n v="2140"/>
    <n v="220"/>
    <x v="2729"/>
    <x v="0"/>
  </r>
  <r>
    <n v="48411"/>
    <x v="43"/>
    <s v="San Saba"/>
    <n v="103"/>
    <n v="20"/>
    <n v="16"/>
    <n v="15"/>
    <n v="24"/>
    <n v="28"/>
    <n v="18"/>
    <n v="39"/>
    <n v="46"/>
    <m/>
    <m/>
    <x v="2730"/>
    <x v="0"/>
  </r>
  <r>
    <n v="48413"/>
    <x v="43"/>
    <s v="Schleicher"/>
    <n v="35"/>
    <m/>
    <m/>
    <m/>
    <m/>
    <n v="15"/>
    <m/>
    <m/>
    <n v="17"/>
    <m/>
    <m/>
    <x v="2731"/>
    <x v="0"/>
  </r>
  <r>
    <n v="48415"/>
    <x v="43"/>
    <s v="Scurry"/>
    <n v="182"/>
    <n v="36"/>
    <n v="20"/>
    <n v="31"/>
    <n v="53"/>
    <n v="42"/>
    <n v="52"/>
    <n v="66"/>
    <n v="64"/>
    <n v="162"/>
    <n v="20"/>
    <x v="2732"/>
    <x v="0"/>
  </r>
  <r>
    <n v="48417"/>
    <x v="43"/>
    <s v="Shackelford"/>
    <n v="50"/>
    <m/>
    <m/>
    <m/>
    <n v="16"/>
    <n v="10"/>
    <n v="12"/>
    <n v="22"/>
    <n v="16"/>
    <m/>
    <m/>
    <x v="2733"/>
    <x v="0"/>
  </r>
  <r>
    <n v="48419"/>
    <x v="43"/>
    <s v="Shelby"/>
    <n v="364"/>
    <n v="63"/>
    <n v="41"/>
    <n v="41"/>
    <n v="110"/>
    <n v="109"/>
    <n v="93"/>
    <n v="110"/>
    <n v="161"/>
    <n v="333"/>
    <n v="31"/>
    <x v="2734"/>
    <x v="0"/>
  </r>
  <r>
    <n v="48421"/>
    <x v="43"/>
    <s v="Sherman"/>
    <n v="17"/>
    <m/>
    <m/>
    <m/>
    <m/>
    <m/>
    <m/>
    <m/>
    <m/>
    <m/>
    <m/>
    <x v="2735"/>
    <x v="0"/>
  </r>
  <r>
    <n v="48423"/>
    <x v="43"/>
    <s v="Smith"/>
    <n v="4922"/>
    <n v="820"/>
    <n v="538"/>
    <n v="635"/>
    <n v="1491"/>
    <n v="1438"/>
    <n v="1447"/>
    <n v="1497"/>
    <n v="1978"/>
    <n v="4367"/>
    <n v="555"/>
    <x v="2736"/>
    <x v="0"/>
  </r>
  <r>
    <n v="48425"/>
    <x v="43"/>
    <s v="Somervell"/>
    <n v="201"/>
    <n v="37"/>
    <n v="21"/>
    <n v="28"/>
    <n v="62"/>
    <n v="53"/>
    <n v="72"/>
    <n v="73"/>
    <n v="56"/>
    <n v="178"/>
    <n v="23"/>
    <x v="2737"/>
    <x v="0"/>
  </r>
  <r>
    <n v="48427"/>
    <x v="43"/>
    <s v="Starr"/>
    <n v="382"/>
    <n v="67"/>
    <n v="35"/>
    <n v="32"/>
    <n v="131"/>
    <n v="117"/>
    <n v="113"/>
    <n v="108"/>
    <n v="161"/>
    <n v="362"/>
    <n v="20"/>
    <x v="2738"/>
    <x v="0"/>
  </r>
  <r>
    <n v="48429"/>
    <x v="43"/>
    <s v="Stephens"/>
    <n v="165"/>
    <n v="26"/>
    <n v="20"/>
    <n v="19"/>
    <n v="64"/>
    <n v="36"/>
    <n v="36"/>
    <n v="41"/>
    <n v="88"/>
    <n v="155"/>
    <n v="10"/>
    <x v="2739"/>
    <x v="0"/>
  </r>
  <r>
    <n v="48431"/>
    <x v="43"/>
    <s v="Sterling"/>
    <n v="14"/>
    <m/>
    <m/>
    <m/>
    <m/>
    <m/>
    <m/>
    <m/>
    <m/>
    <m/>
    <m/>
    <x v="2740"/>
    <x v="0"/>
  </r>
  <r>
    <n v="48433"/>
    <x v="43"/>
    <s v="Stonewall"/>
    <n v="15"/>
    <m/>
    <m/>
    <m/>
    <m/>
    <m/>
    <m/>
    <m/>
    <m/>
    <m/>
    <m/>
    <x v="2741"/>
    <x v="0"/>
  </r>
  <r>
    <n v="48435"/>
    <x v="43"/>
    <s v="Sutton"/>
    <n v="43"/>
    <m/>
    <m/>
    <m/>
    <n v="13"/>
    <m/>
    <n v="12"/>
    <n v="14"/>
    <n v="17"/>
    <m/>
    <m/>
    <x v="2742"/>
    <x v="0"/>
  </r>
  <r>
    <n v="48437"/>
    <x v="43"/>
    <s v="Swisher"/>
    <n v="109"/>
    <n v="20"/>
    <n v="13"/>
    <n v="17"/>
    <n v="28"/>
    <n v="31"/>
    <n v="23"/>
    <n v="37"/>
    <n v="49"/>
    <m/>
    <m/>
    <x v="2743"/>
    <x v="0"/>
  </r>
  <r>
    <n v="48439"/>
    <x v="43"/>
    <s v="Tarrant"/>
    <n v="42439"/>
    <n v="7085"/>
    <n v="4212"/>
    <n v="4966"/>
    <n v="12915"/>
    <n v="13261"/>
    <n v="16178"/>
    <n v="15250"/>
    <n v="11011"/>
    <n v="35758"/>
    <n v="6679"/>
    <x v="2744"/>
    <x v="0"/>
  </r>
  <r>
    <n v="48441"/>
    <x v="43"/>
    <s v="Taylor"/>
    <n v="5656"/>
    <n v="865"/>
    <n v="530"/>
    <n v="699"/>
    <n v="1778"/>
    <n v="1784"/>
    <n v="1795"/>
    <n v="2061"/>
    <n v="1800"/>
    <n v="4860"/>
    <n v="795"/>
    <x v="2745"/>
    <x v="0"/>
  </r>
  <r>
    <n v="48443"/>
    <x v="43"/>
    <s v="Terrell"/>
    <n v="23"/>
    <m/>
    <m/>
    <m/>
    <m/>
    <m/>
    <m/>
    <m/>
    <n v="12"/>
    <m/>
    <m/>
    <x v="2746"/>
    <x v="0"/>
  </r>
  <r>
    <n v="48445"/>
    <x v="43"/>
    <s v="Terry"/>
    <n v="88"/>
    <n v="14"/>
    <n v="12"/>
    <n v="13"/>
    <n v="31"/>
    <n v="18"/>
    <n v="23"/>
    <n v="29"/>
    <n v="36"/>
    <m/>
    <m/>
    <x v="2747"/>
    <x v="0"/>
  </r>
  <r>
    <n v="48447"/>
    <x v="43"/>
    <s v="Throckmorton"/>
    <n v="25"/>
    <m/>
    <m/>
    <m/>
    <m/>
    <m/>
    <m/>
    <m/>
    <n v="11"/>
    <m/>
    <m/>
    <x v="2748"/>
    <x v="0"/>
  </r>
  <r>
    <n v="48449"/>
    <x v="43"/>
    <s v="Titus"/>
    <n v="461"/>
    <n v="87"/>
    <n v="41"/>
    <n v="60"/>
    <n v="128"/>
    <n v="145"/>
    <n v="130"/>
    <n v="157"/>
    <n v="174"/>
    <n v="420"/>
    <n v="41"/>
    <x v="2749"/>
    <x v="0"/>
  </r>
  <r>
    <n v="48451"/>
    <x v="43"/>
    <s v="Tom Green"/>
    <n v="3956"/>
    <n v="592"/>
    <n v="375"/>
    <n v="467"/>
    <n v="1246"/>
    <n v="1276"/>
    <n v="1256"/>
    <n v="1402"/>
    <n v="1298"/>
    <n v="3409"/>
    <n v="546"/>
    <x v="2750"/>
    <x v="0"/>
  </r>
  <r>
    <n v="48453"/>
    <x v="43"/>
    <s v="Travis"/>
    <n v="17427"/>
    <n v="3157"/>
    <n v="1788"/>
    <n v="1987"/>
    <n v="5402"/>
    <n v="5093"/>
    <n v="7473"/>
    <n v="5325"/>
    <n v="4629"/>
    <n v="14865"/>
    <n v="2561"/>
    <x v="2751"/>
    <x v="0"/>
  </r>
  <r>
    <n v="48455"/>
    <x v="43"/>
    <s v="Trinity"/>
    <n v="432"/>
    <n v="79"/>
    <n v="39"/>
    <n v="54"/>
    <n v="149"/>
    <n v="111"/>
    <n v="88"/>
    <n v="128"/>
    <n v="216"/>
    <n v="385"/>
    <n v="47"/>
    <x v="2752"/>
    <x v="0"/>
  </r>
  <r>
    <n v="48457"/>
    <x v="43"/>
    <s v="Tyler"/>
    <n v="572"/>
    <n v="112"/>
    <n v="57"/>
    <n v="68"/>
    <n v="169"/>
    <n v="166"/>
    <n v="115"/>
    <n v="186"/>
    <n v="271"/>
    <n v="520"/>
    <n v="52"/>
    <x v="2753"/>
    <x v="0"/>
  </r>
  <r>
    <n v="48459"/>
    <x v="43"/>
    <s v="Upshur"/>
    <n v="1071"/>
    <n v="194"/>
    <n v="114"/>
    <n v="119"/>
    <n v="353"/>
    <n v="291"/>
    <n v="281"/>
    <n v="403"/>
    <n v="387"/>
    <n v="974"/>
    <n v="97"/>
    <x v="2754"/>
    <x v="0"/>
  </r>
  <r>
    <n v="48461"/>
    <x v="43"/>
    <s v="Upton"/>
    <n v="40"/>
    <m/>
    <m/>
    <m/>
    <n v="11"/>
    <m/>
    <n v="16"/>
    <n v="11"/>
    <n v="13"/>
    <m/>
    <m/>
    <x v="2755"/>
    <x v="0"/>
  </r>
  <r>
    <n v="48463"/>
    <x v="43"/>
    <s v="Uvalde"/>
    <n v="574"/>
    <n v="128"/>
    <n v="54"/>
    <n v="59"/>
    <n v="167"/>
    <n v="166"/>
    <n v="139"/>
    <n v="173"/>
    <n v="262"/>
    <n v="532"/>
    <n v="42"/>
    <x v="2756"/>
    <x v="0"/>
  </r>
  <r>
    <n v="48465"/>
    <x v="43"/>
    <s v="Val Verde"/>
    <n v="1518"/>
    <n v="286"/>
    <n v="162"/>
    <n v="173"/>
    <n v="464"/>
    <n v="433"/>
    <n v="494"/>
    <n v="540"/>
    <n v="484"/>
    <n v="1371"/>
    <n v="147"/>
    <x v="2757"/>
    <x v="0"/>
  </r>
  <r>
    <n v="48467"/>
    <x v="43"/>
    <s v="Van Zandt"/>
    <n v="1451"/>
    <n v="231"/>
    <n v="163"/>
    <n v="185"/>
    <n v="437"/>
    <n v="435"/>
    <n v="457"/>
    <n v="422"/>
    <n v="572"/>
    <n v="1319"/>
    <n v="132"/>
    <x v="2758"/>
    <x v="0"/>
  </r>
  <r>
    <n v="48469"/>
    <x v="43"/>
    <s v="Victoria"/>
    <n v="2120"/>
    <n v="460"/>
    <n v="227"/>
    <n v="228"/>
    <n v="643"/>
    <n v="562"/>
    <n v="562"/>
    <n v="608"/>
    <n v="950"/>
    <n v="1936"/>
    <n v="184"/>
    <x v="2759"/>
    <x v="0"/>
  </r>
  <r>
    <n v="48471"/>
    <x v="43"/>
    <s v="Walker"/>
    <n v="1280"/>
    <n v="264"/>
    <n v="134"/>
    <n v="147"/>
    <n v="395"/>
    <n v="340"/>
    <n v="391"/>
    <n v="436"/>
    <n v="453"/>
    <n v="1142"/>
    <n v="138"/>
    <x v="2760"/>
    <x v="0"/>
  </r>
  <r>
    <n v="48473"/>
    <x v="43"/>
    <s v="Waller"/>
    <n v="1338"/>
    <n v="162"/>
    <n v="104"/>
    <n v="132"/>
    <n v="404"/>
    <n v="536"/>
    <n v="610"/>
    <n v="424"/>
    <n v="304"/>
    <n v="1105"/>
    <n v="233"/>
    <x v="2761"/>
    <x v="0"/>
  </r>
  <r>
    <n v="48475"/>
    <x v="43"/>
    <s v="Ward"/>
    <n v="146"/>
    <n v="39"/>
    <n v="16"/>
    <n v="22"/>
    <n v="38"/>
    <n v="31"/>
    <n v="38"/>
    <n v="44"/>
    <n v="64"/>
    <n v="135"/>
    <n v="11"/>
    <x v="2762"/>
    <x v="0"/>
  </r>
  <r>
    <n v="48477"/>
    <x v="43"/>
    <s v="Washington"/>
    <n v="642"/>
    <n v="127"/>
    <n v="67"/>
    <n v="74"/>
    <n v="193"/>
    <n v="181"/>
    <n v="162"/>
    <n v="167"/>
    <n v="313"/>
    <n v="586"/>
    <n v="56"/>
    <x v="2763"/>
    <x v="0"/>
  </r>
  <r>
    <n v="48479"/>
    <x v="43"/>
    <s v="Webb"/>
    <n v="3242"/>
    <n v="589"/>
    <n v="329"/>
    <n v="378"/>
    <n v="1011"/>
    <n v="935"/>
    <n v="1151"/>
    <n v="968"/>
    <n v="1123"/>
    <n v="3042"/>
    <n v="200"/>
    <x v="2764"/>
    <x v="0"/>
  </r>
  <r>
    <n v="48481"/>
    <x v="43"/>
    <s v="Wharton"/>
    <n v="602"/>
    <n v="128"/>
    <n v="71"/>
    <n v="83"/>
    <n v="184"/>
    <n v="136"/>
    <n v="160"/>
    <n v="162"/>
    <n v="280"/>
    <n v="549"/>
    <n v="53"/>
    <x v="2765"/>
    <x v="0"/>
  </r>
  <r>
    <n v="48483"/>
    <x v="43"/>
    <s v="Wheeler"/>
    <n v="81"/>
    <n v="21"/>
    <m/>
    <m/>
    <n v="19"/>
    <n v="25"/>
    <n v="17"/>
    <n v="25"/>
    <n v="39"/>
    <m/>
    <m/>
    <x v="2766"/>
    <x v="0"/>
  </r>
  <r>
    <n v="48485"/>
    <x v="43"/>
    <s v="Wichita"/>
    <n v="5379"/>
    <n v="867"/>
    <n v="536"/>
    <n v="621"/>
    <n v="1582"/>
    <n v="1773"/>
    <n v="1584"/>
    <n v="1972"/>
    <n v="1823"/>
    <n v="4618"/>
    <n v="761"/>
    <x v="2767"/>
    <x v="0"/>
  </r>
  <r>
    <n v="48487"/>
    <x v="43"/>
    <s v="Wilbarger"/>
    <n v="249"/>
    <n v="55"/>
    <n v="22"/>
    <n v="21"/>
    <n v="80"/>
    <n v="71"/>
    <n v="46"/>
    <n v="81"/>
    <n v="122"/>
    <n v="224"/>
    <n v="25"/>
    <x v="2768"/>
    <x v="0"/>
  </r>
  <r>
    <n v="48489"/>
    <x v="43"/>
    <s v="Willacy"/>
    <n v="325"/>
    <n v="57"/>
    <n v="23"/>
    <n v="38"/>
    <n v="104"/>
    <n v="103"/>
    <n v="76"/>
    <n v="94"/>
    <n v="155"/>
    <n v="302"/>
    <n v="23"/>
    <x v="2769"/>
    <x v="0"/>
  </r>
  <r>
    <n v="48491"/>
    <x v="43"/>
    <s v="Williamson"/>
    <n v="17801"/>
    <n v="2561"/>
    <n v="1655"/>
    <n v="1857"/>
    <n v="5513"/>
    <n v="6215"/>
    <n v="7255"/>
    <n v="6178"/>
    <n v="4368"/>
    <n v="15003"/>
    <n v="2795"/>
    <x v="2770"/>
    <x v="0"/>
  </r>
  <r>
    <n v="48493"/>
    <x v="43"/>
    <s v="Wilson"/>
    <n v="3524"/>
    <n v="427"/>
    <n v="248"/>
    <n v="281"/>
    <n v="960"/>
    <n v="1608"/>
    <n v="800"/>
    <n v="1637"/>
    <n v="1087"/>
    <n v="2931"/>
    <n v="593"/>
    <x v="2771"/>
    <x v="0"/>
  </r>
  <r>
    <n v="48495"/>
    <x v="43"/>
    <s v="Winkler"/>
    <n v="62"/>
    <m/>
    <n v="13"/>
    <n v="16"/>
    <n v="15"/>
    <m/>
    <n v="13"/>
    <n v="29"/>
    <n v="20"/>
    <n v="50"/>
    <n v="12"/>
    <x v="2772"/>
    <x v="0"/>
  </r>
  <r>
    <n v="48497"/>
    <x v="43"/>
    <s v="Wise"/>
    <n v="2214"/>
    <n v="384"/>
    <n v="267"/>
    <n v="275"/>
    <n v="649"/>
    <n v="639"/>
    <n v="782"/>
    <n v="751"/>
    <n v="681"/>
    <n v="1958"/>
    <n v="256"/>
    <x v="2773"/>
    <x v="0"/>
  </r>
  <r>
    <n v="48499"/>
    <x v="43"/>
    <s v="Wood"/>
    <n v="1413"/>
    <n v="252"/>
    <n v="129"/>
    <n v="157"/>
    <n v="479"/>
    <n v="396"/>
    <n v="324"/>
    <n v="398"/>
    <n v="691"/>
    <n v="1272"/>
    <n v="141"/>
    <x v="2774"/>
    <x v="0"/>
  </r>
  <r>
    <n v="48501"/>
    <x v="43"/>
    <s v="Yoakum"/>
    <n v="55"/>
    <n v="14"/>
    <m/>
    <m/>
    <n v="15"/>
    <n v="11"/>
    <n v="21"/>
    <n v="13"/>
    <n v="21"/>
    <m/>
    <m/>
    <x v="2775"/>
    <x v="0"/>
  </r>
  <r>
    <n v="48503"/>
    <x v="43"/>
    <s v="Young"/>
    <n v="340"/>
    <n v="75"/>
    <n v="35"/>
    <n v="32"/>
    <n v="110"/>
    <n v="88"/>
    <n v="96"/>
    <n v="86"/>
    <n v="158"/>
    <n v="310"/>
    <n v="30"/>
    <x v="2776"/>
    <x v="0"/>
  </r>
  <r>
    <n v="48505"/>
    <x v="43"/>
    <s v="Zapata"/>
    <n v="145"/>
    <n v="27"/>
    <n v="18"/>
    <n v="19"/>
    <n v="46"/>
    <n v="35"/>
    <n v="23"/>
    <n v="37"/>
    <n v="85"/>
    <m/>
    <m/>
    <x v="2777"/>
    <x v="0"/>
  </r>
  <r>
    <n v="48507"/>
    <x v="43"/>
    <s v="Zavala"/>
    <n v="116"/>
    <n v="28"/>
    <n v="10"/>
    <n v="12"/>
    <n v="37"/>
    <n v="29"/>
    <n v="22"/>
    <n v="40"/>
    <n v="54"/>
    <m/>
    <m/>
    <x v="2778"/>
    <x v="0"/>
  </r>
  <r>
    <n v="49001"/>
    <x v="44"/>
    <s v="Beaver"/>
    <n v="101"/>
    <n v="30"/>
    <m/>
    <m/>
    <n v="26"/>
    <n v="27"/>
    <n v="20"/>
    <n v="21"/>
    <n v="60"/>
    <m/>
    <m/>
    <x v="2779"/>
    <x v="0"/>
  </r>
  <r>
    <n v="49003"/>
    <x v="44"/>
    <s v="Box Elder"/>
    <n v="941"/>
    <n v="161"/>
    <n v="100"/>
    <n v="122"/>
    <n v="311"/>
    <n v="247"/>
    <n v="313"/>
    <n v="321"/>
    <n v="307"/>
    <n v="856"/>
    <n v="84"/>
    <x v="2780"/>
    <x v="0"/>
  </r>
  <r>
    <n v="49005"/>
    <x v="44"/>
    <s v="Cache"/>
    <n v="1357"/>
    <n v="265"/>
    <n v="154"/>
    <n v="172"/>
    <n v="411"/>
    <n v="355"/>
    <n v="466"/>
    <n v="406"/>
    <n v="485"/>
    <n v="1251"/>
    <n v="105"/>
    <x v="2781"/>
    <x v="0"/>
  </r>
  <r>
    <n v="49007"/>
    <x v="44"/>
    <s v="Carbon"/>
    <n v="328"/>
    <n v="68"/>
    <n v="44"/>
    <n v="41"/>
    <n v="95"/>
    <n v="80"/>
    <n v="75"/>
    <n v="87"/>
    <n v="166"/>
    <n v="303"/>
    <n v="25"/>
    <x v="2782"/>
    <x v="0"/>
  </r>
  <r>
    <n v="49009"/>
    <x v="44"/>
    <s v="Daggett"/>
    <n v="22"/>
    <m/>
    <m/>
    <m/>
    <m/>
    <m/>
    <m/>
    <m/>
    <m/>
    <m/>
    <m/>
    <x v="2783"/>
    <x v="0"/>
  </r>
  <r>
    <n v="49011"/>
    <x v="44"/>
    <s v="Davis"/>
    <n v="7903"/>
    <n v="1349"/>
    <n v="902"/>
    <n v="1029"/>
    <n v="2523"/>
    <n v="2100"/>
    <n v="2694"/>
    <n v="3167"/>
    <n v="2042"/>
    <n v="6985"/>
    <n v="918"/>
    <x v="2784"/>
    <x v="0"/>
  </r>
  <r>
    <n v="49013"/>
    <x v="44"/>
    <s v="Duchesne"/>
    <n v="233"/>
    <n v="46"/>
    <n v="23"/>
    <n v="27"/>
    <n v="79"/>
    <n v="58"/>
    <n v="58"/>
    <n v="77"/>
    <n v="98"/>
    <n v="212"/>
    <n v="21"/>
    <x v="2785"/>
    <x v="0"/>
  </r>
  <r>
    <n v="49015"/>
    <x v="44"/>
    <s v="Emery"/>
    <n v="129"/>
    <n v="34"/>
    <n v="17"/>
    <n v="16"/>
    <n v="32"/>
    <n v="30"/>
    <n v="27"/>
    <n v="35"/>
    <n v="67"/>
    <m/>
    <m/>
    <x v="2786"/>
    <x v="0"/>
  </r>
  <r>
    <n v="49017"/>
    <x v="44"/>
    <s v="Garfield"/>
    <n v="82"/>
    <n v="21"/>
    <n v="14"/>
    <n v="11"/>
    <n v="18"/>
    <n v="18"/>
    <m/>
    <m/>
    <n v="54"/>
    <m/>
    <m/>
    <x v="2787"/>
    <x v="0"/>
  </r>
  <r>
    <n v="49019"/>
    <x v="44"/>
    <s v="Grand"/>
    <n v="145"/>
    <n v="35"/>
    <n v="19"/>
    <n v="18"/>
    <n v="44"/>
    <n v="29"/>
    <n v="32"/>
    <n v="39"/>
    <n v="74"/>
    <n v="133"/>
    <n v="12"/>
    <x v="2788"/>
    <x v="0"/>
  </r>
  <r>
    <n v="49021"/>
    <x v="44"/>
    <s v="Iron"/>
    <n v="1393"/>
    <n v="258"/>
    <n v="161"/>
    <n v="157"/>
    <n v="435"/>
    <n v="382"/>
    <n v="562"/>
    <n v="311"/>
    <n v="520"/>
    <n v="1287"/>
    <n v="106"/>
    <x v="2789"/>
    <x v="0"/>
  </r>
  <r>
    <n v="49023"/>
    <x v="44"/>
    <s v="Juab"/>
    <n v="168"/>
    <n v="39"/>
    <n v="21"/>
    <n v="17"/>
    <n v="44"/>
    <n v="47"/>
    <n v="41"/>
    <n v="48"/>
    <n v="79"/>
    <n v="157"/>
    <n v="11"/>
    <x v="2790"/>
    <x v="0"/>
  </r>
  <r>
    <n v="49025"/>
    <x v="44"/>
    <s v="Kane"/>
    <n v="173"/>
    <n v="37"/>
    <n v="19"/>
    <n v="19"/>
    <n v="45"/>
    <n v="53"/>
    <n v="26"/>
    <n v="56"/>
    <n v="91"/>
    <n v="158"/>
    <n v="15"/>
    <x v="2791"/>
    <x v="0"/>
  </r>
  <r>
    <n v="49027"/>
    <x v="44"/>
    <s v="Millard"/>
    <n v="156"/>
    <n v="36"/>
    <n v="21"/>
    <n v="24"/>
    <n v="41"/>
    <n v="34"/>
    <n v="47"/>
    <n v="38"/>
    <n v="71"/>
    <n v="142"/>
    <n v="14"/>
    <x v="2792"/>
    <x v="0"/>
  </r>
  <r>
    <n v="49029"/>
    <x v="44"/>
    <s v="Morgan"/>
    <n v="264"/>
    <n v="45"/>
    <n v="33"/>
    <n v="39"/>
    <n v="75"/>
    <n v="72"/>
    <n v="55"/>
    <n v="129"/>
    <n v="80"/>
    <n v="239"/>
    <n v="25"/>
    <x v="2793"/>
    <x v="0"/>
  </r>
  <r>
    <n v="49031"/>
    <x v="44"/>
    <s v="Piute"/>
    <n v="37"/>
    <m/>
    <m/>
    <m/>
    <n v="12"/>
    <m/>
    <m/>
    <m/>
    <m/>
    <m/>
    <m/>
    <x v="2794"/>
    <x v="0"/>
  </r>
  <r>
    <n v="49033"/>
    <x v="44"/>
    <s v="Rich"/>
    <n v="24"/>
    <m/>
    <m/>
    <m/>
    <m/>
    <m/>
    <m/>
    <m/>
    <n v="10"/>
    <m/>
    <m/>
    <x v="2795"/>
    <x v="0"/>
  </r>
  <r>
    <n v="49035"/>
    <x v="44"/>
    <s v="Salt Lake"/>
    <n v="11692"/>
    <n v="2422"/>
    <n v="1388"/>
    <n v="1497"/>
    <n v="3554"/>
    <n v="2831"/>
    <n v="4240"/>
    <n v="3510"/>
    <n v="3942"/>
    <n v="10446"/>
    <n v="1246"/>
    <x v="2796"/>
    <x v="0"/>
  </r>
  <r>
    <n v="49037"/>
    <x v="44"/>
    <s v="San Juan"/>
    <n v="173"/>
    <n v="41"/>
    <n v="19"/>
    <n v="30"/>
    <n v="42"/>
    <n v="41"/>
    <n v="42"/>
    <n v="48"/>
    <n v="83"/>
    <n v="161"/>
    <n v="12"/>
    <x v="2797"/>
    <x v="0"/>
  </r>
  <r>
    <n v="49039"/>
    <x v="44"/>
    <s v="Sanpete"/>
    <n v="367"/>
    <n v="76"/>
    <n v="39"/>
    <n v="52"/>
    <n v="107"/>
    <n v="93"/>
    <n v="79"/>
    <n v="104"/>
    <n v="184"/>
    <n v="350"/>
    <n v="17"/>
    <x v="2798"/>
    <x v="0"/>
  </r>
  <r>
    <n v="49041"/>
    <x v="44"/>
    <s v="Sevier"/>
    <n v="365"/>
    <n v="93"/>
    <n v="48"/>
    <n v="51"/>
    <n v="102"/>
    <n v="71"/>
    <n v="73"/>
    <n v="104"/>
    <n v="188"/>
    <n v="345"/>
    <n v="20"/>
    <x v="2799"/>
    <x v="0"/>
  </r>
  <r>
    <n v="49043"/>
    <x v="44"/>
    <s v="Summit"/>
    <n v="457"/>
    <n v="90"/>
    <n v="81"/>
    <n v="72"/>
    <n v="109"/>
    <n v="105"/>
    <n v="129"/>
    <n v="182"/>
    <n v="146"/>
    <n v="403"/>
    <n v="53"/>
    <x v="2800"/>
    <x v="0"/>
  </r>
  <r>
    <n v="49045"/>
    <x v="44"/>
    <s v="Tooele"/>
    <n v="1623"/>
    <n v="268"/>
    <n v="184"/>
    <n v="194"/>
    <n v="536"/>
    <n v="441"/>
    <n v="588"/>
    <n v="565"/>
    <n v="470"/>
    <n v="1462"/>
    <n v="161"/>
    <x v="2801"/>
    <x v="0"/>
  </r>
  <r>
    <n v="49047"/>
    <x v="44"/>
    <s v="Uintah"/>
    <n v="455"/>
    <n v="94"/>
    <n v="50"/>
    <n v="66"/>
    <n v="138"/>
    <n v="107"/>
    <n v="134"/>
    <n v="140"/>
    <n v="181"/>
    <n v="414"/>
    <n v="41"/>
    <x v="2802"/>
    <x v="0"/>
  </r>
  <r>
    <n v="49049"/>
    <x v="44"/>
    <s v="Utah"/>
    <n v="5341"/>
    <n v="908"/>
    <n v="584"/>
    <n v="667"/>
    <n v="1761"/>
    <n v="1421"/>
    <n v="2145"/>
    <n v="1645"/>
    <n v="1550"/>
    <n v="4924"/>
    <n v="417"/>
    <x v="2803"/>
    <x v="0"/>
  </r>
  <r>
    <n v="49051"/>
    <x v="44"/>
    <s v="Wasatch"/>
    <n v="347"/>
    <n v="71"/>
    <n v="40"/>
    <n v="44"/>
    <n v="101"/>
    <n v="91"/>
    <n v="102"/>
    <n v="119"/>
    <n v="126"/>
    <n v="327"/>
    <n v="20"/>
    <x v="2804"/>
    <x v="0"/>
  </r>
  <r>
    <n v="49053"/>
    <x v="44"/>
    <s v="Washington"/>
    <n v="3843"/>
    <n v="1009"/>
    <n v="407"/>
    <n v="435"/>
    <n v="1033"/>
    <n v="959"/>
    <n v="733"/>
    <n v="892"/>
    <n v="2218"/>
    <n v="3578"/>
    <n v="263"/>
    <x v="2805"/>
    <x v="0"/>
  </r>
  <r>
    <n v="49055"/>
    <x v="44"/>
    <s v="Wayne"/>
    <n v="36"/>
    <m/>
    <m/>
    <m/>
    <n v="10"/>
    <m/>
    <m/>
    <m/>
    <n v="21"/>
    <m/>
    <m/>
    <x v="2806"/>
    <x v="0"/>
  </r>
  <r>
    <n v="49057"/>
    <x v="44"/>
    <s v="Weber"/>
    <n v="6318"/>
    <n v="1040"/>
    <n v="640"/>
    <n v="842"/>
    <n v="2083"/>
    <n v="1713"/>
    <n v="2129"/>
    <n v="2400"/>
    <n v="1789"/>
    <n v="5552"/>
    <n v="765"/>
    <x v="2807"/>
    <x v="0"/>
  </r>
  <r>
    <n v="50001"/>
    <x v="45"/>
    <s v="Addison"/>
    <n v="423"/>
    <n v="110"/>
    <n v="53"/>
    <n v="50"/>
    <n v="118"/>
    <n v="92"/>
    <n v="102"/>
    <n v="123"/>
    <n v="198"/>
    <n v="384"/>
    <n v="39"/>
    <x v="2808"/>
    <x v="0"/>
  </r>
  <r>
    <n v="50003"/>
    <x v="45"/>
    <s v="Bennington"/>
    <n v="518"/>
    <n v="113"/>
    <n v="53"/>
    <n v="70"/>
    <n v="160"/>
    <n v="122"/>
    <n v="100"/>
    <n v="128"/>
    <n v="290"/>
    <n v="469"/>
    <n v="48"/>
    <x v="2809"/>
    <x v="0"/>
  </r>
  <r>
    <n v="50005"/>
    <x v="45"/>
    <s v="Caledonia"/>
    <n v="531"/>
    <n v="108"/>
    <n v="60"/>
    <n v="78"/>
    <n v="148"/>
    <n v="137"/>
    <n v="115"/>
    <n v="170"/>
    <n v="246"/>
    <n v="469"/>
    <n v="61"/>
    <x v="2810"/>
    <x v="0"/>
  </r>
  <r>
    <n v="50007"/>
    <x v="45"/>
    <s v="Chittenden"/>
    <n v="1671"/>
    <n v="366"/>
    <n v="222"/>
    <n v="219"/>
    <n v="501"/>
    <n v="363"/>
    <n v="468"/>
    <n v="541"/>
    <n v="662"/>
    <n v="1460"/>
    <n v="211"/>
    <x v="2811"/>
    <x v="0"/>
  </r>
  <r>
    <n v="50009"/>
    <x v="45"/>
    <s v="Essex"/>
    <n v="144"/>
    <n v="30"/>
    <n v="25"/>
    <n v="17"/>
    <n v="42"/>
    <n v="30"/>
    <n v="24"/>
    <n v="45"/>
    <n v="75"/>
    <m/>
    <m/>
    <x v="2812"/>
    <x v="0"/>
  </r>
  <r>
    <n v="50011"/>
    <x v="45"/>
    <s v="Franklin"/>
    <n v="959"/>
    <n v="190"/>
    <n v="106"/>
    <n v="122"/>
    <n v="322"/>
    <n v="219"/>
    <n v="267"/>
    <n v="353"/>
    <n v="339"/>
    <n v="874"/>
    <n v="85"/>
    <x v="2813"/>
    <x v="0"/>
  </r>
  <r>
    <n v="50013"/>
    <x v="45"/>
    <s v="Grand Isle"/>
    <n v="137"/>
    <n v="25"/>
    <n v="24"/>
    <n v="15"/>
    <n v="40"/>
    <n v="33"/>
    <n v="33"/>
    <n v="42"/>
    <n v="62"/>
    <n v="120"/>
    <n v="17"/>
    <x v="2814"/>
    <x v="0"/>
  </r>
  <r>
    <n v="50015"/>
    <x v="45"/>
    <s v="Lamoille"/>
    <n v="338"/>
    <n v="90"/>
    <n v="42"/>
    <n v="51"/>
    <n v="94"/>
    <n v="61"/>
    <n v="76"/>
    <n v="110"/>
    <n v="152"/>
    <n v="308"/>
    <n v="30"/>
    <x v="2815"/>
    <x v="0"/>
  </r>
  <r>
    <n v="50017"/>
    <x v="45"/>
    <s v="Orange"/>
    <n v="599"/>
    <n v="149"/>
    <n v="55"/>
    <n v="83"/>
    <n v="161"/>
    <n v="151"/>
    <n v="130"/>
    <n v="194"/>
    <n v="275"/>
    <n v="549"/>
    <n v="50"/>
    <x v="2816"/>
    <x v="0"/>
  </r>
  <r>
    <n v="50019"/>
    <x v="45"/>
    <s v="Orleans"/>
    <n v="534"/>
    <n v="85"/>
    <n v="60"/>
    <n v="71"/>
    <n v="190"/>
    <n v="128"/>
    <n v="116"/>
    <n v="181"/>
    <n v="237"/>
    <n v="472"/>
    <n v="62"/>
    <x v="2817"/>
    <x v="0"/>
  </r>
  <r>
    <n v="50021"/>
    <x v="45"/>
    <s v="Rutland"/>
    <n v="1011"/>
    <n v="212"/>
    <n v="125"/>
    <n v="126"/>
    <n v="319"/>
    <n v="229"/>
    <n v="206"/>
    <n v="296"/>
    <n v="509"/>
    <n v="915"/>
    <n v="96"/>
    <x v="2818"/>
    <x v="0"/>
  </r>
  <r>
    <n v="50023"/>
    <x v="45"/>
    <s v="Washington"/>
    <n v="839"/>
    <n v="176"/>
    <n v="97"/>
    <n v="119"/>
    <n v="257"/>
    <n v="190"/>
    <n v="221"/>
    <n v="292"/>
    <n v="326"/>
    <n v="750"/>
    <n v="89"/>
    <x v="2819"/>
    <x v="0"/>
  </r>
  <r>
    <n v="50025"/>
    <x v="45"/>
    <s v="Windham"/>
    <n v="539"/>
    <n v="123"/>
    <n v="70"/>
    <n v="68"/>
    <n v="164"/>
    <n v="114"/>
    <n v="118"/>
    <n v="154"/>
    <n v="267"/>
    <n v="490"/>
    <n v="49"/>
    <x v="2820"/>
    <x v="0"/>
  </r>
  <r>
    <n v="50027"/>
    <x v="45"/>
    <s v="Windsor"/>
    <n v="1052"/>
    <n v="255"/>
    <n v="127"/>
    <n v="135"/>
    <n v="312"/>
    <n v="223"/>
    <n v="198"/>
    <n v="322"/>
    <n v="532"/>
    <n v="947"/>
    <n v="105"/>
    <x v="2821"/>
    <x v="0"/>
  </r>
  <r>
    <n v="51001"/>
    <x v="46"/>
    <s v="Accomack"/>
    <n v="715"/>
    <n v="133"/>
    <n v="77"/>
    <n v="101"/>
    <n v="218"/>
    <n v="186"/>
    <n v="153"/>
    <n v="250"/>
    <n v="312"/>
    <n v="626"/>
    <n v="89"/>
    <x v="2822"/>
    <x v="0"/>
  </r>
  <r>
    <n v="51003"/>
    <x v="46"/>
    <s v="Albemarle"/>
    <n v="1823"/>
    <n v="325"/>
    <n v="225"/>
    <n v="230"/>
    <n v="564"/>
    <n v="479"/>
    <n v="629"/>
    <n v="630"/>
    <n v="564"/>
    <n v="1561"/>
    <n v="262"/>
    <x v="2823"/>
    <x v="0"/>
  </r>
  <r>
    <n v="51005"/>
    <x v="46"/>
    <s v="Alleghany"/>
    <n v="364"/>
    <n v="82"/>
    <n v="39"/>
    <n v="44"/>
    <n v="116"/>
    <n v="83"/>
    <n v="60"/>
    <n v="110"/>
    <n v="194"/>
    <n v="340"/>
    <n v="24"/>
    <x v="2824"/>
    <x v="0"/>
  </r>
  <r>
    <n v="51007"/>
    <x v="46"/>
    <s v="Amelia"/>
    <n v="346"/>
    <n v="60"/>
    <n v="44"/>
    <n v="44"/>
    <n v="113"/>
    <n v="85"/>
    <n v="94"/>
    <n v="109"/>
    <n v="143"/>
    <n v="305"/>
    <n v="41"/>
    <x v="2825"/>
    <x v="0"/>
  </r>
  <r>
    <n v="51009"/>
    <x v="46"/>
    <s v="Amherst"/>
    <n v="598"/>
    <n v="118"/>
    <n v="79"/>
    <n v="68"/>
    <n v="193"/>
    <n v="140"/>
    <n v="154"/>
    <n v="187"/>
    <n v="257"/>
    <n v="538"/>
    <n v="60"/>
    <x v="2826"/>
    <x v="0"/>
  </r>
  <r>
    <n v="51011"/>
    <x v="46"/>
    <s v="Appomattox"/>
    <n v="373"/>
    <n v="78"/>
    <n v="56"/>
    <n v="42"/>
    <n v="102"/>
    <n v="95"/>
    <n v="91"/>
    <n v="128"/>
    <n v="154"/>
    <n v="333"/>
    <n v="40"/>
    <x v="2827"/>
    <x v="0"/>
  </r>
  <r>
    <n v="51013"/>
    <x v="46"/>
    <s v="Arlington"/>
    <n v="4858"/>
    <n v="751"/>
    <n v="576"/>
    <n v="612"/>
    <n v="1437"/>
    <n v="1482"/>
    <n v="1929"/>
    <n v="2107"/>
    <n v="822"/>
    <n v="3869"/>
    <n v="989"/>
    <x v="2828"/>
    <x v="0"/>
  </r>
  <r>
    <n v="51015"/>
    <x v="46"/>
    <s v="Augusta"/>
    <n v="1386"/>
    <n v="288"/>
    <n v="194"/>
    <n v="174"/>
    <n v="388"/>
    <n v="342"/>
    <n v="360"/>
    <n v="385"/>
    <n v="641"/>
    <n v="1260"/>
    <n v="126"/>
    <x v="2829"/>
    <x v="0"/>
  </r>
  <r>
    <n v="51017"/>
    <x v="46"/>
    <s v="Bath"/>
    <n v="81"/>
    <m/>
    <m/>
    <n v="14"/>
    <n v="20"/>
    <n v="25"/>
    <n v="12"/>
    <n v="21"/>
    <n v="48"/>
    <m/>
    <m/>
    <x v="2830"/>
    <x v="0"/>
  </r>
  <r>
    <n v="51019"/>
    <x v="46"/>
    <s v="Bedford"/>
    <n v="1896"/>
    <n v="409"/>
    <n v="233"/>
    <n v="248"/>
    <n v="543"/>
    <n v="463"/>
    <n v="425"/>
    <n v="637"/>
    <n v="834"/>
    <n v="1716"/>
    <n v="179"/>
    <x v="2831"/>
    <x v="0"/>
  </r>
  <r>
    <n v="51021"/>
    <x v="46"/>
    <s v="Bland"/>
    <n v="161"/>
    <n v="24"/>
    <n v="17"/>
    <n v="18"/>
    <n v="58"/>
    <n v="44"/>
    <n v="30"/>
    <n v="49"/>
    <n v="82"/>
    <n v="150"/>
    <n v="11"/>
    <x v="2832"/>
    <x v="0"/>
  </r>
  <r>
    <n v="51023"/>
    <x v="46"/>
    <s v="Botetourt"/>
    <n v="925"/>
    <n v="204"/>
    <n v="95"/>
    <n v="116"/>
    <n v="260"/>
    <n v="250"/>
    <n v="207"/>
    <n v="330"/>
    <n v="388"/>
    <n v="829"/>
    <n v="94"/>
    <x v="2833"/>
    <x v="0"/>
  </r>
  <r>
    <n v="51025"/>
    <x v="46"/>
    <s v="Brunswick"/>
    <n v="318"/>
    <n v="55"/>
    <n v="41"/>
    <n v="40"/>
    <n v="92"/>
    <n v="90"/>
    <n v="48"/>
    <n v="101"/>
    <n v="169"/>
    <n v="280"/>
    <n v="38"/>
    <x v="2834"/>
    <x v="0"/>
  </r>
  <r>
    <n v="51027"/>
    <x v="46"/>
    <s v="Buchanan"/>
    <n v="232"/>
    <n v="34"/>
    <n v="18"/>
    <n v="31"/>
    <n v="94"/>
    <n v="55"/>
    <n v="34"/>
    <n v="57"/>
    <n v="141"/>
    <m/>
    <m/>
    <x v="2835"/>
    <x v="0"/>
  </r>
  <r>
    <n v="51029"/>
    <x v="46"/>
    <s v="Buckingham"/>
    <n v="322"/>
    <n v="63"/>
    <n v="33"/>
    <n v="44"/>
    <n v="97"/>
    <n v="85"/>
    <n v="80"/>
    <n v="104"/>
    <n v="138"/>
    <n v="293"/>
    <n v="29"/>
    <x v="2836"/>
    <x v="0"/>
  </r>
  <r>
    <n v="51031"/>
    <x v="46"/>
    <s v="Campbell"/>
    <n v="1054"/>
    <n v="204"/>
    <n v="138"/>
    <n v="124"/>
    <n v="332"/>
    <n v="256"/>
    <n v="305"/>
    <n v="302"/>
    <n v="447"/>
    <n v="953"/>
    <n v="101"/>
    <x v="2837"/>
    <x v="0"/>
  </r>
  <r>
    <n v="51033"/>
    <x v="46"/>
    <s v="Caroline"/>
    <n v="1159"/>
    <n v="145"/>
    <n v="118"/>
    <n v="132"/>
    <n v="386"/>
    <n v="378"/>
    <n v="350"/>
    <n v="443"/>
    <n v="366"/>
    <n v="982"/>
    <n v="177"/>
    <x v="2838"/>
    <x v="0"/>
  </r>
  <r>
    <n v="51035"/>
    <x v="46"/>
    <s v="Carroll"/>
    <n v="590"/>
    <n v="117"/>
    <n v="73"/>
    <n v="59"/>
    <n v="184"/>
    <n v="157"/>
    <n v="116"/>
    <n v="177"/>
    <n v="297"/>
    <n v="544"/>
    <n v="46"/>
    <x v="2839"/>
    <x v="0"/>
  </r>
  <r>
    <n v="51036"/>
    <x v="46"/>
    <s v="Charles City"/>
    <n v="168"/>
    <n v="30"/>
    <n v="18"/>
    <n v="20"/>
    <n v="58"/>
    <n v="42"/>
    <n v="24"/>
    <n v="52"/>
    <n v="92"/>
    <n v="153"/>
    <n v="15"/>
    <x v="2840"/>
    <x v="0"/>
  </r>
  <r>
    <n v="51037"/>
    <x v="46"/>
    <s v="Charlotte"/>
    <n v="267"/>
    <n v="54"/>
    <n v="20"/>
    <n v="26"/>
    <n v="95"/>
    <n v="72"/>
    <n v="43"/>
    <n v="97"/>
    <n v="127"/>
    <n v="239"/>
    <n v="28"/>
    <x v="2841"/>
    <x v="0"/>
  </r>
  <r>
    <n v="51041"/>
    <x v="46"/>
    <s v="Chesterfield"/>
    <n v="10811"/>
    <n v="1480"/>
    <n v="1063"/>
    <n v="1138"/>
    <n v="3129"/>
    <n v="4001"/>
    <n v="2778"/>
    <n v="4842"/>
    <n v="3191"/>
    <n v="8678"/>
    <n v="2132"/>
    <x v="2842"/>
    <x v="0"/>
  </r>
  <r>
    <n v="51043"/>
    <x v="46"/>
    <s v="Clarke"/>
    <n v="352"/>
    <n v="64"/>
    <n v="43"/>
    <n v="45"/>
    <n v="100"/>
    <n v="100"/>
    <n v="101"/>
    <n v="131"/>
    <n v="120"/>
    <n v="319"/>
    <n v="33"/>
    <x v="2843"/>
    <x v="0"/>
  </r>
  <r>
    <n v="51045"/>
    <x v="46"/>
    <s v="Craig"/>
    <n v="139"/>
    <n v="26"/>
    <n v="16"/>
    <n v="18"/>
    <n v="45"/>
    <n v="34"/>
    <n v="29"/>
    <n v="43"/>
    <n v="67"/>
    <n v="126"/>
    <n v="13"/>
    <x v="2844"/>
    <x v="0"/>
  </r>
  <r>
    <n v="51047"/>
    <x v="46"/>
    <s v="Culpeper"/>
    <n v="1256"/>
    <n v="216"/>
    <n v="135"/>
    <n v="155"/>
    <n v="363"/>
    <n v="387"/>
    <n v="366"/>
    <n v="523"/>
    <n v="367"/>
    <n v="1098"/>
    <n v="158"/>
    <x v="2845"/>
    <x v="0"/>
  </r>
  <r>
    <n v="51049"/>
    <x v="46"/>
    <s v="Cumberland"/>
    <n v="249"/>
    <n v="47"/>
    <n v="31"/>
    <n v="29"/>
    <n v="71"/>
    <n v="71"/>
    <n v="63"/>
    <n v="81"/>
    <n v="105"/>
    <n v="217"/>
    <n v="32"/>
    <x v="2846"/>
    <x v="0"/>
  </r>
  <r>
    <n v="51051"/>
    <x v="46"/>
    <s v="Dickenson"/>
    <n v="292"/>
    <n v="61"/>
    <n v="39"/>
    <n v="29"/>
    <n v="97"/>
    <n v="66"/>
    <n v="46"/>
    <n v="87"/>
    <n v="159"/>
    <n v="280"/>
    <n v="12"/>
    <x v="2847"/>
    <x v="0"/>
  </r>
  <r>
    <n v="51053"/>
    <x v="46"/>
    <s v="Dinwiddie"/>
    <n v="989"/>
    <n v="143"/>
    <n v="93"/>
    <n v="95"/>
    <n v="314"/>
    <n v="344"/>
    <n v="217"/>
    <n v="430"/>
    <n v="342"/>
    <n v="818"/>
    <n v="171"/>
    <x v="2848"/>
    <x v="0"/>
  </r>
  <r>
    <n v="51057"/>
    <x v="46"/>
    <s v="Essex"/>
    <n v="256"/>
    <n v="55"/>
    <n v="21"/>
    <n v="27"/>
    <n v="78"/>
    <n v="75"/>
    <n v="43"/>
    <n v="96"/>
    <n v="117"/>
    <n v="220"/>
    <n v="36"/>
    <x v="2849"/>
    <x v="0"/>
  </r>
  <r>
    <n v="51059"/>
    <x v="46"/>
    <s v="Fairfax"/>
    <n v="28220"/>
    <n v="4622"/>
    <n v="3408"/>
    <n v="3547"/>
    <n v="7627"/>
    <n v="9016"/>
    <n v="8203"/>
    <n v="12792"/>
    <n v="7225"/>
    <n v="22928"/>
    <n v="5290"/>
    <x v="2850"/>
    <x v="0"/>
  </r>
  <r>
    <n v="51061"/>
    <x v="46"/>
    <s v="Fauquier"/>
    <n v="1989"/>
    <n v="321"/>
    <n v="239"/>
    <n v="266"/>
    <n v="549"/>
    <n v="614"/>
    <n v="616"/>
    <n v="849"/>
    <n v="524"/>
    <n v="1733"/>
    <n v="255"/>
    <x v="2851"/>
    <x v="0"/>
  </r>
  <r>
    <n v="51063"/>
    <x v="46"/>
    <s v="Floyd"/>
    <n v="291"/>
    <n v="65"/>
    <n v="50"/>
    <n v="35"/>
    <n v="76"/>
    <n v="65"/>
    <n v="70"/>
    <n v="98"/>
    <n v="123"/>
    <n v="261"/>
    <n v="30"/>
    <x v="2852"/>
    <x v="0"/>
  </r>
  <r>
    <n v="51065"/>
    <x v="46"/>
    <s v="Fluvanna"/>
    <n v="690"/>
    <n v="149"/>
    <n v="87"/>
    <n v="90"/>
    <n v="190"/>
    <n v="174"/>
    <n v="166"/>
    <n v="246"/>
    <n v="278"/>
    <n v="598"/>
    <n v="92"/>
    <x v="2853"/>
    <x v="0"/>
  </r>
  <r>
    <n v="51067"/>
    <x v="46"/>
    <s v="Franklin"/>
    <n v="1271"/>
    <n v="245"/>
    <n v="132"/>
    <n v="161"/>
    <n v="396"/>
    <n v="337"/>
    <n v="244"/>
    <n v="409"/>
    <n v="618"/>
    <n v="1150"/>
    <n v="121"/>
    <x v="2854"/>
    <x v="0"/>
  </r>
  <r>
    <n v="51069"/>
    <x v="46"/>
    <s v="Frederick"/>
    <n v="2136"/>
    <n v="425"/>
    <n v="253"/>
    <n v="260"/>
    <n v="584"/>
    <n v="614"/>
    <n v="633"/>
    <n v="750"/>
    <n v="753"/>
    <n v="1893"/>
    <n v="243"/>
    <x v="2855"/>
    <x v="0"/>
  </r>
  <r>
    <n v="51071"/>
    <x v="46"/>
    <s v="Giles"/>
    <n v="301"/>
    <n v="55"/>
    <n v="39"/>
    <n v="29"/>
    <n v="105"/>
    <n v="73"/>
    <n v="69"/>
    <n v="98"/>
    <n v="134"/>
    <n v="275"/>
    <n v="26"/>
    <x v="2856"/>
    <x v="0"/>
  </r>
  <r>
    <n v="51073"/>
    <x v="46"/>
    <s v="Gloucester"/>
    <n v="1949"/>
    <n v="319"/>
    <n v="236"/>
    <n v="249"/>
    <n v="556"/>
    <n v="589"/>
    <n v="475"/>
    <n v="863"/>
    <n v="611"/>
    <n v="1684"/>
    <n v="265"/>
    <x v="2857"/>
    <x v="0"/>
  </r>
  <r>
    <n v="51075"/>
    <x v="46"/>
    <s v="Goochland"/>
    <n v="429"/>
    <n v="85"/>
    <n v="56"/>
    <n v="51"/>
    <n v="129"/>
    <n v="108"/>
    <n v="94"/>
    <n v="140"/>
    <n v="195"/>
    <n v="385"/>
    <n v="44"/>
    <x v="2858"/>
    <x v="0"/>
  </r>
  <r>
    <n v="51077"/>
    <x v="46"/>
    <s v="Grayson"/>
    <n v="308"/>
    <n v="62"/>
    <n v="39"/>
    <n v="31"/>
    <n v="101"/>
    <n v="75"/>
    <n v="53"/>
    <n v="93"/>
    <n v="162"/>
    <n v="279"/>
    <n v="29"/>
    <x v="2859"/>
    <x v="0"/>
  </r>
  <r>
    <n v="51079"/>
    <x v="46"/>
    <s v="Greene"/>
    <n v="638"/>
    <n v="101"/>
    <n v="72"/>
    <n v="78"/>
    <n v="189"/>
    <n v="198"/>
    <n v="219"/>
    <n v="248"/>
    <n v="171"/>
    <n v="551"/>
    <n v="87"/>
    <x v="2860"/>
    <x v="0"/>
  </r>
  <r>
    <n v="51081"/>
    <x v="46"/>
    <s v="Greensville"/>
    <n v="212"/>
    <n v="46"/>
    <n v="18"/>
    <n v="21"/>
    <n v="69"/>
    <n v="58"/>
    <n v="34"/>
    <n v="69"/>
    <n v="109"/>
    <n v="182"/>
    <n v="30"/>
    <x v="2861"/>
    <x v="0"/>
  </r>
  <r>
    <n v="51083"/>
    <x v="46"/>
    <s v="Halifax"/>
    <n v="823"/>
    <n v="139"/>
    <n v="60"/>
    <n v="93"/>
    <n v="303"/>
    <n v="228"/>
    <n v="148"/>
    <n v="236"/>
    <n v="439"/>
    <n v="734"/>
    <n v="89"/>
    <x v="2862"/>
    <x v="0"/>
  </r>
  <r>
    <n v="51085"/>
    <x v="46"/>
    <s v="Hanover"/>
    <n v="1980"/>
    <n v="355"/>
    <n v="239"/>
    <n v="278"/>
    <n v="561"/>
    <n v="547"/>
    <n v="566"/>
    <n v="741"/>
    <n v="673"/>
    <n v="1732"/>
    <n v="248"/>
    <x v="2863"/>
    <x v="0"/>
  </r>
  <r>
    <n v="51087"/>
    <x v="46"/>
    <s v="Henrico"/>
    <n v="5057"/>
    <n v="871"/>
    <n v="575"/>
    <n v="647"/>
    <n v="1541"/>
    <n v="1423"/>
    <n v="1314"/>
    <n v="1762"/>
    <n v="1981"/>
    <n v="4218"/>
    <n v="839"/>
    <x v="2864"/>
    <x v="0"/>
  </r>
  <r>
    <n v="51089"/>
    <x v="46"/>
    <s v="Henry"/>
    <n v="974"/>
    <n v="183"/>
    <n v="101"/>
    <n v="123"/>
    <n v="299"/>
    <n v="268"/>
    <n v="209"/>
    <n v="293"/>
    <n v="472"/>
    <n v="897"/>
    <n v="77"/>
    <x v="2865"/>
    <x v="0"/>
  </r>
  <r>
    <n v="51091"/>
    <x v="46"/>
    <s v="Highland"/>
    <n v="43"/>
    <n v="11"/>
    <m/>
    <m/>
    <m/>
    <n v="11"/>
    <m/>
    <m/>
    <n v="24"/>
    <m/>
    <m/>
    <x v="2866"/>
    <x v="0"/>
  </r>
  <r>
    <n v="51093"/>
    <x v="46"/>
    <s v="Isle Of Wight"/>
    <n v="2412"/>
    <n v="337"/>
    <n v="231"/>
    <n v="264"/>
    <n v="696"/>
    <n v="884"/>
    <n v="572"/>
    <n v="1201"/>
    <n v="639"/>
    <n v="1916"/>
    <n v="496"/>
    <x v="2867"/>
    <x v="0"/>
  </r>
  <r>
    <n v="51095"/>
    <x v="46"/>
    <s v="James City"/>
    <n v="3998"/>
    <n v="613"/>
    <n v="441"/>
    <n v="473"/>
    <n v="1043"/>
    <n v="1428"/>
    <n v="805"/>
    <n v="1735"/>
    <n v="1458"/>
    <n v="3396"/>
    <n v="602"/>
    <x v="2868"/>
    <x v="0"/>
  </r>
  <r>
    <n v="51097"/>
    <x v="46"/>
    <s v="King And Queen"/>
    <n v="175"/>
    <n v="28"/>
    <n v="19"/>
    <n v="18"/>
    <n v="53"/>
    <n v="57"/>
    <n v="30"/>
    <n v="76"/>
    <n v="69"/>
    <n v="155"/>
    <n v="20"/>
    <x v="2869"/>
    <x v="0"/>
  </r>
  <r>
    <n v="51099"/>
    <x v="46"/>
    <s v="King George"/>
    <n v="1658"/>
    <n v="196"/>
    <n v="183"/>
    <n v="218"/>
    <n v="511"/>
    <n v="550"/>
    <n v="520"/>
    <n v="822"/>
    <n v="316"/>
    <n v="1412"/>
    <n v="246"/>
    <x v="2870"/>
    <x v="0"/>
  </r>
  <r>
    <n v="51101"/>
    <x v="46"/>
    <s v="King William"/>
    <n v="374"/>
    <n v="61"/>
    <n v="47"/>
    <n v="53"/>
    <n v="105"/>
    <n v="108"/>
    <n v="141"/>
    <n v="114"/>
    <n v="119"/>
    <n v="315"/>
    <n v="59"/>
    <x v="2871"/>
    <x v="0"/>
  </r>
  <r>
    <n v="51103"/>
    <x v="46"/>
    <s v="Lancaster"/>
    <n v="232"/>
    <n v="59"/>
    <n v="27"/>
    <n v="24"/>
    <n v="65"/>
    <n v="57"/>
    <n v="27"/>
    <n v="63"/>
    <n v="142"/>
    <n v="212"/>
    <n v="20"/>
    <x v="2872"/>
    <x v="0"/>
  </r>
  <r>
    <n v="51105"/>
    <x v="46"/>
    <s v="Lee"/>
    <n v="493"/>
    <n v="84"/>
    <n v="44"/>
    <n v="61"/>
    <n v="163"/>
    <n v="141"/>
    <n v="86"/>
    <n v="170"/>
    <n v="237"/>
    <n v="456"/>
    <n v="37"/>
    <x v="2873"/>
    <x v="0"/>
  </r>
  <r>
    <n v="51107"/>
    <x v="46"/>
    <s v="Loudoun"/>
    <n v="8346"/>
    <n v="1454"/>
    <n v="990"/>
    <n v="975"/>
    <n v="2227"/>
    <n v="2700"/>
    <n v="2759"/>
    <n v="3991"/>
    <n v="1596"/>
    <n v="7111"/>
    <n v="1233"/>
    <x v="2874"/>
    <x v="0"/>
  </r>
  <r>
    <n v="51109"/>
    <x v="46"/>
    <s v="Louisa"/>
    <n v="1071"/>
    <n v="210"/>
    <n v="121"/>
    <n v="129"/>
    <n v="311"/>
    <n v="300"/>
    <n v="304"/>
    <n v="345"/>
    <n v="422"/>
    <n v="918"/>
    <n v="153"/>
    <x v="2875"/>
    <x v="0"/>
  </r>
  <r>
    <n v="51111"/>
    <x v="46"/>
    <s v="Lunenburg"/>
    <n v="283"/>
    <n v="42"/>
    <n v="30"/>
    <n v="39"/>
    <n v="87"/>
    <n v="85"/>
    <n v="63"/>
    <n v="97"/>
    <n v="123"/>
    <n v="250"/>
    <n v="33"/>
    <x v="2876"/>
    <x v="0"/>
  </r>
  <r>
    <n v="51113"/>
    <x v="46"/>
    <s v="Madison"/>
    <n v="262"/>
    <n v="53"/>
    <n v="29"/>
    <n v="31"/>
    <n v="74"/>
    <n v="75"/>
    <n v="69"/>
    <n v="76"/>
    <n v="117"/>
    <n v="241"/>
    <n v="21"/>
    <x v="2877"/>
    <x v="0"/>
  </r>
  <r>
    <n v="51115"/>
    <x v="46"/>
    <s v="Mathews"/>
    <n v="257"/>
    <n v="58"/>
    <n v="29"/>
    <n v="37"/>
    <n v="64"/>
    <n v="69"/>
    <n v="48"/>
    <n v="96"/>
    <n v="113"/>
    <n v="222"/>
    <n v="35"/>
    <x v="2878"/>
    <x v="0"/>
  </r>
  <r>
    <n v="51117"/>
    <x v="46"/>
    <s v="Mecklenburg"/>
    <n v="761"/>
    <n v="156"/>
    <n v="78"/>
    <n v="76"/>
    <n v="235"/>
    <n v="216"/>
    <n v="123"/>
    <n v="235"/>
    <n v="403"/>
    <n v="682"/>
    <n v="79"/>
    <x v="2879"/>
    <x v="0"/>
  </r>
  <r>
    <n v="51119"/>
    <x v="46"/>
    <s v="Middlesex"/>
    <n v="317"/>
    <n v="57"/>
    <n v="36"/>
    <n v="35"/>
    <n v="94"/>
    <n v="95"/>
    <n v="46"/>
    <n v="98"/>
    <n v="173"/>
    <n v="282"/>
    <n v="35"/>
    <x v="2880"/>
    <x v="0"/>
  </r>
  <r>
    <n v="51121"/>
    <x v="46"/>
    <s v="Montgomery"/>
    <n v="1110"/>
    <n v="226"/>
    <n v="152"/>
    <n v="149"/>
    <n v="318"/>
    <n v="265"/>
    <n v="350"/>
    <n v="362"/>
    <n v="398"/>
    <n v="992"/>
    <n v="117"/>
    <x v="2881"/>
    <x v="0"/>
  </r>
  <r>
    <n v="51125"/>
    <x v="46"/>
    <s v="Nelson"/>
    <n v="319"/>
    <n v="72"/>
    <n v="52"/>
    <n v="36"/>
    <n v="78"/>
    <n v="81"/>
    <n v="57"/>
    <n v="95"/>
    <n v="167"/>
    <n v="289"/>
    <n v="30"/>
    <x v="2882"/>
    <x v="0"/>
  </r>
  <r>
    <n v="51127"/>
    <x v="46"/>
    <s v="New Kent"/>
    <n v="1139"/>
    <n v="150"/>
    <n v="104"/>
    <n v="133"/>
    <n v="342"/>
    <n v="410"/>
    <n v="309"/>
    <n v="472"/>
    <n v="358"/>
    <n v="960"/>
    <n v="179"/>
    <x v="2883"/>
    <x v="0"/>
  </r>
  <r>
    <n v="51131"/>
    <x v="46"/>
    <s v="Northampton"/>
    <n v="272"/>
    <n v="61"/>
    <n v="28"/>
    <n v="40"/>
    <n v="69"/>
    <n v="74"/>
    <n v="49"/>
    <n v="86"/>
    <n v="137"/>
    <n v="239"/>
    <n v="32"/>
    <x v="2884"/>
    <x v="0"/>
  </r>
  <r>
    <n v="51133"/>
    <x v="46"/>
    <s v="Northumberland"/>
    <n v="334"/>
    <n v="80"/>
    <n v="44"/>
    <n v="43"/>
    <n v="95"/>
    <n v="72"/>
    <n v="41"/>
    <n v="88"/>
    <n v="205"/>
    <n v="308"/>
    <n v="26"/>
    <x v="2885"/>
    <x v="0"/>
  </r>
  <r>
    <n v="51135"/>
    <x v="46"/>
    <s v="Nottoway"/>
    <n v="409"/>
    <n v="85"/>
    <n v="37"/>
    <n v="53"/>
    <n v="139"/>
    <n v="95"/>
    <n v="82"/>
    <n v="160"/>
    <n v="167"/>
    <n v="370"/>
    <n v="39"/>
    <x v="2886"/>
    <x v="0"/>
  </r>
  <r>
    <n v="51137"/>
    <x v="46"/>
    <s v="Orange"/>
    <n v="1201"/>
    <n v="175"/>
    <n v="134"/>
    <n v="148"/>
    <n v="358"/>
    <n v="386"/>
    <n v="382"/>
    <n v="422"/>
    <n v="397"/>
    <n v="1033"/>
    <n v="167"/>
    <x v="2887"/>
    <x v="0"/>
  </r>
  <r>
    <n v="51139"/>
    <x v="46"/>
    <s v="Page"/>
    <n v="379"/>
    <n v="71"/>
    <n v="47"/>
    <n v="39"/>
    <n v="98"/>
    <n v="124"/>
    <n v="98"/>
    <n v="110"/>
    <n v="171"/>
    <n v="346"/>
    <n v="33"/>
    <x v="2888"/>
    <x v="0"/>
  </r>
  <r>
    <n v="51141"/>
    <x v="46"/>
    <s v="Patrick"/>
    <n v="393"/>
    <n v="64"/>
    <n v="33"/>
    <n v="42"/>
    <n v="140"/>
    <n v="114"/>
    <n v="80"/>
    <n v="105"/>
    <n v="208"/>
    <n v="361"/>
    <n v="32"/>
    <x v="2889"/>
    <x v="0"/>
  </r>
  <r>
    <n v="51143"/>
    <x v="46"/>
    <s v="Pittsylvania"/>
    <n v="1322"/>
    <n v="227"/>
    <n v="147"/>
    <n v="154"/>
    <n v="446"/>
    <n v="348"/>
    <n v="284"/>
    <n v="410"/>
    <n v="628"/>
    <n v="1195"/>
    <n v="127"/>
    <x v="2890"/>
    <x v="0"/>
  </r>
  <r>
    <n v="51145"/>
    <x v="46"/>
    <s v="Powhatan"/>
    <n v="708"/>
    <n v="111"/>
    <n v="77"/>
    <n v="76"/>
    <n v="218"/>
    <n v="226"/>
    <n v="192"/>
    <n v="268"/>
    <n v="248"/>
    <n v="638"/>
    <n v="70"/>
    <x v="2891"/>
    <x v="0"/>
  </r>
  <r>
    <n v="51147"/>
    <x v="46"/>
    <s v="Prince Edward"/>
    <n v="521"/>
    <n v="111"/>
    <n v="69"/>
    <n v="54"/>
    <n v="150"/>
    <n v="137"/>
    <n v="112"/>
    <n v="158"/>
    <n v="251"/>
    <n v="468"/>
    <n v="53"/>
    <x v="2892"/>
    <x v="0"/>
  </r>
  <r>
    <n v="51149"/>
    <x v="46"/>
    <s v="Prince George"/>
    <n v="2108"/>
    <n v="265"/>
    <n v="168"/>
    <n v="224"/>
    <n v="602"/>
    <n v="849"/>
    <n v="533"/>
    <n v="879"/>
    <n v="696"/>
    <n v="1637"/>
    <n v="471"/>
    <x v="2893"/>
    <x v="0"/>
  </r>
  <r>
    <n v="51153"/>
    <x v="46"/>
    <s v="Prince William"/>
    <n v="19016"/>
    <n v="2536"/>
    <n v="1911"/>
    <n v="1994"/>
    <n v="5088"/>
    <n v="7487"/>
    <n v="5162"/>
    <n v="9600"/>
    <n v="4254"/>
    <n v="14959"/>
    <n v="4056"/>
    <x v="2894"/>
    <x v="0"/>
  </r>
  <r>
    <n v="51155"/>
    <x v="46"/>
    <s v="Pulaski"/>
    <n v="667"/>
    <n v="133"/>
    <n v="87"/>
    <n v="97"/>
    <n v="202"/>
    <n v="148"/>
    <n v="138"/>
    <n v="202"/>
    <n v="327"/>
    <n v="613"/>
    <n v="54"/>
    <x v="2895"/>
    <x v="0"/>
  </r>
  <r>
    <n v="51157"/>
    <x v="46"/>
    <s v="Rappahannock"/>
    <n v="136"/>
    <n v="31"/>
    <n v="16"/>
    <n v="17"/>
    <n v="39"/>
    <n v="33"/>
    <n v="39"/>
    <n v="46"/>
    <n v="51"/>
    <n v="122"/>
    <n v="14"/>
    <x v="2896"/>
    <x v="0"/>
  </r>
  <r>
    <n v="51159"/>
    <x v="46"/>
    <s v="Richmond"/>
    <n v="148"/>
    <n v="18"/>
    <n v="12"/>
    <n v="20"/>
    <n v="53"/>
    <n v="45"/>
    <n v="30"/>
    <n v="51"/>
    <n v="67"/>
    <n v="132"/>
    <n v="16"/>
    <x v="2897"/>
    <x v="0"/>
  </r>
  <r>
    <n v="51161"/>
    <x v="46"/>
    <s v="Roanoke"/>
    <n v="2210"/>
    <n v="402"/>
    <n v="271"/>
    <n v="294"/>
    <n v="661"/>
    <n v="582"/>
    <n v="542"/>
    <n v="781"/>
    <n v="887"/>
    <n v="1966"/>
    <n v="244"/>
    <x v="2898"/>
    <x v="0"/>
  </r>
  <r>
    <n v="51163"/>
    <x v="46"/>
    <s v="Rockbridge"/>
    <n v="489"/>
    <n v="98"/>
    <n v="52"/>
    <n v="60"/>
    <n v="154"/>
    <n v="125"/>
    <n v="83"/>
    <n v="168"/>
    <n v="238"/>
    <n v="444"/>
    <n v="45"/>
    <x v="2899"/>
    <x v="0"/>
  </r>
  <r>
    <n v="51165"/>
    <x v="46"/>
    <s v="Rockingham"/>
    <n v="1059"/>
    <n v="212"/>
    <n v="118"/>
    <n v="150"/>
    <n v="295"/>
    <n v="284"/>
    <n v="303"/>
    <n v="297"/>
    <n v="459"/>
    <n v="959"/>
    <n v="100"/>
    <x v="2900"/>
    <x v="0"/>
  </r>
  <r>
    <n v="51167"/>
    <x v="46"/>
    <s v="Russell"/>
    <n v="413"/>
    <n v="76"/>
    <n v="40"/>
    <n v="48"/>
    <n v="142"/>
    <n v="107"/>
    <n v="64"/>
    <n v="134"/>
    <n v="215"/>
    <n v="385"/>
    <n v="28"/>
    <x v="2901"/>
    <x v="0"/>
  </r>
  <r>
    <n v="51169"/>
    <x v="46"/>
    <s v="Scott"/>
    <n v="436"/>
    <n v="86"/>
    <n v="63"/>
    <n v="46"/>
    <n v="127"/>
    <n v="114"/>
    <n v="78"/>
    <n v="132"/>
    <n v="226"/>
    <n v="408"/>
    <n v="28"/>
    <x v="2902"/>
    <x v="0"/>
  </r>
  <r>
    <n v="51171"/>
    <x v="46"/>
    <s v="Shenandoah"/>
    <n v="809"/>
    <n v="151"/>
    <n v="101"/>
    <n v="97"/>
    <n v="238"/>
    <n v="222"/>
    <n v="207"/>
    <n v="270"/>
    <n v="332"/>
    <n v="728"/>
    <n v="81"/>
    <x v="2903"/>
    <x v="0"/>
  </r>
  <r>
    <n v="51173"/>
    <x v="46"/>
    <s v="Smyth"/>
    <n v="526"/>
    <n v="101"/>
    <n v="71"/>
    <n v="73"/>
    <n v="154"/>
    <n v="127"/>
    <n v="104"/>
    <n v="154"/>
    <n v="268"/>
    <n v="493"/>
    <n v="33"/>
    <x v="2904"/>
    <x v="0"/>
  </r>
  <r>
    <n v="51175"/>
    <x v="46"/>
    <s v="Southampton"/>
    <n v="501"/>
    <n v="89"/>
    <n v="52"/>
    <n v="62"/>
    <n v="162"/>
    <n v="136"/>
    <n v="129"/>
    <n v="191"/>
    <n v="181"/>
    <n v="430"/>
    <n v="71"/>
    <x v="2905"/>
    <x v="0"/>
  </r>
  <r>
    <n v="51177"/>
    <x v="46"/>
    <s v="Spotsylvania"/>
    <n v="7521"/>
    <n v="894"/>
    <n v="690"/>
    <n v="812"/>
    <n v="2159"/>
    <n v="2966"/>
    <n v="2225"/>
    <n v="3510"/>
    <n v="1786"/>
    <n v="6236"/>
    <n v="1285"/>
    <x v="2906"/>
    <x v="0"/>
  </r>
  <r>
    <n v="51179"/>
    <x v="46"/>
    <s v="Stafford"/>
    <n v="12753"/>
    <n v="1347"/>
    <n v="1046"/>
    <n v="1266"/>
    <n v="3408"/>
    <n v="5686"/>
    <n v="3674"/>
    <n v="6790"/>
    <n v="2289"/>
    <n v="10245"/>
    <n v="2508"/>
    <x v="2907"/>
    <x v="0"/>
  </r>
  <r>
    <n v="51181"/>
    <x v="46"/>
    <s v="Surry"/>
    <n v="258"/>
    <n v="33"/>
    <n v="38"/>
    <n v="31"/>
    <n v="83"/>
    <n v="73"/>
    <n v="73"/>
    <n v="98"/>
    <n v="87"/>
    <n v="209"/>
    <n v="49"/>
    <x v="2908"/>
    <x v="0"/>
  </r>
  <r>
    <n v="51183"/>
    <x v="46"/>
    <s v="Sussex"/>
    <n v="250"/>
    <n v="41"/>
    <n v="23"/>
    <n v="36"/>
    <n v="82"/>
    <n v="68"/>
    <n v="54"/>
    <n v="86"/>
    <n v="110"/>
    <n v="205"/>
    <n v="45"/>
    <x v="2909"/>
    <x v="0"/>
  </r>
  <r>
    <n v="51185"/>
    <x v="46"/>
    <s v="Tazewell"/>
    <n v="879"/>
    <n v="165"/>
    <n v="76"/>
    <n v="79"/>
    <n v="336"/>
    <n v="223"/>
    <n v="122"/>
    <n v="275"/>
    <n v="482"/>
    <n v="828"/>
    <n v="51"/>
    <x v="2910"/>
    <x v="0"/>
  </r>
  <r>
    <n v="51187"/>
    <x v="46"/>
    <s v="Warren"/>
    <n v="1063"/>
    <n v="206"/>
    <n v="134"/>
    <n v="148"/>
    <n v="316"/>
    <n v="259"/>
    <n v="320"/>
    <n v="393"/>
    <n v="350"/>
    <n v="933"/>
    <n v="130"/>
    <x v="2911"/>
    <x v="0"/>
  </r>
  <r>
    <n v="51191"/>
    <x v="46"/>
    <s v="Washington"/>
    <n v="1102"/>
    <n v="223"/>
    <n v="131"/>
    <n v="145"/>
    <n v="322"/>
    <n v="281"/>
    <n v="204"/>
    <n v="358"/>
    <n v="540"/>
    <n v="1015"/>
    <n v="87"/>
    <x v="2912"/>
    <x v="0"/>
  </r>
  <r>
    <n v="51193"/>
    <x v="46"/>
    <s v="Westmoreland"/>
    <n v="592"/>
    <n v="97"/>
    <n v="60"/>
    <n v="68"/>
    <n v="185"/>
    <n v="182"/>
    <n v="166"/>
    <n v="222"/>
    <n v="204"/>
    <n v="518"/>
    <n v="74"/>
    <x v="2913"/>
    <x v="0"/>
  </r>
  <r>
    <n v="51195"/>
    <x v="46"/>
    <s v="Wise"/>
    <n v="744"/>
    <n v="145"/>
    <n v="83"/>
    <n v="85"/>
    <n v="233"/>
    <n v="198"/>
    <n v="153"/>
    <n v="244"/>
    <n v="347"/>
    <n v="691"/>
    <n v="53"/>
    <x v="2914"/>
    <x v="0"/>
  </r>
  <r>
    <n v="51197"/>
    <x v="46"/>
    <s v="Wythe"/>
    <n v="540"/>
    <n v="92"/>
    <n v="70"/>
    <n v="69"/>
    <n v="155"/>
    <n v="154"/>
    <n v="109"/>
    <n v="158"/>
    <n v="273"/>
    <n v="487"/>
    <n v="53"/>
    <x v="2915"/>
    <x v="0"/>
  </r>
  <r>
    <n v="51199"/>
    <x v="46"/>
    <s v="York"/>
    <n v="5227"/>
    <n v="733"/>
    <n v="551"/>
    <n v="644"/>
    <n v="1477"/>
    <n v="1822"/>
    <n v="1281"/>
    <n v="2435"/>
    <n v="1511"/>
    <n v="4180"/>
    <n v="1047"/>
    <x v="2916"/>
    <x v="0"/>
  </r>
  <r>
    <n v="51510"/>
    <x v="46"/>
    <s v="Alexandria City"/>
    <n v="4621"/>
    <n v="616"/>
    <n v="570"/>
    <n v="618"/>
    <n v="1370"/>
    <n v="1447"/>
    <n v="1945"/>
    <n v="1891"/>
    <n v="785"/>
    <n v="3468"/>
    <n v="1153"/>
    <x v="2917"/>
    <x v="0"/>
  </r>
  <r>
    <n v="51520"/>
    <x v="46"/>
    <s v="Bristol City"/>
    <n v="334"/>
    <n v="70"/>
    <n v="33"/>
    <n v="44"/>
    <n v="109"/>
    <n v="78"/>
    <n v="77"/>
    <n v="93"/>
    <n v="164"/>
    <n v="309"/>
    <n v="25"/>
    <x v="2918"/>
    <x v="0"/>
  </r>
  <r>
    <n v="51530"/>
    <x v="46"/>
    <s v="Buena Vista City"/>
    <n v="86"/>
    <n v="21"/>
    <n v="18"/>
    <n v="10"/>
    <n v="18"/>
    <n v="19"/>
    <n v="13"/>
    <n v="16"/>
    <n v="57"/>
    <m/>
    <m/>
    <x v="2919"/>
    <x v="0"/>
  </r>
  <r>
    <n v="51540"/>
    <x v="46"/>
    <s v="Charlottesville City"/>
    <n v="328"/>
    <n v="75"/>
    <n v="42"/>
    <n v="57"/>
    <n v="82"/>
    <n v="72"/>
    <n v="145"/>
    <n v="79"/>
    <n v="104"/>
    <n v="283"/>
    <n v="45"/>
    <x v="2920"/>
    <x v="0"/>
  </r>
  <r>
    <n v="51550"/>
    <x v="46"/>
    <s v="Chesapeake City"/>
    <n v="17037"/>
    <n v="1816"/>
    <n v="1482"/>
    <n v="1901"/>
    <n v="4912"/>
    <n v="6926"/>
    <n v="5273"/>
    <n v="7965"/>
    <n v="3799"/>
    <n v="13219"/>
    <n v="3815"/>
    <x v="2921"/>
    <x v="0"/>
  </r>
  <r>
    <n v="51570"/>
    <x v="46"/>
    <s v="Colonial Heights City"/>
    <n v="634"/>
    <n v="92"/>
    <n v="76"/>
    <n v="72"/>
    <n v="191"/>
    <n v="203"/>
    <n v="159"/>
    <n v="243"/>
    <n v="232"/>
    <n v="517"/>
    <n v="117"/>
    <x v="2922"/>
    <x v="0"/>
  </r>
  <r>
    <n v="51580"/>
    <x v="46"/>
    <s v="Covington City"/>
    <n v="139"/>
    <n v="36"/>
    <m/>
    <m/>
    <n v="45"/>
    <n v="28"/>
    <n v="23"/>
    <n v="42"/>
    <n v="74"/>
    <n v="129"/>
    <n v="10"/>
    <x v="2923"/>
    <x v="0"/>
  </r>
  <r>
    <n v="51590"/>
    <x v="46"/>
    <s v="Danville City"/>
    <n v="808"/>
    <n v="134"/>
    <n v="66"/>
    <n v="95"/>
    <n v="297"/>
    <n v="216"/>
    <n v="170"/>
    <n v="231"/>
    <n v="407"/>
    <n v="713"/>
    <n v="95"/>
    <x v="2924"/>
    <x v="0"/>
  </r>
  <r>
    <n v="51595"/>
    <x v="46"/>
    <s v="Emporia City"/>
    <n v="115"/>
    <n v="13"/>
    <n v="16"/>
    <n v="11"/>
    <n v="37"/>
    <n v="38"/>
    <n v="28"/>
    <n v="32"/>
    <n v="55"/>
    <n v="100"/>
    <n v="15"/>
    <x v="2925"/>
    <x v="0"/>
  </r>
  <r>
    <n v="51600"/>
    <x v="46"/>
    <s v="Fairfax City"/>
    <n v="508"/>
    <n v="103"/>
    <n v="62"/>
    <n v="64"/>
    <n v="137"/>
    <n v="142"/>
    <n v="177"/>
    <n v="190"/>
    <n v="141"/>
    <n v="425"/>
    <n v="83"/>
    <x v="2926"/>
    <x v="0"/>
  </r>
  <r>
    <n v="51610"/>
    <x v="46"/>
    <s v="Falls Church City"/>
    <n v="258"/>
    <n v="46"/>
    <n v="32"/>
    <n v="30"/>
    <n v="79"/>
    <n v="71"/>
    <n v="99"/>
    <n v="109"/>
    <n v="50"/>
    <n v="210"/>
    <n v="48"/>
    <x v="2927"/>
    <x v="0"/>
  </r>
  <r>
    <n v="51620"/>
    <x v="46"/>
    <s v="Franklin City"/>
    <n v="239"/>
    <n v="39"/>
    <n v="25"/>
    <n v="20"/>
    <n v="83"/>
    <n v="72"/>
    <n v="79"/>
    <n v="87"/>
    <n v="73"/>
    <n v="186"/>
    <n v="53"/>
    <x v="2928"/>
    <x v="0"/>
  </r>
  <r>
    <n v="51630"/>
    <x v="46"/>
    <s v="Fredericksburg City"/>
    <n v="1053"/>
    <n v="136"/>
    <n v="123"/>
    <n v="121"/>
    <n v="309"/>
    <n v="364"/>
    <n v="364"/>
    <n v="492"/>
    <n v="197"/>
    <n v="855"/>
    <n v="198"/>
    <x v="2929"/>
    <x v="0"/>
  </r>
  <r>
    <n v="51640"/>
    <x v="46"/>
    <s v="Galax City"/>
    <n v="104"/>
    <n v="18"/>
    <n v="14"/>
    <n v="15"/>
    <n v="26"/>
    <n v="31"/>
    <n v="24"/>
    <n v="31"/>
    <n v="49"/>
    <m/>
    <m/>
    <x v="2930"/>
    <x v="0"/>
  </r>
  <r>
    <n v="51650"/>
    <x v="46"/>
    <s v="Hampton City"/>
    <n v="9344"/>
    <n v="1280"/>
    <n v="919"/>
    <n v="1116"/>
    <n v="2810"/>
    <n v="3219"/>
    <n v="3000"/>
    <n v="3504"/>
    <n v="2840"/>
    <n v="6900"/>
    <n v="2444"/>
    <x v="2931"/>
    <x v="0"/>
  </r>
  <r>
    <n v="51660"/>
    <x v="46"/>
    <s v="Harrisonburg City"/>
    <n v="279"/>
    <n v="59"/>
    <n v="42"/>
    <n v="38"/>
    <n v="95"/>
    <n v="45"/>
    <n v="108"/>
    <n v="73"/>
    <n v="98"/>
    <n v="238"/>
    <n v="41"/>
    <x v="2932"/>
    <x v="0"/>
  </r>
  <r>
    <n v="51670"/>
    <x v="46"/>
    <s v="Hopewell City"/>
    <n v="808"/>
    <n v="101"/>
    <n v="82"/>
    <n v="88"/>
    <n v="249"/>
    <n v="288"/>
    <n v="179"/>
    <n v="340"/>
    <n v="289"/>
    <n v="610"/>
    <n v="198"/>
    <x v="2933"/>
    <x v="0"/>
  </r>
  <r>
    <n v="51678"/>
    <x v="46"/>
    <s v="Lexington City"/>
    <n v="100"/>
    <n v="28"/>
    <n v="11"/>
    <n v="11"/>
    <n v="21"/>
    <n v="29"/>
    <n v="18"/>
    <n v="32"/>
    <n v="50"/>
    <m/>
    <m/>
    <x v="2934"/>
    <x v="0"/>
  </r>
  <r>
    <n v="51680"/>
    <x v="46"/>
    <s v="Lynchburg City"/>
    <n v="1181"/>
    <n v="235"/>
    <n v="137"/>
    <n v="169"/>
    <n v="359"/>
    <n v="281"/>
    <n v="408"/>
    <n v="334"/>
    <n v="439"/>
    <n v="1012"/>
    <n v="169"/>
    <x v="2935"/>
    <x v="0"/>
  </r>
  <r>
    <n v="51683"/>
    <x v="46"/>
    <s v="Manassas City"/>
    <n v="725"/>
    <n v="115"/>
    <n v="95"/>
    <n v="104"/>
    <n v="198"/>
    <n v="213"/>
    <n v="271"/>
    <n v="275"/>
    <n v="179"/>
    <n v="607"/>
    <n v="118"/>
    <x v="2936"/>
    <x v="0"/>
  </r>
  <r>
    <n v="51685"/>
    <x v="46"/>
    <s v="Manassas Park City"/>
    <n v="276"/>
    <n v="37"/>
    <n v="33"/>
    <n v="31"/>
    <n v="79"/>
    <n v="96"/>
    <n v="129"/>
    <n v="90"/>
    <n v="57"/>
    <n v="216"/>
    <n v="60"/>
    <x v="2937"/>
    <x v="0"/>
  </r>
  <r>
    <n v="51690"/>
    <x v="46"/>
    <s v="Martinsville City"/>
    <n v="219"/>
    <n v="42"/>
    <n v="21"/>
    <n v="27"/>
    <n v="66"/>
    <n v="63"/>
    <n v="45"/>
    <n v="67"/>
    <n v="107"/>
    <n v="192"/>
    <n v="27"/>
    <x v="2938"/>
    <x v="0"/>
  </r>
  <r>
    <n v="51700"/>
    <x v="46"/>
    <s v="Newport News City"/>
    <n v="9151"/>
    <n v="1251"/>
    <n v="912"/>
    <n v="1121"/>
    <n v="2773"/>
    <n v="3094"/>
    <n v="2910"/>
    <n v="3667"/>
    <n v="2574"/>
    <n v="6958"/>
    <n v="2193"/>
    <x v="2939"/>
    <x v="0"/>
  </r>
  <r>
    <n v="51710"/>
    <x v="46"/>
    <s v="Norfolk City"/>
    <n v="10708"/>
    <n v="1442"/>
    <n v="1155"/>
    <n v="1413"/>
    <n v="3477"/>
    <n v="3221"/>
    <n v="4440"/>
    <n v="3881"/>
    <n v="2387"/>
    <n v="8022"/>
    <n v="2684"/>
    <x v="2940"/>
    <x v="0"/>
  </r>
  <r>
    <n v="51720"/>
    <x v="46"/>
    <s v="Norton City"/>
    <n v="62"/>
    <n v="12"/>
    <m/>
    <m/>
    <n v="20"/>
    <n v="16"/>
    <n v="21"/>
    <n v="18"/>
    <n v="23"/>
    <m/>
    <m/>
    <x v="2941"/>
    <x v="0"/>
  </r>
  <r>
    <n v="51730"/>
    <x v="46"/>
    <s v="Petersburg City"/>
    <n v="1114"/>
    <n v="185"/>
    <n v="103"/>
    <n v="130"/>
    <n v="349"/>
    <n v="347"/>
    <n v="241"/>
    <n v="374"/>
    <n v="499"/>
    <n v="889"/>
    <n v="225"/>
    <x v="2942"/>
    <x v="0"/>
  </r>
  <r>
    <n v="51735"/>
    <x v="46"/>
    <s v="Poquoson City"/>
    <n v="802"/>
    <n v="122"/>
    <n v="89"/>
    <n v="100"/>
    <n v="211"/>
    <n v="280"/>
    <n v="233"/>
    <n v="338"/>
    <n v="231"/>
    <n v="638"/>
    <n v="164"/>
    <x v="2943"/>
    <x v="0"/>
  </r>
  <r>
    <n v="51740"/>
    <x v="46"/>
    <s v="Portsmouth City"/>
    <n v="4704"/>
    <n v="581"/>
    <n v="444"/>
    <n v="601"/>
    <n v="1576"/>
    <n v="1502"/>
    <n v="1738"/>
    <n v="1755"/>
    <n v="1211"/>
    <n v="3562"/>
    <n v="1141"/>
    <x v="2944"/>
    <x v="0"/>
  </r>
  <r>
    <n v="51750"/>
    <x v="46"/>
    <s v="Radford City"/>
    <n v="176"/>
    <n v="44"/>
    <n v="21"/>
    <n v="23"/>
    <n v="60"/>
    <n v="28"/>
    <n v="70"/>
    <n v="60"/>
    <n v="46"/>
    <n v="150"/>
    <n v="26"/>
    <x v="2945"/>
    <x v="0"/>
  </r>
  <r>
    <n v="51760"/>
    <x v="46"/>
    <s v="Richmond City"/>
    <n v="2751"/>
    <n v="540"/>
    <n v="340"/>
    <n v="356"/>
    <n v="840"/>
    <n v="675"/>
    <n v="899"/>
    <n v="804"/>
    <n v="1048"/>
    <n v="2253"/>
    <n v="498"/>
    <x v="2946"/>
    <x v="0"/>
  </r>
  <r>
    <n v="51770"/>
    <x v="46"/>
    <s v="Roanoke City"/>
    <n v="1799"/>
    <n v="385"/>
    <n v="215"/>
    <n v="219"/>
    <n v="517"/>
    <n v="463"/>
    <n v="430"/>
    <n v="519"/>
    <n v="849"/>
    <n v="1561"/>
    <n v="238"/>
    <x v="2947"/>
    <x v="0"/>
  </r>
  <r>
    <n v="51775"/>
    <x v="46"/>
    <s v="Salem City"/>
    <n v="535"/>
    <n v="108"/>
    <n v="66"/>
    <n v="72"/>
    <n v="147"/>
    <n v="142"/>
    <n v="136"/>
    <n v="171"/>
    <n v="228"/>
    <n v="462"/>
    <n v="73"/>
    <x v="2948"/>
    <x v="0"/>
  </r>
  <r>
    <n v="51790"/>
    <x v="46"/>
    <s v="Staunton City"/>
    <n v="421"/>
    <n v="98"/>
    <n v="59"/>
    <n v="46"/>
    <n v="132"/>
    <n v="86"/>
    <n v="117"/>
    <n v="136"/>
    <n v="168"/>
    <n v="358"/>
    <n v="63"/>
    <x v="2949"/>
    <x v="0"/>
  </r>
  <r>
    <n v="51800"/>
    <x v="46"/>
    <s v="Suffolk City"/>
    <n v="7343"/>
    <n v="694"/>
    <n v="561"/>
    <n v="728"/>
    <n v="2111"/>
    <n v="3249"/>
    <n v="2325"/>
    <n v="3591"/>
    <n v="1427"/>
    <n v="5446"/>
    <n v="1896"/>
    <x v="2950"/>
    <x v="0"/>
  </r>
  <r>
    <n v="51810"/>
    <x v="46"/>
    <s v="Virginia Beach City"/>
    <n v="27752"/>
    <n v="3742"/>
    <n v="2865"/>
    <n v="3327"/>
    <n v="8087"/>
    <n v="9731"/>
    <n v="8213"/>
    <n v="12189"/>
    <n v="7350"/>
    <n v="22410"/>
    <n v="5341"/>
    <x v="2951"/>
    <x v="0"/>
  </r>
  <r>
    <n v="51820"/>
    <x v="46"/>
    <s v="Waynesboro City"/>
    <n v="362"/>
    <n v="82"/>
    <n v="47"/>
    <n v="39"/>
    <n v="103"/>
    <n v="91"/>
    <n v="103"/>
    <n v="113"/>
    <n v="146"/>
    <n v="331"/>
    <n v="31"/>
    <x v="2952"/>
    <x v="0"/>
  </r>
  <r>
    <n v="51830"/>
    <x v="46"/>
    <s v="Williamsburg City"/>
    <n v="375"/>
    <n v="51"/>
    <n v="37"/>
    <n v="50"/>
    <n v="117"/>
    <n v="120"/>
    <n v="108"/>
    <n v="134"/>
    <n v="133"/>
    <n v="308"/>
    <n v="67"/>
    <x v="2953"/>
    <x v="0"/>
  </r>
  <r>
    <n v="51840"/>
    <x v="46"/>
    <s v="Winchester City"/>
    <n v="328"/>
    <n v="75"/>
    <n v="38"/>
    <n v="42"/>
    <n v="108"/>
    <n v="65"/>
    <n v="86"/>
    <n v="105"/>
    <n v="137"/>
    <n v="294"/>
    <n v="34"/>
    <x v="2954"/>
    <x v="0"/>
  </r>
  <r>
    <n v="53001"/>
    <x v="47"/>
    <s v="Adams"/>
    <n v="140"/>
    <n v="32"/>
    <n v="15"/>
    <n v="18"/>
    <n v="36"/>
    <n v="39"/>
    <n v="45"/>
    <n v="33"/>
    <n v="62"/>
    <n v="125"/>
    <n v="15"/>
    <x v="2955"/>
    <x v="0"/>
  </r>
  <r>
    <n v="53003"/>
    <x v="47"/>
    <s v="Asotin"/>
    <n v="610"/>
    <n v="150"/>
    <n v="68"/>
    <n v="87"/>
    <n v="163"/>
    <n v="142"/>
    <n v="130"/>
    <n v="189"/>
    <n v="291"/>
    <n v="559"/>
    <n v="51"/>
    <x v="2956"/>
    <x v="0"/>
  </r>
  <r>
    <n v="53005"/>
    <x v="47"/>
    <s v="Benton"/>
    <n v="4160"/>
    <n v="1063"/>
    <n v="526"/>
    <n v="540"/>
    <n v="1156"/>
    <n v="875"/>
    <n v="1334"/>
    <n v="1257"/>
    <n v="1569"/>
    <n v="3783"/>
    <n v="375"/>
    <x v="2957"/>
    <x v="0"/>
  </r>
  <r>
    <n v="53007"/>
    <x v="47"/>
    <s v="Chelan"/>
    <n v="1264"/>
    <n v="324"/>
    <n v="174"/>
    <n v="132"/>
    <n v="337"/>
    <n v="297"/>
    <n v="295"/>
    <n v="298"/>
    <n v="671"/>
    <n v="1171"/>
    <n v="93"/>
    <x v="2958"/>
    <x v="0"/>
  </r>
  <r>
    <n v="53009"/>
    <x v="47"/>
    <s v="Clallam"/>
    <n v="2332"/>
    <n v="611"/>
    <n v="296"/>
    <n v="295"/>
    <n v="615"/>
    <n v="515"/>
    <n v="368"/>
    <n v="629"/>
    <n v="1335"/>
    <n v="2079"/>
    <n v="253"/>
    <x v="2959"/>
    <x v="0"/>
  </r>
  <r>
    <n v="53011"/>
    <x v="47"/>
    <s v="Clark"/>
    <n v="10476"/>
    <n v="2377"/>
    <n v="1416"/>
    <n v="1441"/>
    <n v="3085"/>
    <n v="2157"/>
    <n v="3212"/>
    <n v="3439"/>
    <n v="3825"/>
    <n v="9183"/>
    <n v="1293"/>
    <x v="2960"/>
    <x v="0"/>
  </r>
  <r>
    <n v="53013"/>
    <x v="47"/>
    <s v="Columbia"/>
    <n v="130"/>
    <n v="22"/>
    <n v="17"/>
    <n v="24"/>
    <n v="38"/>
    <n v="29"/>
    <n v="17"/>
    <n v="47"/>
    <n v="66"/>
    <n v="118"/>
    <n v="12"/>
    <x v="2961"/>
    <x v="0"/>
  </r>
  <r>
    <n v="53015"/>
    <x v="47"/>
    <s v="Cowlitz"/>
    <n v="2681"/>
    <n v="550"/>
    <n v="358"/>
    <n v="423"/>
    <n v="810"/>
    <n v="540"/>
    <n v="728"/>
    <n v="768"/>
    <n v="1185"/>
    <n v="2426"/>
    <n v="254"/>
    <x v="2962"/>
    <x v="0"/>
  </r>
  <r>
    <n v="53017"/>
    <x v="47"/>
    <s v="Douglas"/>
    <n v="685"/>
    <n v="174"/>
    <n v="92"/>
    <n v="76"/>
    <n v="193"/>
    <n v="150"/>
    <n v="155"/>
    <n v="175"/>
    <n v="355"/>
    <n v="633"/>
    <n v="51"/>
    <x v="2963"/>
    <x v="0"/>
  </r>
  <r>
    <n v="53019"/>
    <x v="47"/>
    <s v="Ferry"/>
    <n v="278"/>
    <n v="60"/>
    <n v="33"/>
    <n v="25"/>
    <n v="76"/>
    <n v="84"/>
    <n v="42"/>
    <n v="84"/>
    <n v="152"/>
    <n v="255"/>
    <n v="23"/>
    <x v="2964"/>
    <x v="0"/>
  </r>
  <r>
    <n v="53021"/>
    <x v="47"/>
    <s v="Franklin"/>
    <n v="1243"/>
    <n v="301"/>
    <n v="139"/>
    <n v="145"/>
    <n v="366"/>
    <n v="292"/>
    <n v="464"/>
    <n v="349"/>
    <n v="430"/>
    <n v="1127"/>
    <n v="116"/>
    <x v="2965"/>
    <x v="0"/>
  </r>
  <r>
    <n v="53023"/>
    <x v="47"/>
    <s v="Garfield"/>
    <n v="76"/>
    <n v="22"/>
    <m/>
    <m/>
    <n v="20"/>
    <n v="18"/>
    <n v="11"/>
    <n v="20"/>
    <n v="45"/>
    <m/>
    <m/>
    <x v="2966"/>
    <x v="0"/>
  </r>
  <r>
    <n v="53025"/>
    <x v="47"/>
    <s v="Grant"/>
    <n v="1449"/>
    <n v="394"/>
    <n v="184"/>
    <n v="187"/>
    <n v="404"/>
    <n v="280"/>
    <n v="362"/>
    <n v="428"/>
    <n v="659"/>
    <n v="1327"/>
    <n v="122"/>
    <x v="2967"/>
    <x v="0"/>
  </r>
  <r>
    <n v="53027"/>
    <x v="47"/>
    <s v="Grays Harbor"/>
    <n v="1896"/>
    <n v="402"/>
    <n v="197"/>
    <n v="240"/>
    <n v="592"/>
    <n v="465"/>
    <n v="393"/>
    <n v="572"/>
    <n v="931"/>
    <n v="1691"/>
    <n v="204"/>
    <x v="2968"/>
    <x v="0"/>
  </r>
  <r>
    <n v="53029"/>
    <x v="47"/>
    <s v="Island"/>
    <n v="5387"/>
    <n v="914"/>
    <n v="685"/>
    <n v="726"/>
    <n v="1647"/>
    <n v="1415"/>
    <n v="1512"/>
    <n v="2110"/>
    <n v="1765"/>
    <n v="4486"/>
    <n v="899"/>
    <x v="2969"/>
    <x v="0"/>
  </r>
  <r>
    <n v="53031"/>
    <x v="47"/>
    <s v="Jefferson"/>
    <n v="933"/>
    <n v="221"/>
    <n v="124"/>
    <n v="135"/>
    <n v="258"/>
    <n v="195"/>
    <n v="134"/>
    <n v="225"/>
    <n v="574"/>
    <n v="825"/>
    <n v="107"/>
    <x v="2970"/>
    <x v="0"/>
  </r>
  <r>
    <n v="53033"/>
    <x v="47"/>
    <s v="King"/>
    <n v="21599"/>
    <n v="4999"/>
    <n v="2993"/>
    <n v="2855"/>
    <n v="6267"/>
    <n v="4485"/>
    <n v="8239"/>
    <n v="6457"/>
    <n v="6903"/>
    <n v="18856"/>
    <n v="2738"/>
    <x v="2971"/>
    <x v="0"/>
  </r>
  <r>
    <n v="53035"/>
    <x v="47"/>
    <s v="Kitsap"/>
    <n v="15341"/>
    <n v="3106"/>
    <n v="2092"/>
    <n v="2267"/>
    <n v="4607"/>
    <n v="3269"/>
    <n v="4550"/>
    <n v="6160"/>
    <n v="4631"/>
    <n v="13334"/>
    <n v="2004"/>
    <x v="2972"/>
    <x v="0"/>
  </r>
  <r>
    <n v="53037"/>
    <x v="47"/>
    <s v="Kittitas"/>
    <n v="798"/>
    <n v="176"/>
    <n v="95"/>
    <n v="107"/>
    <n v="247"/>
    <n v="173"/>
    <n v="240"/>
    <n v="216"/>
    <n v="342"/>
    <n v="735"/>
    <n v="63"/>
    <x v="2973"/>
    <x v="0"/>
  </r>
  <r>
    <n v="53039"/>
    <x v="47"/>
    <s v="Klickitat"/>
    <n v="757"/>
    <n v="257"/>
    <n v="108"/>
    <n v="89"/>
    <n v="174"/>
    <n v="129"/>
    <n v="113"/>
    <n v="222"/>
    <n v="422"/>
    <n v="688"/>
    <n v="69"/>
    <x v="2974"/>
    <x v="0"/>
  </r>
  <r>
    <n v="53041"/>
    <x v="47"/>
    <s v="Lewis"/>
    <n v="2347"/>
    <n v="435"/>
    <n v="242"/>
    <n v="283"/>
    <n v="789"/>
    <n v="598"/>
    <n v="633"/>
    <n v="707"/>
    <n v="1007"/>
    <n v="2109"/>
    <n v="238"/>
    <x v="2975"/>
    <x v="0"/>
  </r>
  <r>
    <n v="53043"/>
    <x v="47"/>
    <s v="Lincoln"/>
    <n v="414"/>
    <n v="113"/>
    <n v="51"/>
    <n v="46"/>
    <n v="121"/>
    <n v="83"/>
    <n v="73"/>
    <n v="138"/>
    <n v="203"/>
    <n v="374"/>
    <n v="40"/>
    <x v="2976"/>
    <x v="0"/>
  </r>
  <r>
    <n v="53045"/>
    <x v="47"/>
    <s v="Mason"/>
    <n v="2654"/>
    <n v="592"/>
    <n v="325"/>
    <n v="348"/>
    <n v="804"/>
    <n v="585"/>
    <n v="615"/>
    <n v="908"/>
    <n v="1131"/>
    <n v="2352"/>
    <n v="302"/>
    <x v="2977"/>
    <x v="0"/>
  </r>
  <r>
    <n v="53047"/>
    <x v="47"/>
    <s v="Okanogan"/>
    <n v="1001"/>
    <n v="237"/>
    <n v="115"/>
    <n v="111"/>
    <n v="296"/>
    <n v="242"/>
    <n v="172"/>
    <n v="287"/>
    <n v="542"/>
    <n v="927"/>
    <n v="74"/>
    <x v="2978"/>
    <x v="0"/>
  </r>
  <r>
    <n v="53049"/>
    <x v="47"/>
    <s v="Pacific"/>
    <n v="590"/>
    <n v="136"/>
    <n v="67"/>
    <n v="73"/>
    <n v="177"/>
    <n v="137"/>
    <n v="100"/>
    <n v="166"/>
    <n v="324"/>
    <n v="532"/>
    <n v="58"/>
    <x v="2979"/>
    <x v="0"/>
  </r>
  <r>
    <n v="53051"/>
    <x v="47"/>
    <s v="Pend Oreille"/>
    <n v="512"/>
    <n v="117"/>
    <n v="61"/>
    <n v="59"/>
    <n v="150"/>
    <n v="125"/>
    <n v="89"/>
    <n v="164"/>
    <n v="259"/>
    <n v="451"/>
    <n v="61"/>
    <x v="2980"/>
    <x v="0"/>
  </r>
  <r>
    <n v="53053"/>
    <x v="47"/>
    <s v="Pierce"/>
    <n v="35747"/>
    <n v="6227"/>
    <n v="4213"/>
    <n v="4262"/>
    <n v="10841"/>
    <n v="10204"/>
    <n v="11920"/>
    <n v="12693"/>
    <n v="11134"/>
    <n v="30338"/>
    <n v="5406"/>
    <x v="2981"/>
    <x v="0"/>
  </r>
  <r>
    <n v="53055"/>
    <x v="47"/>
    <s v="San Juan"/>
    <n v="212"/>
    <n v="61"/>
    <n v="40"/>
    <n v="23"/>
    <n v="49"/>
    <n v="39"/>
    <n v="28"/>
    <n v="53"/>
    <n v="131"/>
    <n v="196"/>
    <n v="16"/>
    <x v="2982"/>
    <x v="0"/>
  </r>
  <r>
    <n v="53057"/>
    <x v="47"/>
    <s v="Skagit"/>
    <n v="3044"/>
    <n v="657"/>
    <n v="448"/>
    <n v="404"/>
    <n v="905"/>
    <n v="630"/>
    <n v="811"/>
    <n v="1000"/>
    <n v="1233"/>
    <n v="2696"/>
    <n v="348"/>
    <x v="2983"/>
    <x v="0"/>
  </r>
  <r>
    <n v="53059"/>
    <x v="47"/>
    <s v="Skamania"/>
    <n v="314"/>
    <n v="68"/>
    <n v="48"/>
    <n v="41"/>
    <n v="77"/>
    <n v="80"/>
    <n v="80"/>
    <n v="91"/>
    <n v="143"/>
    <n v="273"/>
    <n v="41"/>
    <x v="2984"/>
    <x v="0"/>
  </r>
  <r>
    <n v="53061"/>
    <x v="47"/>
    <s v="Snohomish"/>
    <n v="12801"/>
    <n v="2906"/>
    <n v="1708"/>
    <n v="1769"/>
    <n v="3835"/>
    <n v="2583"/>
    <n v="4493"/>
    <n v="4338"/>
    <n v="3970"/>
    <n v="11281"/>
    <n v="1516"/>
    <x v="2985"/>
    <x v="0"/>
  </r>
  <r>
    <n v="53063"/>
    <x v="47"/>
    <s v="Spokane"/>
    <n v="15426"/>
    <n v="3403"/>
    <n v="1894"/>
    <n v="2054"/>
    <n v="4318"/>
    <n v="3757"/>
    <n v="4112"/>
    <n v="5291"/>
    <n v="6023"/>
    <n v="13509"/>
    <n v="1916"/>
    <x v="2986"/>
    <x v="0"/>
  </r>
  <r>
    <n v="53065"/>
    <x v="47"/>
    <s v="Stevens"/>
    <n v="1934"/>
    <n v="393"/>
    <n v="180"/>
    <n v="226"/>
    <n v="576"/>
    <n v="559"/>
    <n v="359"/>
    <n v="598"/>
    <n v="977"/>
    <n v="1737"/>
    <n v="196"/>
    <x v="2987"/>
    <x v="0"/>
  </r>
  <r>
    <n v="53067"/>
    <x v="47"/>
    <s v="Thurston"/>
    <n v="15129"/>
    <n v="2256"/>
    <n v="1542"/>
    <n v="1715"/>
    <n v="4651"/>
    <n v="4965"/>
    <n v="5094"/>
    <n v="5645"/>
    <n v="4390"/>
    <n v="12713"/>
    <n v="2414"/>
    <x v="2988"/>
    <x v="0"/>
  </r>
  <r>
    <n v="53069"/>
    <x v="47"/>
    <s v="Wahkiakum"/>
    <n v="147"/>
    <n v="37"/>
    <n v="24"/>
    <n v="19"/>
    <n v="40"/>
    <n v="27"/>
    <n v="32"/>
    <n v="40"/>
    <n v="75"/>
    <n v="128"/>
    <n v="19"/>
    <x v="2989"/>
    <x v="0"/>
  </r>
  <r>
    <n v="53071"/>
    <x v="47"/>
    <s v="Walla Walla"/>
    <n v="1344"/>
    <n v="332"/>
    <n v="143"/>
    <n v="163"/>
    <n v="389"/>
    <n v="317"/>
    <n v="302"/>
    <n v="426"/>
    <n v="616"/>
    <n v="1195"/>
    <n v="148"/>
    <x v="2990"/>
    <x v="0"/>
  </r>
  <r>
    <n v="53073"/>
    <x v="47"/>
    <s v="Whatcom"/>
    <n v="3646"/>
    <n v="876"/>
    <n v="464"/>
    <n v="485"/>
    <n v="1036"/>
    <n v="785"/>
    <n v="1062"/>
    <n v="1030"/>
    <n v="1554"/>
    <n v="3259"/>
    <n v="386"/>
    <x v="2991"/>
    <x v="0"/>
  </r>
  <r>
    <n v="53075"/>
    <x v="47"/>
    <s v="Whitman"/>
    <n v="669"/>
    <n v="163"/>
    <n v="74"/>
    <n v="78"/>
    <n v="204"/>
    <n v="150"/>
    <n v="242"/>
    <n v="194"/>
    <n v="233"/>
    <n v="586"/>
    <n v="82"/>
    <x v="2992"/>
    <x v="0"/>
  </r>
  <r>
    <n v="53077"/>
    <x v="47"/>
    <s v="Yakima"/>
    <n v="3076"/>
    <n v="688"/>
    <n v="310"/>
    <n v="413"/>
    <n v="917"/>
    <n v="748"/>
    <n v="797"/>
    <n v="837"/>
    <n v="1442"/>
    <n v="2818"/>
    <n v="258"/>
    <x v="2993"/>
    <x v="0"/>
  </r>
  <r>
    <n v="54001"/>
    <x v="48"/>
    <s v="Barbour"/>
    <n v="380"/>
    <n v="80"/>
    <n v="41"/>
    <n v="45"/>
    <n v="121"/>
    <n v="93"/>
    <n v="62"/>
    <n v="142"/>
    <n v="176"/>
    <n v="350"/>
    <n v="30"/>
    <x v="2994"/>
    <x v="0"/>
  </r>
  <r>
    <n v="54003"/>
    <x v="48"/>
    <s v="Berkeley"/>
    <n v="4350"/>
    <n v="749"/>
    <n v="446"/>
    <n v="509"/>
    <n v="1413"/>
    <n v="1233"/>
    <n v="1304"/>
    <n v="1642"/>
    <n v="1404"/>
    <n v="3777"/>
    <n v="572"/>
    <x v="2995"/>
    <x v="0"/>
  </r>
  <r>
    <n v="54005"/>
    <x v="48"/>
    <s v="Boone"/>
    <n v="406"/>
    <n v="66"/>
    <n v="46"/>
    <n v="48"/>
    <n v="134"/>
    <n v="112"/>
    <n v="60"/>
    <n v="118"/>
    <n v="228"/>
    <n v="395"/>
    <n v="11"/>
    <x v="2996"/>
    <x v="0"/>
  </r>
  <r>
    <n v="54007"/>
    <x v="48"/>
    <s v="Braxton"/>
    <n v="414"/>
    <n v="94"/>
    <n v="35"/>
    <n v="47"/>
    <n v="108"/>
    <n v="130"/>
    <n v="62"/>
    <n v="140"/>
    <n v="212"/>
    <n v="383"/>
    <n v="31"/>
    <x v="2997"/>
    <x v="0"/>
  </r>
  <r>
    <n v="54009"/>
    <x v="48"/>
    <s v="Brooke"/>
    <n v="385"/>
    <n v="90"/>
    <n v="49"/>
    <n v="48"/>
    <n v="101"/>
    <n v="97"/>
    <n v="63"/>
    <n v="128"/>
    <n v="194"/>
    <n v="355"/>
    <n v="30"/>
    <x v="2998"/>
    <x v="0"/>
  </r>
  <r>
    <n v="54011"/>
    <x v="48"/>
    <s v="Cabell"/>
    <n v="1875"/>
    <n v="380"/>
    <n v="187"/>
    <n v="233"/>
    <n v="585"/>
    <n v="490"/>
    <n v="427"/>
    <n v="661"/>
    <n v="787"/>
    <n v="1723"/>
    <n v="151"/>
    <x v="2999"/>
    <x v="0"/>
  </r>
  <r>
    <n v="54013"/>
    <x v="48"/>
    <s v="Calhoun"/>
    <n v="155"/>
    <n v="20"/>
    <n v="11"/>
    <n v="20"/>
    <n v="57"/>
    <n v="47"/>
    <n v="23"/>
    <n v="55"/>
    <n v="77"/>
    <n v="139"/>
    <n v="16"/>
    <x v="3000"/>
    <x v="0"/>
  </r>
  <r>
    <n v="54015"/>
    <x v="48"/>
    <s v="Clay"/>
    <n v="208"/>
    <n v="42"/>
    <n v="18"/>
    <n v="21"/>
    <n v="66"/>
    <n v="61"/>
    <n v="36"/>
    <n v="76"/>
    <n v="96"/>
    <n v="198"/>
    <n v="10"/>
    <x v="3001"/>
    <x v="0"/>
  </r>
  <r>
    <n v="54017"/>
    <x v="48"/>
    <s v="Doddridge"/>
    <n v="206"/>
    <n v="35"/>
    <n v="22"/>
    <n v="25"/>
    <n v="58"/>
    <n v="66"/>
    <n v="33"/>
    <n v="76"/>
    <n v="97"/>
    <n v="190"/>
    <n v="16"/>
    <x v="3002"/>
    <x v="0"/>
  </r>
  <r>
    <n v="54019"/>
    <x v="48"/>
    <s v="Fayette"/>
    <n v="1232"/>
    <n v="284"/>
    <n v="112"/>
    <n v="118"/>
    <n v="405"/>
    <n v="313"/>
    <n v="165"/>
    <n v="381"/>
    <n v="686"/>
    <n v="1154"/>
    <n v="78"/>
    <x v="3003"/>
    <x v="0"/>
  </r>
  <r>
    <n v="54021"/>
    <x v="48"/>
    <s v="Gilmer"/>
    <n v="162"/>
    <n v="29"/>
    <n v="16"/>
    <n v="15"/>
    <n v="53"/>
    <n v="49"/>
    <n v="28"/>
    <n v="57"/>
    <n v="77"/>
    <m/>
    <m/>
    <x v="3004"/>
    <x v="0"/>
  </r>
  <r>
    <n v="54023"/>
    <x v="48"/>
    <s v="Grant"/>
    <n v="212"/>
    <n v="34"/>
    <n v="24"/>
    <n v="33"/>
    <n v="57"/>
    <n v="64"/>
    <n v="40"/>
    <n v="71"/>
    <n v="101"/>
    <n v="197"/>
    <n v="15"/>
    <x v="3005"/>
    <x v="0"/>
  </r>
  <r>
    <n v="54025"/>
    <x v="48"/>
    <s v="Greenbrier"/>
    <n v="1057"/>
    <n v="258"/>
    <n v="113"/>
    <n v="156"/>
    <n v="277"/>
    <n v="253"/>
    <n v="152"/>
    <n v="327"/>
    <n v="578"/>
    <n v="976"/>
    <n v="81"/>
    <x v="3006"/>
    <x v="0"/>
  </r>
  <r>
    <n v="54027"/>
    <x v="48"/>
    <s v="Hampshire"/>
    <n v="568"/>
    <n v="90"/>
    <n v="59"/>
    <n v="71"/>
    <n v="190"/>
    <n v="158"/>
    <n v="139"/>
    <n v="183"/>
    <n v="246"/>
    <n v="516"/>
    <n v="52"/>
    <x v="3007"/>
    <x v="0"/>
  </r>
  <r>
    <n v="54029"/>
    <x v="48"/>
    <s v="Hancock"/>
    <n v="509"/>
    <n v="140"/>
    <n v="67"/>
    <n v="69"/>
    <n v="134"/>
    <n v="99"/>
    <n v="103"/>
    <n v="175"/>
    <n v="231"/>
    <n v="473"/>
    <n v="36"/>
    <x v="3008"/>
    <x v="0"/>
  </r>
  <r>
    <n v="54031"/>
    <x v="48"/>
    <s v="Hardy"/>
    <n v="294"/>
    <n v="46"/>
    <n v="36"/>
    <n v="33"/>
    <n v="90"/>
    <n v="89"/>
    <n v="53"/>
    <n v="95"/>
    <n v="146"/>
    <n v="267"/>
    <n v="27"/>
    <x v="3009"/>
    <x v="0"/>
  </r>
  <r>
    <n v="54033"/>
    <x v="48"/>
    <s v="Harrison"/>
    <n v="1835"/>
    <n v="379"/>
    <n v="176"/>
    <n v="213"/>
    <n v="589"/>
    <n v="478"/>
    <n v="400"/>
    <n v="661"/>
    <n v="774"/>
    <n v="1683"/>
    <n v="152"/>
    <x v="3010"/>
    <x v="0"/>
  </r>
  <r>
    <n v="54035"/>
    <x v="48"/>
    <s v="Jackson"/>
    <n v="657"/>
    <n v="120"/>
    <n v="56"/>
    <n v="75"/>
    <n v="227"/>
    <n v="179"/>
    <n v="125"/>
    <n v="224"/>
    <n v="308"/>
    <n v="609"/>
    <n v="48"/>
    <x v="3011"/>
    <x v="0"/>
  </r>
  <r>
    <n v="54037"/>
    <x v="48"/>
    <s v="Jefferson"/>
    <n v="1959"/>
    <n v="311"/>
    <n v="228"/>
    <n v="250"/>
    <n v="587"/>
    <n v="583"/>
    <n v="650"/>
    <n v="795"/>
    <n v="514"/>
    <n v="1691"/>
    <n v="268"/>
    <x v="3012"/>
    <x v="0"/>
  </r>
  <r>
    <n v="54039"/>
    <x v="48"/>
    <s v="Kanawha"/>
    <n v="3478"/>
    <n v="755"/>
    <n v="373"/>
    <n v="405"/>
    <n v="1019"/>
    <n v="926"/>
    <n v="708"/>
    <n v="1150"/>
    <n v="1620"/>
    <n v="3231"/>
    <n v="246"/>
    <x v="3013"/>
    <x v="0"/>
  </r>
  <r>
    <n v="54041"/>
    <x v="48"/>
    <s v="Lewis"/>
    <n v="396"/>
    <n v="85"/>
    <n v="39"/>
    <n v="43"/>
    <n v="130"/>
    <n v="99"/>
    <n v="70"/>
    <n v="133"/>
    <n v="193"/>
    <n v="372"/>
    <n v="24"/>
    <x v="3014"/>
    <x v="0"/>
  </r>
  <r>
    <n v="54043"/>
    <x v="48"/>
    <s v="Lincoln"/>
    <n v="370"/>
    <n v="73"/>
    <n v="35"/>
    <n v="43"/>
    <n v="127"/>
    <n v="92"/>
    <n v="70"/>
    <n v="115"/>
    <n v="185"/>
    <n v="348"/>
    <n v="22"/>
    <x v="3015"/>
    <x v="0"/>
  </r>
  <r>
    <n v="54045"/>
    <x v="48"/>
    <s v="Logan"/>
    <n v="545"/>
    <n v="103"/>
    <n v="36"/>
    <n v="63"/>
    <n v="185"/>
    <n v="158"/>
    <n v="70"/>
    <n v="159"/>
    <n v="316"/>
    <n v="525"/>
    <n v="20"/>
    <x v="3016"/>
    <x v="0"/>
  </r>
  <r>
    <n v="54047"/>
    <x v="48"/>
    <s v="McDowell"/>
    <n v="285"/>
    <n v="52"/>
    <n v="22"/>
    <n v="26"/>
    <n v="106"/>
    <n v="79"/>
    <n v="21"/>
    <n v="83"/>
    <n v="181"/>
    <m/>
    <m/>
    <x v="3017"/>
    <x v="0"/>
  </r>
  <r>
    <n v="54049"/>
    <x v="48"/>
    <s v="Marion"/>
    <n v="1290"/>
    <n v="230"/>
    <n v="166"/>
    <n v="161"/>
    <n v="381"/>
    <n v="352"/>
    <n v="258"/>
    <n v="451"/>
    <n v="581"/>
    <n v="1184"/>
    <n v="106"/>
    <x v="3018"/>
    <x v="0"/>
  </r>
  <r>
    <n v="54051"/>
    <x v="48"/>
    <s v="Marshall"/>
    <n v="543"/>
    <n v="161"/>
    <n v="71"/>
    <n v="68"/>
    <n v="149"/>
    <n v="94"/>
    <n v="97"/>
    <n v="175"/>
    <n v="271"/>
    <n v="518"/>
    <n v="25"/>
    <x v="3019"/>
    <x v="0"/>
  </r>
  <r>
    <n v="54053"/>
    <x v="48"/>
    <s v="Mason"/>
    <n v="545"/>
    <n v="96"/>
    <n v="77"/>
    <n v="62"/>
    <n v="182"/>
    <n v="128"/>
    <n v="112"/>
    <n v="182"/>
    <n v="251"/>
    <n v="506"/>
    <n v="39"/>
    <x v="3020"/>
    <x v="0"/>
  </r>
  <r>
    <n v="54055"/>
    <x v="48"/>
    <s v="Mercer"/>
    <n v="1734"/>
    <n v="361"/>
    <n v="161"/>
    <n v="158"/>
    <n v="562"/>
    <n v="492"/>
    <n v="280"/>
    <n v="505"/>
    <n v="949"/>
    <n v="1630"/>
    <n v="104"/>
    <x v="3021"/>
    <x v="0"/>
  </r>
  <r>
    <n v="54057"/>
    <x v="48"/>
    <s v="Mineral"/>
    <n v="643"/>
    <n v="120"/>
    <n v="71"/>
    <n v="87"/>
    <n v="184"/>
    <n v="181"/>
    <n v="138"/>
    <n v="215"/>
    <n v="290"/>
    <n v="597"/>
    <n v="46"/>
    <x v="3022"/>
    <x v="0"/>
  </r>
  <r>
    <n v="54059"/>
    <x v="48"/>
    <s v="Mingo"/>
    <n v="341"/>
    <n v="48"/>
    <n v="35"/>
    <n v="33"/>
    <n v="117"/>
    <n v="108"/>
    <n v="47"/>
    <n v="100"/>
    <n v="194"/>
    <n v="331"/>
    <n v="10"/>
    <x v="3023"/>
    <x v="0"/>
  </r>
  <r>
    <n v="54061"/>
    <x v="48"/>
    <s v="Monongalia"/>
    <n v="1486"/>
    <n v="263"/>
    <n v="165"/>
    <n v="170"/>
    <n v="507"/>
    <n v="381"/>
    <n v="550"/>
    <n v="444"/>
    <n v="492"/>
    <n v="1359"/>
    <n v="127"/>
    <x v="3024"/>
    <x v="0"/>
  </r>
  <r>
    <n v="54063"/>
    <x v="48"/>
    <s v="Monroe"/>
    <n v="434"/>
    <n v="91"/>
    <n v="45"/>
    <n v="55"/>
    <n v="135"/>
    <n v="108"/>
    <n v="70"/>
    <n v="128"/>
    <n v="236"/>
    <n v="405"/>
    <n v="28"/>
    <x v="3025"/>
    <x v="0"/>
  </r>
  <r>
    <n v="54065"/>
    <x v="48"/>
    <s v="Morgan"/>
    <n v="531"/>
    <n v="106"/>
    <n v="45"/>
    <n v="69"/>
    <n v="159"/>
    <n v="152"/>
    <n v="122"/>
    <n v="191"/>
    <n v="218"/>
    <n v="482"/>
    <n v="49"/>
    <x v="3026"/>
    <x v="0"/>
  </r>
  <r>
    <n v="54067"/>
    <x v="48"/>
    <s v="Nicholas"/>
    <n v="851"/>
    <n v="176"/>
    <n v="102"/>
    <n v="87"/>
    <n v="270"/>
    <n v="216"/>
    <n v="136"/>
    <n v="250"/>
    <n v="465"/>
    <n v="798"/>
    <n v="53"/>
    <x v="3027"/>
    <x v="0"/>
  </r>
  <r>
    <n v="54069"/>
    <x v="48"/>
    <s v="Ohio"/>
    <n v="655"/>
    <n v="187"/>
    <n v="88"/>
    <n v="78"/>
    <n v="173"/>
    <n v="129"/>
    <n v="121"/>
    <n v="215"/>
    <n v="319"/>
    <n v="613"/>
    <n v="42"/>
    <x v="3028"/>
    <x v="0"/>
  </r>
  <r>
    <n v="54071"/>
    <x v="48"/>
    <s v="Pendleton"/>
    <n v="155"/>
    <n v="32"/>
    <n v="14"/>
    <n v="22"/>
    <n v="42"/>
    <n v="45"/>
    <n v="31"/>
    <n v="51"/>
    <n v="73"/>
    <n v="136"/>
    <n v="19"/>
    <x v="3029"/>
    <x v="0"/>
  </r>
  <r>
    <n v="54073"/>
    <x v="48"/>
    <s v="Pleasants"/>
    <n v="149"/>
    <n v="28"/>
    <m/>
    <m/>
    <n v="43"/>
    <n v="44"/>
    <n v="26"/>
    <n v="54"/>
    <n v="69"/>
    <n v="139"/>
    <n v="10"/>
    <x v="3030"/>
    <x v="0"/>
  </r>
  <r>
    <n v="54075"/>
    <x v="48"/>
    <s v="Pocahontas"/>
    <n v="224"/>
    <n v="49"/>
    <n v="37"/>
    <n v="34"/>
    <n v="55"/>
    <n v="49"/>
    <n v="24"/>
    <n v="61"/>
    <n v="139"/>
    <n v="209"/>
    <n v="15"/>
    <x v="3031"/>
    <x v="0"/>
  </r>
  <r>
    <n v="54077"/>
    <x v="48"/>
    <s v="Preston"/>
    <n v="787"/>
    <n v="134"/>
    <n v="80"/>
    <n v="97"/>
    <n v="263"/>
    <n v="213"/>
    <n v="156"/>
    <n v="292"/>
    <n v="339"/>
    <n v="726"/>
    <n v="61"/>
    <x v="3032"/>
    <x v="0"/>
  </r>
  <r>
    <n v="54079"/>
    <x v="48"/>
    <s v="Putnam"/>
    <n v="1319"/>
    <n v="240"/>
    <n v="130"/>
    <n v="156"/>
    <n v="397"/>
    <n v="396"/>
    <n v="303"/>
    <n v="486"/>
    <n v="530"/>
    <n v="1213"/>
    <n v="106"/>
    <x v="3033"/>
    <x v="0"/>
  </r>
  <r>
    <n v="54081"/>
    <x v="48"/>
    <s v="Raleigh"/>
    <n v="2516"/>
    <n v="516"/>
    <n v="234"/>
    <n v="251"/>
    <n v="801"/>
    <n v="714"/>
    <n v="428"/>
    <n v="857"/>
    <n v="1231"/>
    <n v="2362"/>
    <n v="154"/>
    <x v="3034"/>
    <x v="0"/>
  </r>
  <r>
    <n v="54083"/>
    <x v="48"/>
    <s v="Randolph"/>
    <n v="609"/>
    <n v="117"/>
    <n v="62"/>
    <n v="61"/>
    <n v="198"/>
    <n v="171"/>
    <n v="102"/>
    <n v="207"/>
    <n v="300"/>
    <n v="563"/>
    <n v="46"/>
    <x v="3035"/>
    <x v="0"/>
  </r>
  <r>
    <n v="54085"/>
    <x v="48"/>
    <s v="Ritchie"/>
    <n v="252"/>
    <n v="43"/>
    <n v="23"/>
    <n v="15"/>
    <n v="81"/>
    <n v="90"/>
    <n v="41"/>
    <n v="101"/>
    <n v="110"/>
    <n v="236"/>
    <n v="16"/>
    <x v="3036"/>
    <x v="0"/>
  </r>
  <r>
    <n v="54087"/>
    <x v="48"/>
    <s v="Roane"/>
    <n v="337"/>
    <n v="62"/>
    <n v="27"/>
    <n v="41"/>
    <n v="117"/>
    <n v="90"/>
    <n v="56"/>
    <n v="117"/>
    <n v="164"/>
    <n v="307"/>
    <n v="30"/>
    <x v="3037"/>
    <x v="0"/>
  </r>
  <r>
    <n v="54089"/>
    <x v="48"/>
    <s v="Summers"/>
    <n v="427"/>
    <n v="95"/>
    <n v="32"/>
    <n v="54"/>
    <n v="120"/>
    <n v="126"/>
    <n v="47"/>
    <n v="137"/>
    <n v="243"/>
    <n v="405"/>
    <n v="22"/>
    <x v="3038"/>
    <x v="0"/>
  </r>
  <r>
    <n v="54091"/>
    <x v="48"/>
    <s v="Taylor"/>
    <n v="445"/>
    <n v="78"/>
    <n v="46"/>
    <n v="49"/>
    <n v="160"/>
    <n v="112"/>
    <n v="92"/>
    <n v="160"/>
    <n v="193"/>
    <n v="394"/>
    <n v="51"/>
    <x v="3039"/>
    <x v="0"/>
  </r>
  <r>
    <n v="54093"/>
    <x v="48"/>
    <s v="Tucker"/>
    <n v="157"/>
    <n v="38"/>
    <n v="13"/>
    <n v="20"/>
    <n v="47"/>
    <n v="39"/>
    <n v="20"/>
    <n v="60"/>
    <n v="77"/>
    <n v="147"/>
    <n v="10"/>
    <x v="3040"/>
    <x v="0"/>
  </r>
  <r>
    <n v="54095"/>
    <x v="48"/>
    <s v="Tyler"/>
    <n v="176"/>
    <n v="35"/>
    <n v="12"/>
    <n v="16"/>
    <n v="64"/>
    <n v="49"/>
    <n v="36"/>
    <n v="58"/>
    <n v="82"/>
    <m/>
    <m/>
    <x v="3041"/>
    <x v="0"/>
  </r>
  <r>
    <n v="54097"/>
    <x v="48"/>
    <s v="Upshur"/>
    <n v="602"/>
    <n v="139"/>
    <n v="50"/>
    <n v="80"/>
    <n v="176"/>
    <n v="157"/>
    <n v="82"/>
    <n v="207"/>
    <n v="313"/>
    <n v="559"/>
    <n v="43"/>
    <x v="3042"/>
    <x v="0"/>
  </r>
  <r>
    <n v="54099"/>
    <x v="48"/>
    <s v="Wayne"/>
    <n v="932"/>
    <n v="184"/>
    <n v="93"/>
    <n v="119"/>
    <n v="285"/>
    <n v="251"/>
    <n v="176"/>
    <n v="313"/>
    <n v="443"/>
    <n v="874"/>
    <n v="58"/>
    <x v="3043"/>
    <x v="0"/>
  </r>
  <r>
    <n v="54101"/>
    <x v="48"/>
    <s v="Webster"/>
    <n v="216"/>
    <n v="50"/>
    <n v="23"/>
    <n v="23"/>
    <n v="68"/>
    <n v="52"/>
    <n v="24"/>
    <n v="50"/>
    <n v="142"/>
    <m/>
    <m/>
    <x v="3044"/>
    <x v="0"/>
  </r>
  <r>
    <n v="54103"/>
    <x v="48"/>
    <s v="Wetzel"/>
    <n v="295"/>
    <n v="69"/>
    <n v="31"/>
    <n v="31"/>
    <n v="92"/>
    <n v="72"/>
    <n v="35"/>
    <n v="96"/>
    <n v="164"/>
    <n v="274"/>
    <n v="21"/>
    <x v="3045"/>
    <x v="0"/>
  </r>
  <r>
    <n v="54105"/>
    <x v="48"/>
    <s v="Wirt"/>
    <n v="149"/>
    <n v="31"/>
    <n v="21"/>
    <n v="12"/>
    <n v="48"/>
    <n v="37"/>
    <n v="23"/>
    <n v="60"/>
    <n v="66"/>
    <n v="139"/>
    <n v="10"/>
    <x v="3046"/>
    <x v="0"/>
  </r>
  <r>
    <n v="54107"/>
    <x v="48"/>
    <s v="Wood"/>
    <n v="1920"/>
    <n v="400"/>
    <n v="176"/>
    <n v="203"/>
    <n v="632"/>
    <n v="509"/>
    <n v="449"/>
    <n v="665"/>
    <n v="806"/>
    <n v="1764"/>
    <n v="156"/>
    <x v="3047"/>
    <x v="0"/>
  </r>
  <r>
    <n v="54109"/>
    <x v="48"/>
    <s v="Wyoming"/>
    <n v="396"/>
    <n v="79"/>
    <n v="48"/>
    <n v="36"/>
    <n v="122"/>
    <n v="111"/>
    <n v="39"/>
    <n v="117"/>
    <n v="240"/>
    <n v="380"/>
    <n v="16"/>
    <x v="3048"/>
    <x v="0"/>
  </r>
  <r>
    <n v="55001"/>
    <x v="49"/>
    <s v="Adams"/>
    <n v="669"/>
    <n v="166"/>
    <n v="72"/>
    <n v="94"/>
    <n v="166"/>
    <n v="171"/>
    <n v="100"/>
    <n v="179"/>
    <n v="390"/>
    <n v="624"/>
    <n v="45"/>
    <x v="3049"/>
    <x v="0"/>
  </r>
  <r>
    <n v="55003"/>
    <x v="49"/>
    <s v="Ashland"/>
    <n v="349"/>
    <n v="100"/>
    <n v="41"/>
    <n v="43"/>
    <n v="84"/>
    <n v="81"/>
    <n v="78"/>
    <n v="103"/>
    <n v="168"/>
    <n v="321"/>
    <n v="28"/>
    <x v="3050"/>
    <x v="0"/>
  </r>
  <r>
    <n v="55005"/>
    <x v="49"/>
    <s v="Barron"/>
    <n v="1093"/>
    <n v="376"/>
    <n v="126"/>
    <n v="149"/>
    <n v="259"/>
    <n v="183"/>
    <n v="210"/>
    <n v="276"/>
    <n v="607"/>
    <n v="999"/>
    <n v="92"/>
    <x v="3051"/>
    <x v="0"/>
  </r>
  <r>
    <n v="55007"/>
    <x v="49"/>
    <s v="Bayfield"/>
    <n v="530"/>
    <n v="172"/>
    <n v="62"/>
    <n v="54"/>
    <n v="128"/>
    <n v="114"/>
    <n v="68"/>
    <n v="127"/>
    <n v="335"/>
    <n v="495"/>
    <n v="35"/>
    <x v="3052"/>
    <x v="0"/>
  </r>
  <r>
    <n v="55009"/>
    <x v="49"/>
    <s v="Brown"/>
    <n v="4325"/>
    <n v="1008"/>
    <n v="619"/>
    <n v="586"/>
    <n v="1275"/>
    <n v="837"/>
    <n v="1339"/>
    <n v="1262"/>
    <n v="1724"/>
    <n v="3852"/>
    <n v="473"/>
    <x v="3053"/>
    <x v="0"/>
  </r>
  <r>
    <n v="55011"/>
    <x v="49"/>
    <s v="Buffalo"/>
    <n v="374"/>
    <n v="101"/>
    <n v="40"/>
    <n v="37"/>
    <n v="96"/>
    <n v="100"/>
    <n v="63"/>
    <n v="92"/>
    <n v="219"/>
    <n v="344"/>
    <n v="30"/>
    <x v="3054"/>
    <x v="0"/>
  </r>
  <r>
    <n v="55013"/>
    <x v="49"/>
    <s v="Burnett"/>
    <n v="662"/>
    <n v="221"/>
    <n v="70"/>
    <n v="87"/>
    <n v="158"/>
    <n v="126"/>
    <n v="78"/>
    <n v="161"/>
    <n v="423"/>
    <n v="621"/>
    <n v="40"/>
    <x v="3055"/>
    <x v="0"/>
  </r>
  <r>
    <n v="55015"/>
    <x v="49"/>
    <s v="Calumet"/>
    <n v="799"/>
    <n v="185"/>
    <n v="110"/>
    <n v="119"/>
    <n v="218"/>
    <n v="167"/>
    <n v="254"/>
    <n v="246"/>
    <n v="299"/>
    <n v="690"/>
    <n v="109"/>
    <x v="3056"/>
    <x v="0"/>
  </r>
  <r>
    <n v="55017"/>
    <x v="49"/>
    <s v="Chippewa"/>
    <n v="1515"/>
    <n v="434"/>
    <n v="175"/>
    <n v="193"/>
    <n v="402"/>
    <n v="311"/>
    <n v="333"/>
    <n v="451"/>
    <n v="731"/>
    <n v="1406"/>
    <n v="106"/>
    <x v="3057"/>
    <x v="0"/>
  </r>
  <r>
    <n v="55019"/>
    <x v="49"/>
    <s v="Clark"/>
    <n v="542"/>
    <n v="175"/>
    <n v="79"/>
    <n v="63"/>
    <n v="122"/>
    <n v="103"/>
    <n v="96"/>
    <n v="128"/>
    <n v="318"/>
    <n v="499"/>
    <n v="43"/>
    <x v="3058"/>
    <x v="0"/>
  </r>
  <r>
    <n v="55021"/>
    <x v="49"/>
    <s v="Columbia"/>
    <n v="1202"/>
    <n v="348"/>
    <n v="145"/>
    <n v="157"/>
    <n v="307"/>
    <n v="245"/>
    <n v="308"/>
    <n v="361"/>
    <n v="533"/>
    <n v="1067"/>
    <n v="135"/>
    <x v="3059"/>
    <x v="0"/>
  </r>
  <r>
    <n v="55023"/>
    <x v="49"/>
    <s v="Crawford"/>
    <n v="342"/>
    <n v="88"/>
    <n v="44"/>
    <n v="44"/>
    <n v="104"/>
    <n v="62"/>
    <n v="64"/>
    <n v="101"/>
    <n v="177"/>
    <n v="314"/>
    <n v="28"/>
    <x v="3060"/>
    <x v="0"/>
  </r>
  <r>
    <n v="55025"/>
    <x v="49"/>
    <s v="Dane"/>
    <n v="6131"/>
    <n v="1551"/>
    <n v="879"/>
    <n v="816"/>
    <n v="1587"/>
    <n v="1298"/>
    <n v="1898"/>
    <n v="1797"/>
    <n v="2436"/>
    <n v="5366"/>
    <n v="763"/>
    <x v="3061"/>
    <x v="0"/>
  </r>
  <r>
    <n v="55027"/>
    <x v="49"/>
    <s v="Dodge"/>
    <n v="1370"/>
    <n v="358"/>
    <n v="198"/>
    <n v="182"/>
    <n v="347"/>
    <n v="285"/>
    <n v="429"/>
    <n v="373"/>
    <n v="568"/>
    <n v="1226"/>
    <n v="144"/>
    <x v="3062"/>
    <x v="0"/>
  </r>
  <r>
    <n v="55029"/>
    <x v="49"/>
    <s v="Door"/>
    <n v="494"/>
    <n v="139"/>
    <n v="80"/>
    <n v="55"/>
    <n v="120"/>
    <n v="100"/>
    <n v="89"/>
    <n v="103"/>
    <n v="302"/>
    <n v="459"/>
    <n v="34"/>
    <x v="3063"/>
    <x v="0"/>
  </r>
  <r>
    <n v="55031"/>
    <x v="49"/>
    <s v="Douglas"/>
    <n v="1294"/>
    <n v="373"/>
    <n v="166"/>
    <n v="156"/>
    <n v="315"/>
    <n v="284"/>
    <n v="274"/>
    <n v="365"/>
    <n v="655"/>
    <n v="1182"/>
    <n v="110"/>
    <x v="3064"/>
    <x v="0"/>
  </r>
  <r>
    <n v="55033"/>
    <x v="49"/>
    <s v="Dunn"/>
    <n v="1014"/>
    <n v="284"/>
    <n v="131"/>
    <n v="130"/>
    <n v="265"/>
    <n v="204"/>
    <n v="243"/>
    <n v="284"/>
    <n v="487"/>
    <n v="929"/>
    <n v="84"/>
    <x v="3065"/>
    <x v="0"/>
  </r>
  <r>
    <n v="55035"/>
    <x v="49"/>
    <s v="Eau Claire"/>
    <n v="1760"/>
    <n v="464"/>
    <n v="232"/>
    <n v="236"/>
    <n v="460"/>
    <n v="368"/>
    <n v="464"/>
    <n v="496"/>
    <n v="800"/>
    <n v="1593"/>
    <n v="166"/>
    <x v="3066"/>
    <x v="0"/>
  </r>
  <r>
    <n v="55037"/>
    <x v="49"/>
    <s v="Florence"/>
    <n v="203"/>
    <n v="58"/>
    <n v="29"/>
    <n v="20"/>
    <n v="64"/>
    <n v="32"/>
    <n v="29"/>
    <n v="51"/>
    <n v="123"/>
    <n v="188"/>
    <n v="14"/>
    <x v="3067"/>
    <x v="0"/>
  </r>
  <r>
    <n v="55039"/>
    <x v="49"/>
    <s v="Fond Du Lac"/>
    <n v="1453"/>
    <n v="381"/>
    <n v="215"/>
    <n v="209"/>
    <n v="382"/>
    <n v="266"/>
    <n v="426"/>
    <n v="410"/>
    <n v="617"/>
    <n v="1292"/>
    <n v="160"/>
    <x v="3068"/>
    <x v="0"/>
  </r>
  <r>
    <n v="55041"/>
    <x v="49"/>
    <s v="Forest"/>
    <n v="313"/>
    <n v="86"/>
    <n v="38"/>
    <n v="30"/>
    <n v="95"/>
    <n v="64"/>
    <n v="39"/>
    <n v="92"/>
    <n v="182"/>
    <n v="293"/>
    <n v="20"/>
    <x v="3069"/>
    <x v="0"/>
  </r>
  <r>
    <n v="55043"/>
    <x v="49"/>
    <s v="Grant"/>
    <n v="883"/>
    <n v="256"/>
    <n v="147"/>
    <n v="129"/>
    <n v="226"/>
    <n v="125"/>
    <n v="200"/>
    <n v="219"/>
    <n v="464"/>
    <n v="803"/>
    <n v="80"/>
    <x v="3070"/>
    <x v="0"/>
  </r>
  <r>
    <n v="55045"/>
    <x v="49"/>
    <s v="Green"/>
    <n v="640"/>
    <n v="202"/>
    <n v="81"/>
    <n v="70"/>
    <n v="166"/>
    <n v="121"/>
    <n v="160"/>
    <n v="169"/>
    <n v="311"/>
    <n v="587"/>
    <n v="52"/>
    <x v="3071"/>
    <x v="0"/>
  </r>
  <r>
    <n v="55047"/>
    <x v="49"/>
    <s v="Green Lake"/>
    <n v="317"/>
    <n v="70"/>
    <n v="50"/>
    <n v="43"/>
    <n v="74"/>
    <n v="80"/>
    <n v="65"/>
    <n v="87"/>
    <n v="165"/>
    <n v="284"/>
    <n v="33"/>
    <x v="3072"/>
    <x v="0"/>
  </r>
  <r>
    <n v="55049"/>
    <x v="49"/>
    <s v="Iowa"/>
    <n v="313"/>
    <n v="73"/>
    <n v="58"/>
    <n v="37"/>
    <n v="80"/>
    <n v="65"/>
    <n v="91"/>
    <n v="82"/>
    <n v="140"/>
    <n v="287"/>
    <n v="26"/>
    <x v="3073"/>
    <x v="0"/>
  </r>
  <r>
    <n v="55051"/>
    <x v="49"/>
    <s v="Iron"/>
    <n v="156"/>
    <n v="37"/>
    <n v="25"/>
    <n v="24"/>
    <n v="39"/>
    <n v="31"/>
    <n v="20"/>
    <n v="44"/>
    <n v="92"/>
    <n v="145"/>
    <n v="11"/>
    <x v="3074"/>
    <x v="0"/>
  </r>
  <r>
    <n v="55053"/>
    <x v="49"/>
    <s v="Jackson"/>
    <n v="652"/>
    <n v="175"/>
    <n v="74"/>
    <n v="85"/>
    <n v="180"/>
    <n v="138"/>
    <n v="122"/>
    <n v="227"/>
    <n v="303"/>
    <n v="582"/>
    <n v="70"/>
    <x v="3075"/>
    <x v="0"/>
  </r>
  <r>
    <n v="55055"/>
    <x v="49"/>
    <s v="Jefferson"/>
    <n v="1424"/>
    <n v="377"/>
    <n v="212"/>
    <n v="194"/>
    <n v="399"/>
    <n v="242"/>
    <n v="393"/>
    <n v="427"/>
    <n v="604"/>
    <n v="1283"/>
    <n v="141"/>
    <x v="3076"/>
    <x v="0"/>
  </r>
  <r>
    <n v="55057"/>
    <x v="49"/>
    <s v="Juneau"/>
    <n v="711"/>
    <n v="169"/>
    <n v="93"/>
    <n v="117"/>
    <n v="189"/>
    <n v="143"/>
    <n v="175"/>
    <n v="240"/>
    <n v="296"/>
    <n v="631"/>
    <n v="80"/>
    <x v="3077"/>
    <x v="0"/>
  </r>
  <r>
    <n v="55059"/>
    <x v="49"/>
    <s v="Kenosha"/>
    <n v="2926"/>
    <n v="545"/>
    <n v="341"/>
    <n v="379"/>
    <n v="905"/>
    <n v="756"/>
    <n v="882"/>
    <n v="1070"/>
    <n v="974"/>
    <n v="2561"/>
    <n v="365"/>
    <x v="3078"/>
    <x v="0"/>
  </r>
  <r>
    <n v="55061"/>
    <x v="49"/>
    <s v="Kewaunee"/>
    <n v="390"/>
    <n v="113"/>
    <n v="43"/>
    <n v="50"/>
    <n v="113"/>
    <n v="71"/>
    <n v="102"/>
    <n v="109"/>
    <n v="179"/>
    <n v="356"/>
    <n v="34"/>
    <x v="3079"/>
    <x v="0"/>
  </r>
  <r>
    <n v="55063"/>
    <x v="49"/>
    <s v="La Crosse"/>
    <n v="2624"/>
    <n v="735"/>
    <n v="374"/>
    <n v="346"/>
    <n v="695"/>
    <n v="474"/>
    <n v="660"/>
    <n v="732"/>
    <n v="1232"/>
    <n v="2363"/>
    <n v="260"/>
    <x v="3080"/>
    <x v="0"/>
  </r>
  <r>
    <n v="55065"/>
    <x v="49"/>
    <s v="Lafayette"/>
    <n v="229"/>
    <n v="69"/>
    <n v="28"/>
    <n v="33"/>
    <n v="57"/>
    <n v="42"/>
    <n v="54"/>
    <n v="60"/>
    <n v="115"/>
    <n v="209"/>
    <n v="20"/>
    <x v="3081"/>
    <x v="0"/>
  </r>
  <r>
    <n v="55067"/>
    <x v="49"/>
    <s v="Langlade"/>
    <n v="532"/>
    <n v="129"/>
    <n v="81"/>
    <n v="71"/>
    <n v="144"/>
    <n v="107"/>
    <n v="93"/>
    <n v="122"/>
    <n v="317"/>
    <n v="496"/>
    <n v="36"/>
    <x v="3082"/>
    <x v="0"/>
  </r>
  <r>
    <n v="55069"/>
    <x v="49"/>
    <s v="Lincoln"/>
    <n v="702"/>
    <n v="160"/>
    <n v="86"/>
    <n v="92"/>
    <n v="180"/>
    <n v="184"/>
    <n v="124"/>
    <n v="222"/>
    <n v="356"/>
    <n v="644"/>
    <n v="58"/>
    <x v="3083"/>
    <x v="0"/>
  </r>
  <r>
    <n v="55071"/>
    <x v="49"/>
    <s v="Manitowoc"/>
    <n v="1373"/>
    <n v="318"/>
    <n v="235"/>
    <n v="187"/>
    <n v="380"/>
    <n v="253"/>
    <n v="398"/>
    <n v="388"/>
    <n v="587"/>
    <n v="1212"/>
    <n v="161"/>
    <x v="3084"/>
    <x v="0"/>
  </r>
  <r>
    <n v="55073"/>
    <x v="49"/>
    <s v="Marathon"/>
    <n v="2222"/>
    <n v="571"/>
    <n v="323"/>
    <n v="303"/>
    <n v="588"/>
    <n v="437"/>
    <n v="628"/>
    <n v="641"/>
    <n v="953"/>
    <n v="2008"/>
    <n v="214"/>
    <x v="3085"/>
    <x v="0"/>
  </r>
  <r>
    <n v="55075"/>
    <x v="49"/>
    <s v="Marinette"/>
    <n v="1329"/>
    <n v="298"/>
    <n v="162"/>
    <n v="182"/>
    <n v="399"/>
    <n v="288"/>
    <n v="259"/>
    <n v="403"/>
    <n v="667"/>
    <n v="1211"/>
    <n v="118"/>
    <x v="3086"/>
    <x v="0"/>
  </r>
  <r>
    <n v="55077"/>
    <x v="49"/>
    <s v="Marquette"/>
    <n v="440"/>
    <n v="112"/>
    <n v="66"/>
    <n v="61"/>
    <n v="115"/>
    <n v="86"/>
    <n v="74"/>
    <n v="139"/>
    <n v="227"/>
    <n v="401"/>
    <n v="39"/>
    <x v="3087"/>
    <x v="0"/>
  </r>
  <r>
    <n v="55078"/>
    <x v="49"/>
    <s v="Menominee"/>
    <n v="49"/>
    <n v="12"/>
    <m/>
    <m/>
    <n v="15"/>
    <m/>
    <n v="18"/>
    <n v="13"/>
    <n v="18"/>
    <m/>
    <m/>
    <x v="3088"/>
    <x v="0"/>
  </r>
  <r>
    <n v="55079"/>
    <x v="49"/>
    <s v="Milwaukee"/>
    <n v="9457"/>
    <n v="2060"/>
    <n v="1219"/>
    <n v="1203"/>
    <n v="2933"/>
    <n v="2042"/>
    <n v="2873"/>
    <n v="2818"/>
    <n v="3766"/>
    <n v="8180"/>
    <n v="1276"/>
    <x v="3089"/>
    <x v="0"/>
  </r>
  <r>
    <n v="55081"/>
    <x v="49"/>
    <s v="Monroe"/>
    <n v="2378"/>
    <n v="537"/>
    <n v="271"/>
    <n v="296"/>
    <n v="671"/>
    <n v="603"/>
    <n v="506"/>
    <n v="927"/>
    <n v="945"/>
    <n v="2084"/>
    <n v="294"/>
    <x v="3090"/>
    <x v="0"/>
  </r>
  <r>
    <n v="55083"/>
    <x v="49"/>
    <s v="Oconto"/>
    <n v="1061"/>
    <n v="268"/>
    <n v="152"/>
    <n v="146"/>
    <n v="296"/>
    <n v="199"/>
    <n v="237"/>
    <n v="269"/>
    <n v="555"/>
    <n v="969"/>
    <n v="92"/>
    <x v="3091"/>
    <x v="0"/>
  </r>
  <r>
    <n v="55085"/>
    <x v="49"/>
    <s v="Oneida"/>
    <n v="933"/>
    <n v="184"/>
    <n v="102"/>
    <n v="128"/>
    <n v="282"/>
    <n v="237"/>
    <n v="186"/>
    <n v="266"/>
    <n v="481"/>
    <n v="848"/>
    <n v="84"/>
    <x v="3092"/>
    <x v="0"/>
  </r>
  <r>
    <n v="55087"/>
    <x v="49"/>
    <s v="Outagamie"/>
    <n v="3063"/>
    <n v="740"/>
    <n v="453"/>
    <n v="415"/>
    <n v="865"/>
    <n v="590"/>
    <n v="1017"/>
    <n v="912"/>
    <n v="1134"/>
    <n v="2765"/>
    <n v="298"/>
    <x v="3093"/>
    <x v="0"/>
  </r>
  <r>
    <n v="55089"/>
    <x v="49"/>
    <s v="Ozaukee"/>
    <n v="1080"/>
    <n v="268"/>
    <n v="138"/>
    <n v="136"/>
    <n v="303"/>
    <n v="235"/>
    <n v="314"/>
    <n v="307"/>
    <n v="459"/>
    <n v="964"/>
    <n v="116"/>
    <x v="3094"/>
    <x v="0"/>
  </r>
  <r>
    <n v="55091"/>
    <x v="49"/>
    <s v="Pepin"/>
    <n v="179"/>
    <n v="60"/>
    <n v="19"/>
    <n v="27"/>
    <n v="47"/>
    <n v="26"/>
    <n v="27"/>
    <n v="46"/>
    <n v="106"/>
    <n v="161"/>
    <n v="18"/>
    <x v="3095"/>
    <x v="0"/>
  </r>
  <r>
    <n v="55093"/>
    <x v="49"/>
    <s v="Pierce"/>
    <n v="854"/>
    <n v="280"/>
    <n v="131"/>
    <n v="99"/>
    <n v="224"/>
    <n v="120"/>
    <n v="210"/>
    <n v="236"/>
    <n v="408"/>
    <n v="766"/>
    <n v="87"/>
    <x v="3096"/>
    <x v="0"/>
  </r>
  <r>
    <n v="55095"/>
    <x v="49"/>
    <s v="Polk"/>
    <n v="1217"/>
    <n v="435"/>
    <n v="187"/>
    <n v="135"/>
    <n v="259"/>
    <n v="201"/>
    <n v="238"/>
    <n v="299"/>
    <n v="680"/>
    <n v="1120"/>
    <n v="97"/>
    <x v="3097"/>
    <x v="0"/>
  </r>
  <r>
    <n v="55097"/>
    <x v="49"/>
    <s v="Portage"/>
    <n v="1352"/>
    <n v="452"/>
    <n v="171"/>
    <n v="159"/>
    <n v="348"/>
    <n v="222"/>
    <n v="327"/>
    <n v="369"/>
    <n v="656"/>
    <n v="1241"/>
    <n v="111"/>
    <x v="3098"/>
    <x v="0"/>
  </r>
  <r>
    <n v="55099"/>
    <x v="49"/>
    <s v="Price"/>
    <n v="486"/>
    <n v="153"/>
    <n v="58"/>
    <n v="65"/>
    <n v="116"/>
    <n v="94"/>
    <n v="67"/>
    <n v="162"/>
    <n v="257"/>
    <n v="451"/>
    <n v="35"/>
    <x v="3099"/>
    <x v="0"/>
  </r>
  <r>
    <n v="55101"/>
    <x v="49"/>
    <s v="Racine"/>
    <n v="3190"/>
    <n v="752"/>
    <n v="406"/>
    <n v="430"/>
    <n v="970"/>
    <n v="632"/>
    <n v="926"/>
    <n v="996"/>
    <n v="1268"/>
    <n v="2844"/>
    <n v="345"/>
    <x v="3100"/>
    <x v="0"/>
  </r>
  <r>
    <n v="55103"/>
    <x v="49"/>
    <s v="Richland"/>
    <n v="310"/>
    <n v="89"/>
    <n v="35"/>
    <n v="38"/>
    <n v="78"/>
    <n v="70"/>
    <n v="72"/>
    <n v="77"/>
    <n v="161"/>
    <n v="269"/>
    <n v="41"/>
    <x v="3101"/>
    <x v="0"/>
  </r>
  <r>
    <n v="55105"/>
    <x v="49"/>
    <s v="Rock"/>
    <n v="2710"/>
    <n v="675"/>
    <n v="366"/>
    <n v="383"/>
    <n v="756"/>
    <n v="530"/>
    <n v="750"/>
    <n v="773"/>
    <n v="1187"/>
    <n v="2447"/>
    <n v="263"/>
    <x v="3102"/>
    <x v="0"/>
  </r>
  <r>
    <n v="55107"/>
    <x v="49"/>
    <s v="Rusk"/>
    <n v="462"/>
    <n v="186"/>
    <n v="60"/>
    <n v="50"/>
    <n v="96"/>
    <n v="70"/>
    <n v="60"/>
    <n v="122"/>
    <n v="280"/>
    <n v="428"/>
    <n v="32"/>
    <x v="3103"/>
    <x v="0"/>
  </r>
  <r>
    <n v="55109"/>
    <x v="49"/>
    <s v="St. Croix"/>
    <n v="2189"/>
    <n v="688"/>
    <n v="302"/>
    <n v="295"/>
    <n v="511"/>
    <n v="393"/>
    <n v="593"/>
    <n v="642"/>
    <n v="954"/>
    <n v="1999"/>
    <n v="187"/>
    <x v="3104"/>
    <x v="0"/>
  </r>
  <r>
    <n v="55111"/>
    <x v="49"/>
    <s v="Sauk"/>
    <n v="1461"/>
    <n v="427"/>
    <n v="169"/>
    <n v="151"/>
    <n v="339"/>
    <n v="375"/>
    <n v="287"/>
    <n v="388"/>
    <n v="786"/>
    <n v="1324"/>
    <n v="137"/>
    <x v="3105"/>
    <x v="0"/>
  </r>
  <r>
    <n v="55113"/>
    <x v="49"/>
    <s v="Sawyer"/>
    <n v="542"/>
    <n v="182"/>
    <n v="67"/>
    <n v="77"/>
    <n v="123"/>
    <n v="93"/>
    <n v="81"/>
    <n v="119"/>
    <n v="342"/>
    <n v="503"/>
    <n v="39"/>
    <x v="3106"/>
    <x v="0"/>
  </r>
  <r>
    <n v="55115"/>
    <x v="49"/>
    <s v="Shawano"/>
    <n v="789"/>
    <n v="185"/>
    <n v="94"/>
    <n v="123"/>
    <n v="243"/>
    <n v="144"/>
    <n v="175"/>
    <n v="223"/>
    <n v="391"/>
    <n v="708"/>
    <n v="81"/>
    <x v="3107"/>
    <x v="0"/>
  </r>
  <r>
    <n v="55117"/>
    <x v="49"/>
    <s v="Sheboygan"/>
    <n v="1453"/>
    <n v="360"/>
    <n v="204"/>
    <n v="194"/>
    <n v="418"/>
    <n v="277"/>
    <n v="438"/>
    <n v="398"/>
    <n v="617"/>
    <n v="1302"/>
    <n v="150"/>
    <x v="3108"/>
    <x v="0"/>
  </r>
  <r>
    <n v="55119"/>
    <x v="49"/>
    <s v="Taylor"/>
    <n v="381"/>
    <n v="117"/>
    <n v="46"/>
    <n v="54"/>
    <n v="98"/>
    <n v="66"/>
    <n v="63"/>
    <n v="105"/>
    <n v="213"/>
    <n v="356"/>
    <n v="25"/>
    <x v="3109"/>
    <x v="0"/>
  </r>
  <r>
    <n v="55121"/>
    <x v="49"/>
    <s v="Trempealeau"/>
    <n v="576"/>
    <n v="180"/>
    <n v="75"/>
    <n v="80"/>
    <n v="135"/>
    <n v="106"/>
    <n v="116"/>
    <n v="157"/>
    <n v="303"/>
    <n v="540"/>
    <n v="36"/>
    <x v="3110"/>
    <x v="0"/>
  </r>
  <r>
    <n v="55123"/>
    <x v="49"/>
    <s v="Vernon"/>
    <n v="654"/>
    <n v="159"/>
    <n v="94"/>
    <n v="91"/>
    <n v="157"/>
    <n v="153"/>
    <n v="105"/>
    <n v="200"/>
    <n v="349"/>
    <n v="615"/>
    <n v="38"/>
    <x v="3111"/>
    <x v="0"/>
  </r>
  <r>
    <n v="55125"/>
    <x v="49"/>
    <s v="Vilas"/>
    <n v="744"/>
    <n v="180"/>
    <n v="86"/>
    <n v="92"/>
    <n v="203"/>
    <n v="183"/>
    <n v="100"/>
    <n v="182"/>
    <n v="462"/>
    <n v="677"/>
    <n v="67"/>
    <x v="3112"/>
    <x v="0"/>
  </r>
  <r>
    <n v="55127"/>
    <x v="49"/>
    <s v="Walworth"/>
    <n v="1428"/>
    <n v="372"/>
    <n v="197"/>
    <n v="194"/>
    <n v="393"/>
    <n v="272"/>
    <n v="419"/>
    <n v="373"/>
    <n v="636"/>
    <n v="1302"/>
    <n v="126"/>
    <x v="3113"/>
    <x v="0"/>
  </r>
  <r>
    <n v="55129"/>
    <x v="49"/>
    <s v="Washburn"/>
    <n v="606"/>
    <n v="194"/>
    <n v="72"/>
    <n v="71"/>
    <n v="137"/>
    <n v="132"/>
    <n v="82"/>
    <n v="164"/>
    <n v="360"/>
    <n v="561"/>
    <n v="44"/>
    <x v="3114"/>
    <x v="0"/>
  </r>
  <r>
    <n v="55131"/>
    <x v="49"/>
    <s v="Washington"/>
    <n v="1945"/>
    <n v="433"/>
    <n v="285"/>
    <n v="259"/>
    <n v="548"/>
    <n v="420"/>
    <n v="634"/>
    <n v="547"/>
    <n v="764"/>
    <n v="1707"/>
    <n v="236"/>
    <x v="3115"/>
    <x v="0"/>
  </r>
  <r>
    <n v="55133"/>
    <x v="49"/>
    <s v="Waukesha"/>
    <n v="4881"/>
    <n v="1090"/>
    <n v="729"/>
    <n v="646"/>
    <n v="1392"/>
    <n v="1024"/>
    <n v="1507"/>
    <n v="1339"/>
    <n v="2035"/>
    <n v="4406"/>
    <n v="473"/>
    <x v="3116"/>
    <x v="0"/>
  </r>
  <r>
    <n v="55135"/>
    <x v="49"/>
    <s v="Waupaca"/>
    <n v="1237"/>
    <n v="288"/>
    <n v="149"/>
    <n v="156"/>
    <n v="359"/>
    <n v="285"/>
    <n v="260"/>
    <n v="338"/>
    <n v="639"/>
    <n v="1134"/>
    <n v="103"/>
    <x v="3117"/>
    <x v="0"/>
  </r>
  <r>
    <n v="55137"/>
    <x v="49"/>
    <s v="Waushara"/>
    <n v="692"/>
    <n v="203"/>
    <n v="93"/>
    <n v="105"/>
    <n v="155"/>
    <n v="136"/>
    <n v="109"/>
    <n v="184"/>
    <n v="399"/>
    <n v="635"/>
    <n v="57"/>
    <x v="3118"/>
    <x v="0"/>
  </r>
  <r>
    <n v="55139"/>
    <x v="49"/>
    <s v="Winnebago"/>
    <n v="3000"/>
    <n v="731"/>
    <n v="410"/>
    <n v="399"/>
    <n v="872"/>
    <n v="588"/>
    <n v="980"/>
    <n v="906"/>
    <n v="1114"/>
    <n v="2699"/>
    <n v="301"/>
    <x v="3119"/>
    <x v="0"/>
  </r>
  <r>
    <n v="55141"/>
    <x v="49"/>
    <s v="Wood"/>
    <n v="1548"/>
    <n v="435"/>
    <n v="215"/>
    <n v="221"/>
    <n v="389"/>
    <n v="288"/>
    <n v="350"/>
    <n v="418"/>
    <n v="780"/>
    <n v="1423"/>
    <n v="125"/>
    <x v="3120"/>
    <x v="0"/>
  </r>
  <r>
    <n v="56001"/>
    <x v="50"/>
    <s v="Albany"/>
    <n v="842"/>
    <n v="229"/>
    <n v="110"/>
    <n v="100"/>
    <n v="208"/>
    <n v="195"/>
    <n v="321"/>
    <n v="241"/>
    <n v="280"/>
    <n v="753"/>
    <n v="89"/>
    <x v="3121"/>
    <x v="0"/>
  </r>
  <r>
    <n v="56003"/>
    <x v="50"/>
    <s v="Big Horn"/>
    <n v="287"/>
    <n v="80"/>
    <n v="32"/>
    <n v="27"/>
    <n v="80"/>
    <n v="68"/>
    <n v="49"/>
    <n v="105"/>
    <n v="133"/>
    <n v="262"/>
    <n v="25"/>
    <x v="3122"/>
    <x v="0"/>
  </r>
  <r>
    <n v="56005"/>
    <x v="50"/>
    <s v="Campbell"/>
    <n v="1037"/>
    <n v="229"/>
    <n v="128"/>
    <n v="151"/>
    <n v="326"/>
    <n v="203"/>
    <n v="327"/>
    <n v="362"/>
    <n v="348"/>
    <n v="939"/>
    <n v="98"/>
    <x v="3123"/>
    <x v="0"/>
  </r>
  <r>
    <n v="56007"/>
    <x v="50"/>
    <s v="Carbon"/>
    <n v="353"/>
    <n v="94"/>
    <n v="53"/>
    <n v="47"/>
    <n v="87"/>
    <n v="72"/>
    <n v="89"/>
    <n v="101"/>
    <n v="163"/>
    <n v="324"/>
    <n v="29"/>
    <x v="3124"/>
    <x v="0"/>
  </r>
  <r>
    <n v="56009"/>
    <x v="50"/>
    <s v="Converse"/>
    <n v="352"/>
    <n v="85"/>
    <n v="46"/>
    <n v="63"/>
    <n v="86"/>
    <n v="72"/>
    <n v="85"/>
    <n v="99"/>
    <n v="168"/>
    <n v="332"/>
    <n v="20"/>
    <x v="3125"/>
    <x v="0"/>
  </r>
  <r>
    <n v="56011"/>
    <x v="50"/>
    <s v="Crook"/>
    <n v="236"/>
    <n v="59"/>
    <n v="33"/>
    <n v="41"/>
    <n v="53"/>
    <n v="50"/>
    <n v="46"/>
    <n v="72"/>
    <n v="118"/>
    <n v="206"/>
    <n v="30"/>
    <x v="3126"/>
    <x v="0"/>
  </r>
  <r>
    <n v="56013"/>
    <x v="50"/>
    <s v="Fremont"/>
    <n v="825"/>
    <n v="208"/>
    <n v="105"/>
    <n v="105"/>
    <n v="208"/>
    <n v="199"/>
    <n v="189"/>
    <n v="256"/>
    <n v="380"/>
    <n v="751"/>
    <n v="74"/>
    <x v="3127"/>
    <x v="0"/>
  </r>
  <r>
    <n v="56015"/>
    <x v="50"/>
    <s v="Goshen"/>
    <n v="384"/>
    <n v="103"/>
    <n v="57"/>
    <n v="43"/>
    <n v="90"/>
    <n v="91"/>
    <n v="78"/>
    <n v="113"/>
    <n v="193"/>
    <n v="351"/>
    <n v="33"/>
    <x v="3128"/>
    <x v="0"/>
  </r>
  <r>
    <n v="56017"/>
    <x v="50"/>
    <s v="Hot Springs"/>
    <n v="132"/>
    <n v="37"/>
    <n v="18"/>
    <n v="17"/>
    <n v="29"/>
    <n v="31"/>
    <n v="19"/>
    <n v="40"/>
    <n v="73"/>
    <n v="122"/>
    <n v="10"/>
    <x v="3129"/>
    <x v="0"/>
  </r>
  <r>
    <n v="56019"/>
    <x v="50"/>
    <s v="Johnson"/>
    <n v="255"/>
    <n v="58"/>
    <n v="34"/>
    <n v="32"/>
    <n v="69"/>
    <n v="62"/>
    <n v="43"/>
    <n v="78"/>
    <n v="134"/>
    <n v="231"/>
    <n v="24"/>
    <x v="3130"/>
    <x v="0"/>
  </r>
  <r>
    <n v="56021"/>
    <x v="50"/>
    <s v="Laramie"/>
    <n v="5769"/>
    <n v="1260"/>
    <n v="672"/>
    <n v="771"/>
    <n v="1647"/>
    <n v="1419"/>
    <n v="1556"/>
    <n v="2242"/>
    <n v="1971"/>
    <n v="4996"/>
    <n v="773"/>
    <x v="3131"/>
    <x v="0"/>
  </r>
  <r>
    <n v="56023"/>
    <x v="50"/>
    <s v="Lincoln"/>
    <n v="340"/>
    <n v="86"/>
    <n v="44"/>
    <n v="44"/>
    <n v="87"/>
    <n v="79"/>
    <n v="80"/>
    <n v="100"/>
    <n v="160"/>
    <n v="312"/>
    <n v="28"/>
    <x v="3132"/>
    <x v="0"/>
  </r>
  <r>
    <n v="56025"/>
    <x v="50"/>
    <s v="Natrona"/>
    <n v="1808"/>
    <n v="405"/>
    <n v="219"/>
    <n v="231"/>
    <n v="496"/>
    <n v="457"/>
    <n v="570"/>
    <n v="560"/>
    <n v="678"/>
    <n v="1642"/>
    <n v="166"/>
    <x v="3133"/>
    <x v="0"/>
  </r>
  <r>
    <n v="56027"/>
    <x v="50"/>
    <s v="Niobrara"/>
    <n v="53"/>
    <n v="12"/>
    <m/>
    <m/>
    <n v="13"/>
    <n v="16"/>
    <m/>
    <m/>
    <n v="30"/>
    <m/>
    <m/>
    <x v="3134"/>
    <x v="0"/>
  </r>
  <r>
    <n v="56029"/>
    <x v="50"/>
    <s v="Park"/>
    <n v="839"/>
    <n v="174"/>
    <n v="91"/>
    <n v="120"/>
    <n v="233"/>
    <n v="221"/>
    <n v="204"/>
    <n v="285"/>
    <n v="350"/>
    <n v="761"/>
    <n v="78"/>
    <x v="3135"/>
    <x v="0"/>
  </r>
  <r>
    <n v="56031"/>
    <x v="50"/>
    <s v="Platte"/>
    <n v="329"/>
    <n v="78"/>
    <n v="38"/>
    <n v="44"/>
    <n v="87"/>
    <n v="82"/>
    <n v="59"/>
    <n v="106"/>
    <n v="164"/>
    <n v="306"/>
    <n v="23"/>
    <x v="3136"/>
    <x v="0"/>
  </r>
  <r>
    <n v="56033"/>
    <x v="50"/>
    <s v="Sheridan"/>
    <n v="1138"/>
    <n v="251"/>
    <n v="131"/>
    <n v="122"/>
    <n v="340"/>
    <n v="294"/>
    <n v="280"/>
    <n v="393"/>
    <n v="465"/>
    <n v="1003"/>
    <n v="135"/>
    <x v="3137"/>
    <x v="0"/>
  </r>
  <r>
    <n v="56035"/>
    <x v="50"/>
    <s v="Sublette"/>
    <n v="225"/>
    <n v="65"/>
    <n v="25"/>
    <n v="26"/>
    <n v="60"/>
    <n v="49"/>
    <n v="53"/>
    <n v="74"/>
    <n v="98"/>
    <n v="204"/>
    <n v="21"/>
    <x v="3138"/>
    <x v="0"/>
  </r>
  <r>
    <n v="56037"/>
    <x v="50"/>
    <s v="Sweetwater"/>
    <n v="880"/>
    <n v="224"/>
    <n v="113"/>
    <n v="116"/>
    <n v="237"/>
    <n v="190"/>
    <n v="231"/>
    <n v="294"/>
    <n v="355"/>
    <n v="793"/>
    <n v="87"/>
    <x v="3139"/>
    <x v="0"/>
  </r>
  <r>
    <n v="56039"/>
    <x v="50"/>
    <s v="Teton"/>
    <n v="139"/>
    <n v="41"/>
    <n v="18"/>
    <n v="21"/>
    <n v="36"/>
    <n v="23"/>
    <n v="51"/>
    <n v="34"/>
    <n v="54"/>
    <n v="123"/>
    <n v="16"/>
    <x v="3140"/>
    <x v="0"/>
  </r>
  <r>
    <n v="56041"/>
    <x v="50"/>
    <s v="Uinta"/>
    <n v="360"/>
    <n v="84"/>
    <n v="49"/>
    <n v="48"/>
    <n v="109"/>
    <n v="70"/>
    <n v="94"/>
    <n v="108"/>
    <n v="158"/>
    <n v="326"/>
    <n v="34"/>
    <x v="3141"/>
    <x v="0"/>
  </r>
  <r>
    <n v="56043"/>
    <x v="50"/>
    <s v="Washakie"/>
    <n v="149"/>
    <n v="44"/>
    <n v="14"/>
    <n v="15"/>
    <n v="40"/>
    <n v="36"/>
    <n v="35"/>
    <n v="42"/>
    <n v="72"/>
    <n v="136"/>
    <n v="13"/>
    <x v="3142"/>
    <x v="0"/>
  </r>
  <r>
    <n v="56045"/>
    <x v="50"/>
    <s v="Weston"/>
    <n v="280"/>
    <n v="92"/>
    <n v="31"/>
    <n v="37"/>
    <n v="70"/>
    <n v="50"/>
    <n v="41"/>
    <n v="84"/>
    <n v="155"/>
    <n v="261"/>
    <n v="19"/>
    <x v="3143"/>
    <x v="0"/>
  </r>
  <r>
    <n v="72000"/>
    <x v="51"/>
    <s v="Puerto Rico all counties"/>
    <n v="36399"/>
    <n v="4167"/>
    <n v="2334"/>
    <n v="3129"/>
    <n v="11619"/>
    <n v="15150"/>
    <n v="8176"/>
    <n v="10893"/>
    <n v="17330"/>
    <n v="33612"/>
    <n v="2781"/>
    <x v="3144"/>
    <x v="1"/>
  </r>
  <r>
    <n v="88888"/>
    <x v="52"/>
    <s v="US Territories (excluding Puerto Rico)"/>
    <n v="7699"/>
    <n v="1208"/>
    <n v="711"/>
    <n v="844"/>
    <n v="2479"/>
    <n v="2457"/>
    <n v="2102"/>
    <n v="3206"/>
    <n v="2391"/>
    <n v="6629"/>
    <n v="1068"/>
    <x v="3145"/>
    <x v="0"/>
  </r>
  <r>
    <n v="0"/>
    <x v="53"/>
    <s v="Other Foreign Countries"/>
    <n v="38497"/>
    <n v="4250"/>
    <n v="3435"/>
    <n v="4080"/>
    <n v="12132"/>
    <n v="14600"/>
    <n v="13130"/>
    <n v="16929"/>
    <n v="8438"/>
    <n v="33822"/>
    <n v="4662"/>
    <x v="3146"/>
    <x v="1"/>
  </r>
  <r>
    <s v="Unknown"/>
    <x v="54"/>
    <s v="Unknown"/>
    <n v="229"/>
    <n v="150"/>
    <m/>
    <m/>
    <n v="23"/>
    <n v="27"/>
    <n v="21"/>
    <n v="31"/>
    <n v="177"/>
    <n v="213"/>
    <n v="14"/>
    <x v="314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66825-A412-42D2-8857-A296C58B02A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2:B38" firstHeaderRow="1" firstDataRow="1" firstDataCol="1" rowPageCount="1" colPageCount="1"/>
  <pivotFields count="16"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149">
        <item x="2318"/>
        <item x="1115"/>
        <item x="2822"/>
        <item x="553"/>
        <item x="791"/>
        <item x="995"/>
        <item x="1485"/>
        <item x="2133"/>
        <item x="245"/>
        <item x="554"/>
        <item x="597"/>
        <item x="699"/>
        <item x="792"/>
        <item x="1403"/>
        <item x="1656"/>
        <item x="1992"/>
        <item x="2045"/>
        <item x="2246"/>
        <item x="2955"/>
        <item x="3049"/>
        <item x="2808"/>
        <item x="2319"/>
        <item x="1316"/>
        <item x="322"/>
        <item x="1892"/>
        <item x="187"/>
        <item x="246"/>
        <item x="1830"/>
        <item x="3121"/>
        <item x="2823"/>
        <item x="1233"/>
        <item x="1404"/>
        <item x="67"/>
        <item x="68"/>
        <item x="598"/>
        <item x="1893"/>
        <item x="2917"/>
        <item x="2134"/>
        <item x="1234"/>
        <item x="793"/>
        <item x="1235"/>
        <item x="1195"/>
        <item x="1831"/>
        <item x="1894"/>
        <item x="2824"/>
        <item x="2247"/>
        <item x="700"/>
        <item x="890"/>
        <item x="996"/>
        <item x="1116"/>
        <item x="2046"/>
        <item x="2320"/>
        <item x="1236"/>
        <item x="188"/>
        <item x="189"/>
        <item x="2825"/>
        <item x="2826"/>
        <item x="1405"/>
        <item x="69"/>
        <item x="891"/>
        <item x="997"/>
        <item x="2321"/>
        <item x="2430"/>
        <item x="2525"/>
        <item x="1486"/>
        <item x="2526"/>
        <item x="1179"/>
        <item x="2527"/>
        <item x="1196"/>
        <item x="1317"/>
        <item x="1895"/>
        <item x="1657"/>
        <item x="1237"/>
        <item x="97"/>
        <item x="794"/>
        <item x="389"/>
        <item x="2827"/>
        <item x="2528"/>
        <item x="247"/>
        <item x="2529"/>
        <item x="248"/>
        <item x="1238"/>
        <item x="112"/>
        <item x="2828"/>
        <item x="2248"/>
        <item x="2530"/>
        <item x="1180"/>
        <item x="1658"/>
        <item x="1117"/>
        <item x="1896"/>
        <item x="2047"/>
        <item x="3050"/>
        <item x="113"/>
        <item x="2048"/>
        <item x="2956"/>
        <item x="1118"/>
        <item x="2531"/>
        <item x="892"/>
        <item x="1487"/>
        <item x="2049"/>
        <item x="390"/>
        <item x="1776"/>
        <item x="2135"/>
        <item x="1406"/>
        <item x="1488"/>
        <item x="795"/>
        <item x="2050"/>
        <item x="2829"/>
        <item x="2364"/>
        <item x="2532"/>
        <item x="0"/>
        <item x="1897"/>
        <item x="1119"/>
        <item x="249"/>
        <item x="391"/>
        <item x="2533"/>
        <item x="323"/>
        <item x="392"/>
        <item x="2210"/>
        <item x="1"/>
        <item x="393"/>
        <item x="998"/>
        <item x="1218"/>
        <item x="1197"/>
        <item x="2322"/>
        <item x="2534"/>
        <item x="394"/>
        <item x="1659"/>
        <item x="555"/>
        <item x="1239"/>
        <item x="893"/>
        <item x="2"/>
        <item x="2994"/>
        <item x="1993"/>
        <item x="1219"/>
        <item x="2323"/>
        <item x="999"/>
        <item x="3051"/>
        <item x="395"/>
        <item x="1240"/>
        <item x="1489"/>
        <item x="701"/>
        <item x="894"/>
        <item x="1490"/>
        <item x="396"/>
        <item x="2535"/>
        <item x="1491"/>
        <item x="1000"/>
        <item x="2830"/>
        <item x="114"/>
        <item x="324"/>
        <item x="1241"/>
        <item x="3052"/>
        <item x="2536"/>
        <item x="2365"/>
        <item x="556"/>
        <item x="1898"/>
        <item x="2324"/>
        <item x="1120"/>
        <item x="2136"/>
        <item x="2249"/>
        <item x="2779"/>
        <item x="1600"/>
        <item x="1318"/>
        <item x="2137"/>
        <item x="2250"/>
        <item x="2431"/>
        <item x="2831"/>
        <item x="2537"/>
        <item x="1766"/>
        <item x="1001"/>
        <item x="2538"/>
        <item x="2051"/>
        <item x="1319"/>
        <item x="397"/>
        <item x="557"/>
        <item x="2366"/>
        <item x="2809"/>
        <item x="1994"/>
        <item x="250"/>
        <item x="115"/>
        <item x="702"/>
        <item x="796"/>
        <item x="1320"/>
        <item x="1407"/>
        <item x="1492"/>
        <item x="2211"/>
        <item x="2432"/>
        <item x="2957"/>
        <item x="1242"/>
        <item x="1777"/>
        <item x="2325"/>
        <item x="2995"/>
        <item x="2251"/>
        <item x="1220"/>
        <item x="1797"/>
        <item x="398"/>
        <item x="1243"/>
        <item x="1899"/>
        <item x="70"/>
        <item x="2539"/>
        <item x="3"/>
        <item x="399"/>
        <item x="1121"/>
        <item x="1601"/>
        <item x="3122"/>
        <item x="1321"/>
        <item x="1995"/>
        <item x="558"/>
        <item x="797"/>
        <item x="703"/>
        <item x="1900"/>
        <item x="559"/>
        <item x="1602"/>
        <item x="1660"/>
        <item x="2138"/>
        <item x="2252"/>
        <item x="2540"/>
        <item x="2832"/>
        <item x="400"/>
        <item x="2433"/>
        <item x="4"/>
        <item x="2434"/>
        <item x="1322"/>
        <item x="560"/>
        <item x="1408"/>
        <item x="1493"/>
        <item x="2367"/>
        <item x="599"/>
        <item x="561"/>
        <item x="562"/>
        <item x="116"/>
        <item x="600"/>
        <item x="704"/>
        <item x="798"/>
        <item x="1002"/>
        <item x="1494"/>
        <item x="1661"/>
        <item x="2996"/>
        <item x="2541"/>
        <item x="2542"/>
        <item x="1122"/>
        <item x="2833"/>
        <item x="1996"/>
        <item x="251"/>
        <item x="563"/>
        <item x="895"/>
        <item x="1003"/>
        <item x="2543"/>
        <item x="1997"/>
        <item x="1662"/>
        <item x="2780"/>
        <item x="1004"/>
        <item x="1663"/>
        <item x="1005"/>
        <item x="1006"/>
        <item x="325"/>
        <item x="2253"/>
        <item x="117"/>
        <item x="2435"/>
        <item x="1244"/>
        <item x="401"/>
        <item x="2997"/>
        <item x="2544"/>
        <item x="2545"/>
        <item x="1007"/>
        <item x="1008"/>
        <item x="799"/>
        <item x="326"/>
        <item x="2546"/>
        <item x="2547"/>
        <item x="71"/>
        <item x="2918"/>
        <item x="1221"/>
        <item x="2313"/>
        <item x="1603"/>
        <item x="1832"/>
        <item x="2998"/>
        <item x="2368"/>
        <item x="402"/>
        <item x="2548"/>
        <item x="1833"/>
        <item x="252"/>
        <item x="327"/>
        <item x="601"/>
        <item x="705"/>
        <item x="896"/>
        <item x="1323"/>
        <item x="1664"/>
        <item x="2052"/>
        <item x="2369"/>
        <item x="2549"/>
        <item x="3053"/>
        <item x="2370"/>
        <item x="1901"/>
        <item x="2834"/>
        <item x="403"/>
        <item x="2139"/>
        <item x="800"/>
        <item x="1495"/>
        <item x="2835"/>
        <item x="2836"/>
        <item x="2254"/>
        <item x="2919"/>
        <item x="801"/>
        <item x="1665"/>
        <item x="2371"/>
        <item x="3054"/>
        <item x="1009"/>
        <item x="404"/>
        <item x="5"/>
        <item x="1902"/>
        <item x="602"/>
        <item x="405"/>
        <item x="1903"/>
        <item x="1998"/>
        <item x="1999"/>
        <item x="2550"/>
        <item x="1778"/>
        <item x="2551"/>
        <item x="3055"/>
        <item x="1666"/>
        <item x="6"/>
        <item x="802"/>
        <item x="897"/>
        <item x="1010"/>
        <item x="1496"/>
        <item x="1667"/>
        <item x="2053"/>
        <item x="2255"/>
        <item x="190"/>
        <item x="564"/>
        <item x="2372"/>
        <item x="406"/>
        <item x="1904"/>
        <item x="2999"/>
        <item x="2781"/>
        <item x="1123"/>
        <item x="2140"/>
        <item x="191"/>
        <item x="1124"/>
        <item x="1011"/>
        <item x="1125"/>
        <item x="1497"/>
        <item x="1905"/>
        <item x="2552"/>
        <item x="2810"/>
        <item x="7"/>
        <item x="118"/>
        <item x="328"/>
        <item x="407"/>
        <item x="603"/>
        <item x="803"/>
        <item x="1245"/>
        <item x="1409"/>
        <item x="2326"/>
        <item x="2553"/>
        <item x="3000"/>
        <item x="2554"/>
        <item x="1498"/>
        <item x="1012"/>
        <item x="3056"/>
        <item x="1198"/>
        <item x="565"/>
        <item x="2256"/>
        <item x="408"/>
        <item x="1499"/>
        <item x="1779"/>
        <item x="1906"/>
        <item x="1126"/>
        <item x="2257"/>
        <item x="2555"/>
        <item x="2556"/>
        <item x="1013"/>
        <item x="2373"/>
        <item x="2436"/>
        <item x="2837"/>
        <item x="3123"/>
        <item x="2141"/>
        <item x="409"/>
        <item x="2437"/>
        <item x="566"/>
        <item x="1500"/>
        <item x="1780"/>
        <item x="309"/>
        <item x="1604"/>
        <item x="2258"/>
        <item x="2782"/>
        <item x="3124"/>
        <item x="567"/>
        <item x="1014"/>
        <item x="1324"/>
        <item x="1199"/>
        <item x="2838"/>
        <item x="119"/>
        <item x="410"/>
        <item x="604"/>
        <item x="706"/>
        <item x="804"/>
        <item x="1015"/>
        <item x="1200"/>
        <item x="1410"/>
        <item x="1501"/>
        <item x="1767"/>
        <item x="2054"/>
        <item x="2438"/>
        <item x="2839"/>
        <item x="1765"/>
        <item x="2557"/>
        <item x="1016"/>
        <item x="1502"/>
        <item x="1605"/>
        <item x="2142"/>
        <item x="2439"/>
        <item x="1907"/>
        <item x="1325"/>
        <item x="1606"/>
        <item x="1017"/>
        <item x="605"/>
        <item x="707"/>
        <item x="805"/>
        <item x="1246"/>
        <item x="1326"/>
        <item x="1503"/>
        <item x="1668"/>
        <item x="2000"/>
        <item x="2558"/>
        <item x="568"/>
        <item x="2559"/>
        <item x="1908"/>
        <item x="1127"/>
        <item x="1909"/>
        <item x="411"/>
        <item x="1798"/>
        <item x="1834"/>
        <item x="2001"/>
        <item x="1835"/>
        <item x="1201"/>
        <item x="806"/>
        <item x="1504"/>
        <item x="1669"/>
        <item x="2259"/>
        <item x="807"/>
        <item x="253"/>
        <item x="8"/>
        <item x="2560"/>
        <item x="606"/>
        <item x="2055"/>
        <item x="1505"/>
        <item x="2840"/>
        <item x="2374"/>
        <item x="1202"/>
        <item x="2327"/>
        <item x="1247"/>
        <item x="329"/>
        <item x="2841"/>
        <item x="2920"/>
        <item x="412"/>
        <item x="898"/>
        <item x="1670"/>
        <item x="413"/>
        <item x="1910"/>
        <item x="414"/>
        <item x="415"/>
        <item x="899"/>
        <item x="1836"/>
        <item x="1799"/>
        <item x="2440"/>
        <item x="1248"/>
        <item x="2958"/>
        <item x="1837"/>
        <item x="1838"/>
        <item x="9"/>
        <item x="416"/>
        <item x="808"/>
        <item x="900"/>
        <item x="1911"/>
        <item x="2143"/>
        <item x="2328"/>
        <item x="2561"/>
        <item x="1671"/>
        <item x="2921"/>
        <item x="1768"/>
        <item x="2260"/>
        <item x="2329"/>
        <item x="2441"/>
        <item x="2330"/>
        <item x="2842"/>
        <item x="254"/>
        <item x="901"/>
        <item x="1672"/>
        <item x="809"/>
        <item x="1411"/>
        <item x="120"/>
        <item x="2562"/>
        <item x="10"/>
        <item x="1249"/>
        <item x="1327"/>
        <item x="3057"/>
        <item x="1328"/>
        <item x="2811"/>
        <item x="11"/>
        <item x="1412"/>
        <item x="2144"/>
        <item x="1607"/>
        <item x="1912"/>
        <item x="607"/>
        <item x="1018"/>
        <item x="1506"/>
        <item x="72"/>
        <item x="1749"/>
        <item x="1800"/>
        <item x="2145"/>
        <item x="330"/>
        <item x="2212"/>
        <item x="1128"/>
        <item x="1413"/>
        <item x="2442"/>
        <item x="2959"/>
        <item x="1250"/>
        <item x="2331"/>
        <item x="2261"/>
        <item x="121"/>
        <item x="569"/>
        <item x="608"/>
        <item x="708"/>
        <item x="902"/>
        <item x="1019"/>
        <item x="1507"/>
        <item x="1750"/>
        <item x="2056"/>
        <item x="2375"/>
        <item x="2960"/>
        <item x="3058"/>
        <item x="12"/>
        <item x="417"/>
        <item x="810"/>
        <item x="1414"/>
        <item x="2843"/>
        <item x="2213"/>
        <item x="13"/>
        <item x="122"/>
        <item x="331"/>
        <item x="418"/>
        <item x="609"/>
        <item x="709"/>
        <item x="811"/>
        <item x="903"/>
        <item x="1020"/>
        <item x="1329"/>
        <item x="1415"/>
        <item x="1508"/>
        <item x="1673"/>
        <item x="1913"/>
        <item x="2376"/>
        <item x="2443"/>
        <item x="2563"/>
        <item x="3001"/>
        <item x="419"/>
        <item x="812"/>
        <item x="255"/>
        <item x="2262"/>
        <item x="570"/>
        <item x="1330"/>
        <item x="14"/>
        <item x="123"/>
        <item x="2057"/>
        <item x="124"/>
        <item x="1914"/>
        <item x="2146"/>
        <item x="420"/>
        <item x="610"/>
        <item x="710"/>
        <item x="813"/>
        <item x="1021"/>
        <item x="1251"/>
        <item x="1509"/>
        <item x="1839"/>
        <item x="2058"/>
        <item x="2263"/>
        <item x="904"/>
        <item x="1416"/>
        <item x="2147"/>
        <item x="421"/>
        <item x="98"/>
        <item x="2564"/>
        <item x="2444"/>
        <item x="99"/>
        <item x="2377"/>
        <item x="15"/>
        <item x="422"/>
        <item x="2445"/>
        <item x="905"/>
        <item x="2565"/>
        <item x="16"/>
        <item x="1510"/>
        <item x="2566"/>
        <item x="611"/>
        <item x="1674"/>
        <item x="1801"/>
        <item x="2332"/>
        <item x="332"/>
        <item x="2567"/>
        <item x="2568"/>
        <item x="2922"/>
        <item x="2569"/>
        <item x="423"/>
        <item x="125"/>
        <item x="333"/>
        <item x="424"/>
        <item x="1840"/>
        <item x="2214"/>
        <item x="2264"/>
        <item x="2961"/>
        <item x="3059"/>
        <item x="2059"/>
        <item x="1915"/>
        <item x="192"/>
        <item x="2570"/>
        <item x="906"/>
        <item x="2148"/>
        <item x="2571"/>
        <item x="2572"/>
        <item x="1129"/>
        <item x="17"/>
        <item x="256"/>
        <item x="193"/>
        <item x="3125"/>
        <item x="126"/>
        <item x="425"/>
        <item x="612"/>
        <item x="1331"/>
        <item x="2573"/>
        <item x="1511"/>
        <item x="1769"/>
        <item x="2215"/>
        <item x="18"/>
        <item x="1417"/>
        <item x="73"/>
        <item x="2378"/>
        <item x="1841"/>
        <item x="2574"/>
        <item x="2060"/>
        <item x="257"/>
        <item x="2575"/>
        <item x="2149"/>
        <item x="1332"/>
        <item x="2923"/>
        <item x="19"/>
        <item x="1418"/>
        <item x="426"/>
        <item x="907"/>
        <item x="2962"/>
        <item x="2150"/>
        <item x="2844"/>
        <item x="127"/>
        <item x="2576"/>
        <item x="1916"/>
        <item x="128"/>
        <item x="427"/>
        <item x="613"/>
        <item x="711"/>
        <item x="814"/>
        <item x="908"/>
        <item x="1252"/>
        <item x="1512"/>
        <item x="2061"/>
        <item x="2265"/>
        <item x="3060"/>
        <item x="2151"/>
        <item x="20"/>
        <item x="428"/>
        <item x="129"/>
        <item x="1022"/>
        <item x="2446"/>
        <item x="2577"/>
        <item x="2216"/>
        <item x="3126"/>
        <item x="2578"/>
        <item x="130"/>
        <item x="1333"/>
        <item x="258"/>
        <item x="2579"/>
        <item x="21"/>
        <item x="2845"/>
        <item x="614"/>
        <item x="1023"/>
        <item x="1181"/>
        <item x="1781"/>
        <item x="1917"/>
        <item x="2266"/>
        <item x="2447"/>
        <item x="2846"/>
        <item x="1675"/>
        <item x="1918"/>
        <item x="1802"/>
        <item x="2217"/>
        <item x="259"/>
        <item x="571"/>
        <item x="1608"/>
        <item x="1676"/>
        <item x="2152"/>
        <item x="2379"/>
        <item x="2062"/>
        <item x="429"/>
        <item x="1513"/>
        <item x="2783"/>
        <item x="1334"/>
        <item x="1677"/>
        <item x="22"/>
        <item x="2580"/>
        <item x="23"/>
        <item x="131"/>
        <item x="815"/>
        <item x="1514"/>
        <item x="2581"/>
        <item x="3061"/>
        <item x="1609"/>
        <item x="2924"/>
        <item x="1919"/>
        <item x="2063"/>
        <item x="2333"/>
        <item x="2267"/>
        <item x="1920"/>
        <item x="2448"/>
        <item x="1921"/>
        <item x="712"/>
        <item x="1024"/>
        <item x="1515"/>
        <item x="816"/>
        <item x="2784"/>
        <item x="2380"/>
        <item x="1678"/>
        <item x="430"/>
        <item x="1610"/>
        <item x="1679"/>
        <item x="2582"/>
        <item x="2381"/>
        <item x="1803"/>
        <item x="1130"/>
        <item x="616"/>
        <item x="2583"/>
        <item x="713"/>
        <item x="431"/>
        <item x="714"/>
        <item x="817"/>
        <item x="909"/>
        <item x="2449"/>
        <item x="1611"/>
        <item x="2064"/>
        <item x="24"/>
        <item x="432"/>
        <item x="615"/>
        <item x="715"/>
        <item x="1516"/>
        <item x="2450"/>
        <item x="194"/>
        <item x="716"/>
        <item x="818"/>
        <item x="1842"/>
        <item x="2065"/>
        <item x="2153"/>
        <item x="2268"/>
        <item x="260"/>
        <item x="1253"/>
        <item x="2584"/>
        <item x="74"/>
        <item x="1517"/>
        <item x="2585"/>
        <item x="261"/>
        <item x="819"/>
        <item x="2218"/>
        <item x="132"/>
        <item x="334"/>
        <item x="1419"/>
        <item x="1680"/>
        <item x="2382"/>
        <item x="2154"/>
        <item x="2383"/>
        <item x="2586"/>
        <item x="2587"/>
        <item x="2847"/>
        <item x="2002"/>
        <item x="820"/>
        <item x="910"/>
        <item x="1254"/>
        <item x="2451"/>
        <item x="75"/>
        <item x="2334"/>
        <item x="2588"/>
        <item x="2848"/>
        <item x="321"/>
        <item x="2003"/>
        <item x="335"/>
        <item x="1681"/>
        <item x="3002"/>
        <item x="433"/>
        <item x="1335"/>
        <item x="1682"/>
        <item x="3062"/>
        <item x="262"/>
        <item x="1804"/>
        <item x="911"/>
        <item x="2589"/>
        <item x="434"/>
        <item x="3063"/>
        <item x="1203"/>
        <item x="2335"/>
        <item x="435"/>
        <item x="263"/>
        <item x="436"/>
        <item x="617"/>
        <item x="912"/>
        <item x="1336"/>
        <item x="1518"/>
        <item x="1683"/>
        <item x="1751"/>
        <item x="2219"/>
        <item x="2384"/>
        <item x="2963"/>
        <item x="3064"/>
        <item x="133"/>
        <item x="717"/>
        <item x="821"/>
        <item x="2785"/>
        <item x="1222"/>
        <item x="1684"/>
        <item x="1519"/>
        <item x="2004"/>
        <item x="3065"/>
        <item x="618"/>
        <item x="1922"/>
        <item x="1923"/>
        <item x="1843"/>
        <item x="336"/>
        <item x="2590"/>
        <item x="2452"/>
        <item x="264"/>
        <item x="437"/>
        <item x="1131"/>
        <item x="1132"/>
        <item x="1133"/>
        <item x="2591"/>
        <item x="1255"/>
        <item x="3066"/>
        <item x="438"/>
        <item x="2592"/>
        <item x="1805"/>
        <item x="2005"/>
        <item x="619"/>
        <item x="1924"/>
        <item x="2336"/>
        <item x="1025"/>
        <item x="2385"/>
        <item x="620"/>
        <item x="913"/>
        <item x="2593"/>
        <item x="439"/>
        <item x="621"/>
        <item x="195"/>
        <item x="266"/>
        <item x="2595"/>
        <item x="265"/>
        <item x="440"/>
        <item x="914"/>
        <item x="2269"/>
        <item x="718"/>
        <item x="1752"/>
        <item x="1026"/>
        <item x="915"/>
        <item x="2155"/>
        <item x="2594"/>
        <item x="916"/>
        <item x="25"/>
        <item x="572"/>
        <item x="441"/>
        <item x="2786"/>
        <item x="822"/>
        <item x="1256"/>
        <item x="2006"/>
        <item x="2925"/>
        <item x="2596"/>
        <item x="1844"/>
        <item x="2066"/>
        <item x="2270"/>
        <item x="26"/>
        <item x="337"/>
        <item x="1753"/>
        <item x="1223"/>
        <item x="1782"/>
        <item x="1845"/>
        <item x="2812"/>
        <item x="2849"/>
        <item x="1027"/>
        <item x="27"/>
        <item x="1754"/>
        <item x="1134"/>
        <item x="442"/>
        <item x="76"/>
        <item x="2926"/>
        <item x="2850"/>
        <item x="2067"/>
        <item x="2337"/>
        <item x="2386"/>
        <item x="1612"/>
        <item x="2927"/>
        <item x="2597"/>
        <item x="443"/>
        <item x="2598"/>
        <item x="1337"/>
        <item x="2387"/>
        <item x="134"/>
        <item x="2851"/>
        <item x="28"/>
        <item x="444"/>
        <item x="622"/>
        <item x="719"/>
        <item x="823"/>
        <item x="1028"/>
        <item x="2068"/>
        <item x="2271"/>
        <item x="2453"/>
        <item x="2599"/>
        <item x="3003"/>
        <item x="2454"/>
        <item x="1613"/>
        <item x="2964"/>
        <item x="1338"/>
        <item x="1685"/>
        <item x="917"/>
        <item x="2600"/>
        <item x="338"/>
        <item x="1614"/>
        <item x="1029"/>
        <item x="2338"/>
        <item x="3067"/>
        <item x="445"/>
        <item x="720"/>
        <item x="824"/>
        <item x="1030"/>
        <item x="2601"/>
        <item x="2852"/>
        <item x="2853"/>
        <item x="2602"/>
        <item x="3068"/>
        <item x="623"/>
        <item x="918"/>
        <item x="2272"/>
        <item x="3069"/>
        <item x="1420"/>
        <item x="446"/>
        <item x="1925"/>
        <item x="2603"/>
        <item x="2007"/>
        <item x="721"/>
        <item x="2928"/>
        <item x="29"/>
        <item x="135"/>
        <item x="339"/>
        <item x="447"/>
        <item x="573"/>
        <item x="624"/>
        <item x="722"/>
        <item x="825"/>
        <item x="919"/>
        <item x="1031"/>
        <item x="1135"/>
        <item x="1182"/>
        <item x="1224"/>
        <item x="1421"/>
        <item x="1520"/>
        <item x="1686"/>
        <item x="1846"/>
        <item x="1926"/>
        <item x="2069"/>
        <item x="2273"/>
        <item x="2455"/>
        <item x="2604"/>
        <item x="2813"/>
        <item x="2854"/>
        <item x="2965"/>
        <item x="1204"/>
        <item x="2855"/>
        <item x="2929"/>
        <item x="1339"/>
        <item x="2605"/>
        <item x="267"/>
        <item x="574"/>
        <item x="826"/>
        <item x="3127"/>
        <item x="196"/>
        <item x="2606"/>
        <item x="1687"/>
        <item x="136"/>
        <item x="448"/>
        <item x="625"/>
        <item x="723"/>
        <item x="1032"/>
        <item x="1847"/>
        <item x="2070"/>
        <item x="2274"/>
        <item x="1688"/>
        <item x="340"/>
        <item x="1689"/>
        <item x="2607"/>
        <item x="2930"/>
        <item x="626"/>
        <item x="1033"/>
        <item x="1615"/>
        <item x="2071"/>
        <item x="2608"/>
        <item x="1690"/>
        <item x="268"/>
        <item x="1616"/>
        <item x="1691"/>
        <item x="2156"/>
        <item x="2787"/>
        <item x="2966"/>
        <item x="137"/>
        <item x="1034"/>
        <item x="1205"/>
        <item x="2157"/>
        <item x="2609"/>
        <item x="1521"/>
        <item x="1927"/>
        <item x="1928"/>
        <item x="920"/>
        <item x="2072"/>
        <item x="575"/>
        <item x="1257"/>
        <item x="1848"/>
        <item x="30"/>
        <item x="1522"/>
        <item x="1422"/>
        <item x="2339"/>
        <item x="724"/>
        <item x="2456"/>
        <item x="100"/>
        <item x="341"/>
        <item x="2457"/>
        <item x="2856"/>
        <item x="2610"/>
        <item x="2220"/>
        <item x="449"/>
        <item x="3004"/>
        <item x="269"/>
        <item x="1617"/>
        <item x="342"/>
        <item x="1258"/>
        <item x="450"/>
        <item x="2611"/>
        <item x="197"/>
        <item x="1783"/>
        <item x="2857"/>
        <item x="451"/>
        <item x="1259"/>
        <item x="1618"/>
        <item x="2008"/>
        <item x="2612"/>
        <item x="2613"/>
        <item x="2858"/>
        <item x="1340"/>
        <item x="576"/>
        <item x="452"/>
        <item x="3128"/>
        <item x="1692"/>
        <item x="921"/>
        <item x="453"/>
        <item x="2158"/>
        <item x="1770"/>
        <item x="101"/>
        <item x="922"/>
        <item x="1929"/>
        <item x="2458"/>
        <item x="2009"/>
        <item x="2814"/>
        <item x="1260"/>
        <item x="270"/>
        <item x="2788"/>
        <item x="1619"/>
        <item x="138"/>
        <item x="725"/>
        <item x="923"/>
        <item x="1035"/>
        <item x="1136"/>
        <item x="1341"/>
        <item x="1693"/>
        <item x="1806"/>
        <item x="2010"/>
        <item x="2159"/>
        <item x="2221"/>
        <item x="2388"/>
        <item x="2967"/>
        <item x="3005"/>
        <item x="3070"/>
        <item x="1930"/>
        <item x="1261"/>
        <item x="1036"/>
        <item x="924"/>
        <item x="2614"/>
        <item x="2968"/>
        <item x="1037"/>
        <item x="2615"/>
        <item x="2859"/>
        <item x="310"/>
        <item x="925"/>
        <item x="1694"/>
        <item x="3072"/>
        <item x="1038"/>
        <item x="3071"/>
        <item x="3006"/>
        <item x="31"/>
        <item x="139"/>
        <item x="454"/>
        <item x="627"/>
        <item x="726"/>
        <item x="827"/>
        <item x="1423"/>
        <item x="1523"/>
        <item x="1849"/>
        <item x="1931"/>
        <item x="2073"/>
        <item x="2275"/>
        <item x="2459"/>
        <item x="2860"/>
        <item x="102"/>
        <item x="2861"/>
        <item x="1039"/>
        <item x="2340"/>
        <item x="926"/>
        <item x="2341"/>
        <item x="2160"/>
        <item x="2616"/>
        <item x="2389"/>
        <item x="1424"/>
        <item x="2011"/>
        <item x="2617"/>
        <item x="628"/>
        <item x="828"/>
        <item x="1524"/>
        <item x="2460"/>
        <item x="1807"/>
        <item x="2618"/>
        <item x="2074"/>
        <item x="1932"/>
        <item x="343"/>
        <item x="271"/>
        <item x="829"/>
        <item x="455"/>
        <item x="2390"/>
        <item x="456"/>
        <item x="77"/>
        <item x="32"/>
        <item x="2619"/>
        <item x="1933"/>
        <item x="2862"/>
        <item x="457"/>
        <item x="1695"/>
        <item x="2620"/>
        <item x="2461"/>
        <item x="344"/>
        <item x="629"/>
        <item x="727"/>
        <item x="830"/>
        <item x="927"/>
        <item x="1696"/>
        <item x="1850"/>
        <item x="2075"/>
        <item x="2462"/>
        <item x="2621"/>
        <item x="2391"/>
        <item x="1225"/>
        <item x="1226"/>
        <item x="3007"/>
        <item x="2931"/>
        <item x="2342"/>
        <item x="458"/>
        <item x="630"/>
        <item x="728"/>
        <item x="831"/>
        <item x="1040"/>
        <item x="1183"/>
        <item x="1425"/>
        <item x="2076"/>
        <item x="2463"/>
        <item x="3008"/>
        <item x="2392"/>
        <item x="2863"/>
        <item x="2622"/>
        <item x="2393"/>
        <item x="459"/>
        <item x="345"/>
        <item x="2464"/>
        <item x="2623"/>
        <item x="631"/>
        <item x="832"/>
        <item x="1041"/>
        <item x="2077"/>
        <item x="2465"/>
        <item x="2624"/>
        <item x="1808"/>
        <item x="2394"/>
        <item x="3009"/>
        <item x="1206"/>
        <item x="1042"/>
        <item x="1697"/>
        <item x="2161"/>
        <item x="1934"/>
        <item x="2222"/>
        <item x="928"/>
        <item x="2162"/>
        <item x="460"/>
        <item x="2625"/>
        <item x="729"/>
        <item x="833"/>
        <item x="1043"/>
        <item x="1426"/>
        <item x="1525"/>
        <item x="2078"/>
        <item x="2626"/>
        <item x="3010"/>
        <item x="2932"/>
        <item x="461"/>
        <item x="1044"/>
        <item x="2627"/>
        <item x="929"/>
        <item x="930"/>
        <item x="2163"/>
        <item x="2628"/>
        <item x="548"/>
        <item x="2466"/>
        <item x="1698"/>
        <item x="2629"/>
        <item x="1935"/>
        <item x="2467"/>
        <item x="462"/>
        <item x="2630"/>
        <item x="140"/>
        <item x="632"/>
        <item x="1045"/>
        <item x="1936"/>
        <item x="2468"/>
        <item x="2631"/>
        <item x="730"/>
        <item x="346"/>
        <item x="1342"/>
        <item x="2864"/>
        <item x="33"/>
        <item x="463"/>
        <item x="633"/>
        <item x="731"/>
        <item x="834"/>
        <item x="1046"/>
        <item x="1526"/>
        <item x="2079"/>
        <item x="2469"/>
        <item x="2865"/>
        <item x="1851"/>
        <item x="347"/>
        <item x="1937"/>
        <item x="2012"/>
        <item x="1047"/>
        <item x="2470"/>
        <item x="1527"/>
        <item x="1809"/>
        <item x="2632"/>
        <item x="2080"/>
        <item x="2866"/>
        <item x="348"/>
        <item x="1620"/>
        <item x="2633"/>
        <item x="349"/>
        <item x="1771"/>
        <item x="1262"/>
        <item x="1427"/>
        <item x="272"/>
        <item x="1699"/>
        <item x="2081"/>
        <item x="2634"/>
        <item x="931"/>
        <item x="1938"/>
        <item x="350"/>
        <item x="1428"/>
        <item x="2082"/>
        <item x="1528"/>
        <item x="1700"/>
        <item x="549"/>
        <item x="2223"/>
        <item x="2635"/>
        <item x="1701"/>
        <item x="78"/>
        <item x="2933"/>
        <item x="1048"/>
        <item x="2636"/>
        <item x="2343"/>
        <item x="141"/>
        <item x="3129"/>
        <item x="1263"/>
        <item x="34"/>
        <item x="464"/>
        <item x="1343"/>
        <item x="2471"/>
        <item x="2637"/>
        <item x="142"/>
        <item x="732"/>
        <item x="835"/>
        <item x="1207"/>
        <item x="1529"/>
        <item x="1702"/>
        <item x="2638"/>
        <item x="1530"/>
        <item x="1344"/>
        <item x="1784"/>
        <item x="2639"/>
        <item x="273"/>
        <item x="2164"/>
        <item x="2395"/>
        <item x="198"/>
        <item x="836"/>
        <item x="1755"/>
        <item x="1429"/>
        <item x="2472"/>
        <item x="2640"/>
        <item x="1785"/>
        <item x="2276"/>
        <item x="733"/>
        <item x="1264"/>
        <item x="2083"/>
        <item x="2396"/>
        <item x="2641"/>
        <item x="1939"/>
        <item x="2397"/>
        <item x="1137"/>
        <item x="1138"/>
        <item x="837"/>
        <item x="577"/>
        <item x="199"/>
        <item x="143"/>
        <item x="351"/>
        <item x="2277"/>
        <item x="1265"/>
        <item x="200"/>
        <item x="1266"/>
        <item x="1267"/>
        <item x="838"/>
        <item x="3073"/>
        <item x="1940"/>
        <item x="2642"/>
        <item x="1268"/>
        <item x="1531"/>
        <item x="2789"/>
        <item x="3074"/>
        <item x="634"/>
        <item x="465"/>
        <item x="1269"/>
        <item x="1345"/>
        <item x="2969"/>
        <item x="2867"/>
        <item x="1430"/>
        <item x="1346"/>
        <item x="1431"/>
        <item x="144"/>
        <item x="2643"/>
        <item x="35"/>
        <item x="145"/>
        <item x="274"/>
        <item x="352"/>
        <item x="466"/>
        <item x="635"/>
        <item x="734"/>
        <item x="839"/>
        <item x="932"/>
        <item x="1049"/>
        <item x="1139"/>
        <item x="1270"/>
        <item x="1347"/>
        <item x="1432"/>
        <item x="1532"/>
        <item x="1941"/>
        <item x="2084"/>
        <item x="2165"/>
        <item x="2224"/>
        <item x="2398"/>
        <item x="2473"/>
        <item x="2644"/>
        <item x="3011"/>
        <item x="3075"/>
        <item x="2868"/>
        <item x="467"/>
        <item x="636"/>
        <item x="735"/>
        <item x="840"/>
        <item x="1433"/>
        <item x="1533"/>
        <item x="2344"/>
        <item x="2645"/>
        <item x="736"/>
        <item x="468"/>
        <item x="2646"/>
        <item x="1141"/>
        <item x="1435"/>
        <item x="36"/>
        <item x="146"/>
        <item x="275"/>
        <item x="353"/>
        <item x="469"/>
        <item x="578"/>
        <item x="637"/>
        <item x="737"/>
        <item x="841"/>
        <item x="933"/>
        <item x="1050"/>
        <item x="1140"/>
        <item x="1434"/>
        <item x="1534"/>
        <item x="1621"/>
        <item x="1703"/>
        <item x="1852"/>
        <item x="2085"/>
        <item x="2166"/>
        <item x="2225"/>
        <item x="2278"/>
        <item x="2474"/>
        <item x="2647"/>
        <item x="2970"/>
        <item x="3012"/>
        <item x="3076"/>
        <item x="470"/>
        <item x="738"/>
        <item x="2399"/>
        <item x="579"/>
        <item x="638"/>
        <item x="1051"/>
        <item x="934"/>
        <item x="2648"/>
        <item x="2649"/>
        <item x="639"/>
        <item x="147"/>
        <item x="471"/>
        <item x="640"/>
        <item x="739"/>
        <item x="842"/>
        <item x="935"/>
        <item x="1052"/>
        <item x="1535"/>
        <item x="1704"/>
        <item x="2475"/>
        <item x="2650"/>
        <item x="3130"/>
        <item x="1942"/>
        <item x="2167"/>
        <item x="472"/>
        <item x="843"/>
        <item x="1436"/>
        <item x="1943"/>
        <item x="2400"/>
        <item x="2651"/>
        <item x="2226"/>
        <item x="2790"/>
        <item x="1622"/>
        <item x="79"/>
        <item x="3077"/>
        <item x="2279"/>
        <item x="1271"/>
        <item x="550"/>
        <item x="1272"/>
        <item x="1348"/>
        <item x="3013"/>
        <item x="1349"/>
        <item x="641"/>
        <item x="2791"/>
        <item x="642"/>
        <item x="2652"/>
        <item x="551"/>
        <item x="2653"/>
        <item x="2168"/>
        <item x="1705"/>
        <item x="936"/>
        <item x="1706"/>
        <item x="1437"/>
        <item x="80"/>
        <item x="643"/>
        <item x="2654"/>
        <item x="2655"/>
        <item x="1184"/>
        <item x="3078"/>
        <item x="318"/>
        <item x="1208"/>
        <item x="1273"/>
        <item x="2314"/>
        <item x="2656"/>
        <item x="1053"/>
        <item x="844"/>
        <item x="201"/>
        <item x="2657"/>
        <item x="2345"/>
        <item x="81"/>
        <item x="3079"/>
        <item x="1274"/>
        <item x="1707"/>
        <item x="2013"/>
        <item x="1708"/>
        <item x="2658"/>
        <item x="2869"/>
        <item x="2870"/>
        <item x="2871"/>
        <item x="2659"/>
        <item x="2971"/>
        <item x="2169"/>
        <item x="937"/>
        <item x="202"/>
        <item x="1853"/>
        <item x="2401"/>
        <item x="2660"/>
        <item x="276"/>
        <item x="938"/>
        <item x="2170"/>
        <item x="277"/>
        <item x="2972"/>
        <item x="2973"/>
        <item x="1350"/>
        <item x="2227"/>
        <item x="2661"/>
        <item x="2974"/>
        <item x="1054"/>
        <item x="644"/>
        <item x="740"/>
        <item x="1055"/>
        <item x="1185"/>
        <item x="1536"/>
        <item x="1709"/>
        <item x="2086"/>
        <item x="2476"/>
        <item x="2662"/>
        <item x="82"/>
        <item x="1351"/>
        <item x="580"/>
        <item x="741"/>
        <item x="845"/>
        <item x="83"/>
        <item x="3080"/>
        <item x="103"/>
        <item x="279"/>
        <item x="2666"/>
        <item x="939"/>
        <item x="1352"/>
        <item x="2280"/>
        <item x="1537"/>
        <item x="148"/>
        <item x="354"/>
        <item x="1142"/>
        <item x="1438"/>
        <item x="1538"/>
        <item x="3081"/>
        <item x="1143"/>
        <item x="742"/>
        <item x="84"/>
        <item x="1354"/>
        <item x="203"/>
        <item x="278"/>
        <item x="355"/>
        <item x="645"/>
        <item x="743"/>
        <item x="1275"/>
        <item x="1353"/>
        <item x="1623"/>
        <item x="2087"/>
        <item x="2228"/>
        <item x="2402"/>
        <item x="2477"/>
        <item x="37"/>
        <item x="473"/>
        <item x="1439"/>
        <item x="2663"/>
        <item x="2664"/>
        <item x="2815"/>
        <item x="2014"/>
        <item x="2665"/>
        <item x="1710"/>
        <item x="2281"/>
        <item x="2346"/>
        <item x="2872"/>
        <item x="1756"/>
        <item x="940"/>
        <item x="2229"/>
        <item x="3082"/>
        <item x="474"/>
        <item x="1276"/>
        <item x="744"/>
        <item x="3131"/>
        <item x="280"/>
        <item x="1056"/>
        <item x="281"/>
        <item x="646"/>
        <item x="1144"/>
        <item x="204"/>
        <item x="581"/>
        <item x="2171"/>
        <item x="38"/>
        <item x="1440"/>
        <item x="2478"/>
        <item x="1057"/>
        <item x="475"/>
        <item x="2347"/>
        <item x="2667"/>
        <item x="39"/>
        <item x="149"/>
        <item x="647"/>
        <item x="745"/>
        <item x="1058"/>
        <item x="1441"/>
        <item x="1539"/>
        <item x="2088"/>
        <item x="2282"/>
        <item x="2403"/>
        <item x="2479"/>
        <item x="2172"/>
        <item x="1355"/>
        <item x="1810"/>
        <item x="1442"/>
        <item x="941"/>
        <item x="2283"/>
        <item x="40"/>
        <item x="150"/>
        <item x="356"/>
        <item x="476"/>
        <item x="648"/>
        <item x="846"/>
        <item x="1059"/>
        <item x="1443"/>
        <item x="1944"/>
        <item x="2348"/>
        <item x="2668"/>
        <item x="2873"/>
        <item x="1277"/>
        <item x="1444"/>
        <item x="2284"/>
        <item x="582"/>
        <item x="1278"/>
        <item x="1945"/>
        <item x="357"/>
        <item x="2669"/>
        <item x="1060"/>
        <item x="1061"/>
        <item x="358"/>
        <item x="1624"/>
        <item x="583"/>
        <item x="1062"/>
        <item x="1540"/>
        <item x="1854"/>
        <item x="2480"/>
        <item x="2975"/>
        <item x="3014"/>
        <item x="2934"/>
        <item x="2349"/>
        <item x="359"/>
        <item x="477"/>
        <item x="1625"/>
        <item x="2670"/>
        <item x="2089"/>
        <item x="41"/>
        <item x="2671"/>
        <item x="151"/>
        <item x="282"/>
        <item x="478"/>
        <item x="584"/>
        <item x="942"/>
        <item x="1063"/>
        <item x="1145"/>
        <item x="1186"/>
        <item x="1356"/>
        <item x="1445"/>
        <item x="1541"/>
        <item x="1626"/>
        <item x="1711"/>
        <item x="1757"/>
        <item x="1811"/>
        <item x="1946"/>
        <item x="2173"/>
        <item x="2230"/>
        <item x="2404"/>
        <item x="2481"/>
        <item x="2976"/>
        <item x="3015"/>
        <item x="3083"/>
        <item x="3132"/>
        <item x="847"/>
        <item x="943"/>
        <item x="1542"/>
        <item x="2231"/>
        <item x="2672"/>
        <item x="152"/>
        <item x="2673"/>
        <item x="649"/>
        <item x="1064"/>
        <item x="1146"/>
        <item x="1279"/>
        <item x="1543"/>
        <item x="1855"/>
        <item x="2674"/>
        <item x="153"/>
        <item x="283"/>
        <item x="650"/>
        <item x="944"/>
        <item x="1065"/>
        <item x="1712"/>
        <item x="2015"/>
        <item x="2090"/>
        <item x="2174"/>
        <item x="3016"/>
        <item x="479"/>
        <item x="154"/>
        <item x="2091"/>
        <item x="1812"/>
        <item x="205"/>
        <item x="2482"/>
        <item x="2874"/>
        <item x="848"/>
        <item x="2875"/>
        <item x="1713"/>
        <item x="2175"/>
        <item x="2675"/>
        <item x="311"/>
        <item x="42"/>
        <item x="480"/>
        <item x="1446"/>
        <item x="2676"/>
        <item x="849"/>
        <item x="2092"/>
        <item x="1280"/>
        <item x="481"/>
        <item x="1813"/>
        <item x="2876"/>
        <item x="2285"/>
        <item x="2286"/>
        <item x="2405"/>
        <item x="2935"/>
        <item x="2677"/>
        <item x="850"/>
        <item x="945"/>
        <item x="1066"/>
        <item x="1357"/>
        <item x="1758"/>
        <item x="1281"/>
        <item x="1282"/>
        <item x="43"/>
        <item x="484"/>
        <item x="654"/>
        <item x="1545"/>
        <item x="1948"/>
        <item x="2485"/>
        <item x="655"/>
        <item x="206"/>
        <item x="44"/>
        <item x="155"/>
        <item x="360"/>
        <item x="485"/>
        <item x="585"/>
        <item x="656"/>
        <item x="746"/>
        <item x="851"/>
        <item x="1070"/>
        <item x="1147"/>
        <item x="1447"/>
        <item x="1546"/>
        <item x="1628"/>
        <item x="1715"/>
        <item x="1856"/>
        <item x="1949"/>
        <item x="2093"/>
        <item x="2486"/>
        <item x="2681"/>
        <item x="2877"/>
        <item x="1071"/>
        <item x="852"/>
        <item x="1359"/>
        <item x="2094"/>
        <item x="2179"/>
        <item x="2232"/>
        <item x="2936"/>
        <item x="2937"/>
        <item x="361"/>
        <item x="1283"/>
        <item x="3084"/>
        <item x="3085"/>
        <item x="45"/>
        <item x="104"/>
        <item x="1547"/>
        <item x="207"/>
        <item x="3086"/>
        <item x="46"/>
        <item x="156"/>
        <item x="362"/>
        <item x="486"/>
        <item x="657"/>
        <item x="747"/>
        <item x="853"/>
        <item x="947"/>
        <item x="1072"/>
        <item x="1448"/>
        <item x="1548"/>
        <item x="2095"/>
        <item x="2233"/>
        <item x="2351"/>
        <item x="2487"/>
        <item x="2682"/>
        <item x="3018"/>
        <item x="208"/>
        <item x="2352"/>
        <item x="1284"/>
        <item x="3087"/>
        <item x="47"/>
        <item x="658"/>
        <item x="748"/>
        <item x="854"/>
        <item x="948"/>
        <item x="1073"/>
        <item x="1360"/>
        <item x="1449"/>
        <item x="2180"/>
        <item x="2408"/>
        <item x="2488"/>
        <item x="3019"/>
        <item x="363"/>
        <item x="749"/>
        <item x="1074"/>
        <item x="1361"/>
        <item x="1950"/>
        <item x="2683"/>
        <item x="2938"/>
        <item x="659"/>
        <item x="1075"/>
        <item x="1285"/>
        <item x="2684"/>
        <item x="2977"/>
        <item x="3020"/>
        <item x="660"/>
        <item x="2685"/>
        <item x="85"/>
        <item x="2878"/>
        <item x="552"/>
        <item x="2489"/>
        <item x="2686"/>
        <item x="2181"/>
        <item x="2176"/>
        <item x="1627"/>
        <item x="2406"/>
        <item x="2350"/>
        <item x="1067"/>
        <item x="1068"/>
        <item x="2678"/>
        <item x="2177"/>
        <item x="1544"/>
        <item x="651"/>
        <item x="1947"/>
        <item x="3017"/>
        <item x="482"/>
        <item x="652"/>
        <item x="2016"/>
        <item x="483"/>
        <item x="2017"/>
        <item x="2178"/>
        <item x="2287"/>
        <item x="2018"/>
        <item x="1814"/>
        <item x="653"/>
        <item x="1069"/>
        <item x="2019"/>
        <item x="2679"/>
        <item x="1358"/>
        <item x="2483"/>
        <item x="2680"/>
        <item x="2484"/>
        <item x="946"/>
        <item x="1714"/>
        <item x="2407"/>
        <item x="949"/>
        <item x="1076"/>
        <item x="2409"/>
        <item x="1629"/>
        <item x="1951"/>
        <item x="2879"/>
        <item x="1286"/>
        <item x="2096"/>
        <item x="2687"/>
        <item x="1362"/>
        <item x="2097"/>
        <item x="2490"/>
        <item x="2410"/>
        <item x="661"/>
        <item x="2688"/>
        <item x="209"/>
        <item x="1077"/>
        <item x="1287"/>
        <item x="3088"/>
        <item x="210"/>
        <item x="662"/>
        <item x="1078"/>
        <item x="1549"/>
        <item x="1786"/>
        <item x="2020"/>
        <item x="2098"/>
        <item x="2288"/>
        <item x="3021"/>
        <item x="487"/>
        <item x="1716"/>
        <item x="1772"/>
        <item x="284"/>
        <item x="1079"/>
        <item x="750"/>
        <item x="950"/>
        <item x="2099"/>
        <item x="364"/>
        <item x="1227"/>
        <item x="1787"/>
        <item x="2880"/>
        <item x="1288"/>
        <item x="2689"/>
        <item x="2289"/>
        <item x="2690"/>
        <item x="2792"/>
        <item x="1363"/>
        <item x="157"/>
        <item x="488"/>
        <item x="1550"/>
        <item x="855"/>
        <item x="2691"/>
        <item x="3089"/>
        <item x="2411"/>
        <item x="285"/>
        <item x="1630"/>
        <item x="1759"/>
        <item x="3022"/>
        <item x="3023"/>
        <item x="586"/>
        <item x="2412"/>
        <item x="1289"/>
        <item x="158"/>
        <item x="1551"/>
        <item x="1631"/>
        <item x="489"/>
        <item x="856"/>
        <item x="951"/>
        <item x="1952"/>
        <item x="2692"/>
        <item x="48"/>
        <item x="211"/>
        <item x="286"/>
        <item x="105"/>
        <item x="1552"/>
        <item x="1788"/>
        <item x="212"/>
        <item x="857"/>
        <item x="3024"/>
        <item x="49"/>
        <item x="159"/>
        <item x="365"/>
        <item x="490"/>
        <item x="663"/>
        <item x="751"/>
        <item x="858"/>
        <item x="1080"/>
        <item x="1290"/>
        <item x="1450"/>
        <item x="1553"/>
        <item x="1857"/>
        <item x="2100"/>
        <item x="2290"/>
        <item x="2491"/>
        <item x="3025"/>
        <item x="3090"/>
        <item x="2693"/>
        <item x="1291"/>
        <item x="213"/>
        <item x="287"/>
        <item x="50"/>
        <item x="160"/>
        <item x="491"/>
        <item x="664"/>
        <item x="752"/>
        <item x="859"/>
        <item x="952"/>
        <item x="1081"/>
        <item x="1209"/>
        <item x="1451"/>
        <item x="1554"/>
        <item x="1858"/>
        <item x="1953"/>
        <item x="2101"/>
        <item x="2291"/>
        <item x="2492"/>
        <item x="2694"/>
        <item x="2881"/>
        <item x="1292"/>
        <item x="2292"/>
        <item x="288"/>
        <item x="2413"/>
        <item x="1954"/>
        <item x="2493"/>
        <item x="2695"/>
        <item x="1815"/>
        <item x="1148"/>
        <item x="51"/>
        <item x="289"/>
        <item x="492"/>
        <item x="665"/>
        <item x="753"/>
        <item x="1082"/>
        <item x="1555"/>
        <item x="2102"/>
        <item x="2494"/>
        <item x="2793"/>
        <item x="3026"/>
        <item x="1717"/>
        <item x="953"/>
        <item x="1789"/>
        <item x="2696"/>
        <item x="1364"/>
        <item x="2103"/>
        <item x="2234"/>
        <item x="954"/>
        <item x="2021"/>
        <item x="2697"/>
        <item x="666"/>
        <item x="2022"/>
        <item x="1365"/>
        <item x="1083"/>
        <item x="2235"/>
        <item x="493"/>
        <item x="1366"/>
        <item x="2182"/>
        <item x="860"/>
        <item x="494"/>
        <item x="1293"/>
        <item x="2104"/>
        <item x="2183"/>
        <item x="1632"/>
        <item x="2698"/>
        <item x="1718"/>
        <item x="1228"/>
        <item x="214"/>
        <item x="1955"/>
        <item x="366"/>
        <item x="1859"/>
        <item x="1149"/>
        <item x="3133"/>
        <item x="312"/>
        <item x="106"/>
        <item x="2699"/>
        <item x="1084"/>
        <item x="2023"/>
        <item x="2882"/>
        <item x="955"/>
        <item x="1719"/>
        <item x="956"/>
        <item x="1452"/>
        <item x="957"/>
        <item x="161"/>
        <item x="215"/>
        <item x="319"/>
        <item x="1956"/>
        <item x="2883"/>
        <item x="1556"/>
        <item x="1860"/>
        <item x="1294"/>
        <item x="2353"/>
        <item x="2939"/>
        <item x="2315"/>
        <item x="162"/>
        <item x="495"/>
        <item x="754"/>
        <item x="1453"/>
        <item x="1557"/>
        <item x="2700"/>
        <item x="587"/>
        <item x="1861"/>
        <item x="1085"/>
        <item x="3027"/>
        <item x="1367"/>
        <item x="3134"/>
        <item x="755"/>
        <item x="2105"/>
        <item x="2184"/>
        <item x="1368"/>
        <item x="1558"/>
        <item x="2701"/>
        <item x="86"/>
        <item x="2940"/>
        <item x="1229"/>
        <item x="1369"/>
        <item x="87"/>
        <item x="1957"/>
        <item x="2293"/>
        <item x="2884"/>
        <item x="313"/>
        <item x="2294"/>
        <item x="2885"/>
        <item x="88"/>
        <item x="314"/>
        <item x="2941"/>
        <item x="958"/>
        <item x="2886"/>
        <item x="2185"/>
        <item x="1454"/>
        <item x="1720"/>
        <item x="2702"/>
        <item x="1760"/>
        <item x="1295"/>
        <item x="2495"/>
        <item x="861"/>
        <item x="1790"/>
        <item x="1296"/>
        <item x="2703"/>
        <item x="496"/>
        <item x="2354"/>
        <item x="3091"/>
        <item x="1297"/>
        <item x="2414"/>
        <item x="667"/>
        <item x="497"/>
        <item x="756"/>
        <item x="1086"/>
        <item x="3028"/>
        <item x="367"/>
        <item x="2978"/>
        <item x="368"/>
        <item x="2186"/>
        <item x="2187"/>
        <item x="2188"/>
        <item x="1455"/>
        <item x="1087"/>
        <item x="2704"/>
        <item x="2024"/>
        <item x="1370"/>
        <item x="588"/>
        <item x="1862"/>
        <item x="3092"/>
        <item x="1863"/>
        <item x="1958"/>
        <item x="1864"/>
        <item x="1298"/>
        <item x="216"/>
        <item x="369"/>
        <item x="757"/>
        <item x="1865"/>
        <item x="1959"/>
        <item x="2705"/>
        <item x="2816"/>
        <item x="2887"/>
        <item x="2355"/>
        <item x="1559"/>
        <item x="1150"/>
        <item x="1866"/>
        <item x="2817"/>
        <item x="959"/>
        <item x="1560"/>
        <item x="2189"/>
        <item x="960"/>
        <item x="370"/>
        <item x="862"/>
        <item x="1299"/>
        <item x="1300"/>
        <item x="1867"/>
        <item x="290"/>
        <item x="1816"/>
        <item x="3146"/>
        <item x="1721"/>
        <item x="1301"/>
        <item x="1868"/>
        <item x="961"/>
        <item x="1302"/>
        <item x="2106"/>
        <item x="2190"/>
        <item x="1371"/>
        <item x="163"/>
        <item x="1151"/>
        <item x="291"/>
        <item x="3093"/>
        <item x="2496"/>
        <item x="758"/>
        <item x="1088"/>
        <item x="1089"/>
        <item x="589"/>
        <item x="1187"/>
        <item x="1561"/>
        <item x="3094"/>
        <item x="2979"/>
        <item x="863"/>
        <item x="2888"/>
        <item x="371"/>
        <item x="864"/>
        <item x="2706"/>
        <item x="1960"/>
        <item x="1456"/>
        <item x="2707"/>
        <item x="292"/>
        <item x="1633"/>
        <item x="3135"/>
        <item x="759"/>
        <item x="2708"/>
        <item x="2709"/>
        <item x="372"/>
        <item x="1961"/>
        <item x="1791"/>
        <item x="2889"/>
        <item x="498"/>
        <item x="2107"/>
        <item x="962"/>
        <item x="1722"/>
        <item x="2191"/>
        <item x="590"/>
        <item x="2192"/>
        <item x="499"/>
        <item x="1457"/>
        <item x="2710"/>
        <item x="2025"/>
        <item x="1562"/>
        <item x="2980"/>
        <item x="1962"/>
        <item x="1090"/>
        <item x="3029"/>
        <item x="1372"/>
        <item x="2415"/>
        <item x="1188"/>
        <item x="668"/>
        <item x="3095"/>
        <item x="1723"/>
        <item x="2416"/>
        <item x="1963"/>
        <item x="52"/>
        <item x="164"/>
        <item x="669"/>
        <item x="760"/>
        <item x="1091"/>
        <item x="1458"/>
        <item x="1563"/>
        <item x="2108"/>
        <item x="2295"/>
        <item x="2497"/>
        <item x="1761"/>
        <item x="1964"/>
        <item x="2942"/>
        <item x="89"/>
        <item x="1634"/>
        <item x="1564"/>
        <item x="1565"/>
        <item x="1724"/>
        <item x="2296"/>
        <item x="165"/>
        <item x="293"/>
        <item x="963"/>
        <item x="1635"/>
        <item x="670"/>
        <item x="2109"/>
        <item x="53"/>
        <item x="500"/>
        <item x="2356"/>
        <item x="2498"/>
        <item x="501"/>
        <item x="1725"/>
        <item x="2026"/>
        <item x="2981"/>
        <item x="3096"/>
        <item x="54"/>
        <item x="166"/>
        <item x="502"/>
        <item x="671"/>
        <item x="761"/>
        <item x="1092"/>
        <item x="1459"/>
        <item x="1566"/>
        <item x="2110"/>
        <item x="2297"/>
        <item x="107"/>
        <item x="108"/>
        <item x="1373"/>
        <item x="373"/>
        <item x="1374"/>
        <item x="1189"/>
        <item x="294"/>
        <item x="1965"/>
        <item x="2193"/>
        <item x="2890"/>
        <item x="2794"/>
        <item x="217"/>
        <item x="1152"/>
        <item x="1567"/>
        <item x="1726"/>
        <item x="3136"/>
        <item x="3030"/>
        <item x="218"/>
        <item x="865"/>
        <item x="1230"/>
        <item x="866"/>
        <item x="3031"/>
        <item x="167"/>
        <item x="1153"/>
        <item x="168"/>
        <item x="374"/>
        <item x="503"/>
        <item x="867"/>
        <item x="1375"/>
        <item x="1568"/>
        <item x="1727"/>
        <item x="1966"/>
        <item x="2236"/>
        <item x="2499"/>
        <item x="2711"/>
        <item x="3097"/>
        <item x="1636"/>
        <item x="1460"/>
        <item x="2194"/>
        <item x="169"/>
        <item x="672"/>
        <item x="1376"/>
        <item x="2943"/>
        <item x="2111"/>
        <item x="3098"/>
        <item x="762"/>
        <item x="2944"/>
        <item x="763"/>
        <item x="964"/>
        <item x="2195"/>
        <item x="868"/>
        <item x="2298"/>
        <item x="2417"/>
        <item x="2712"/>
        <item x="1637"/>
        <item x="1093"/>
        <item x="1638"/>
        <item x="591"/>
        <item x="869"/>
        <item x="2891"/>
        <item x="170"/>
        <item x="1639"/>
        <item x="965"/>
        <item x="2112"/>
        <item x="1461"/>
        <item x="2713"/>
        <item x="1303"/>
        <item x="3032"/>
        <item x="3099"/>
        <item x="2892"/>
        <item x="2893"/>
        <item x="1210"/>
        <item x="90"/>
        <item x="2894"/>
        <item x="2316"/>
        <item x="295"/>
        <item x="296"/>
        <item x="3144"/>
        <item x="171"/>
        <item x="504"/>
        <item x="673"/>
        <item x="764"/>
        <item x="1094"/>
        <item x="1569"/>
        <item x="2895"/>
        <item x="2196"/>
        <item x="375"/>
        <item x="505"/>
        <item x="674"/>
        <item x="765"/>
        <item x="1570"/>
        <item x="1869"/>
        <item x="2113"/>
        <item x="2500"/>
        <item x="3033"/>
        <item x="1817"/>
        <item x="1211"/>
        <item x="1870"/>
        <item x="506"/>
        <item x="1462"/>
        <item x="507"/>
        <item x="3100"/>
        <item x="2945"/>
        <item x="2714"/>
        <item x="3034"/>
        <item x="1571"/>
        <item x="1377"/>
        <item x="2027"/>
        <item x="2715"/>
        <item x="55"/>
        <item x="172"/>
        <item x="508"/>
        <item x="675"/>
        <item x="766"/>
        <item x="1572"/>
        <item x="1967"/>
        <item x="3035"/>
        <item x="1463"/>
        <item x="2028"/>
        <item x="1154"/>
        <item x="2896"/>
        <item x="1640"/>
        <item x="966"/>
        <item x="1573"/>
        <item x="2716"/>
        <item x="2717"/>
        <item x="1378"/>
        <item x="1155"/>
        <item x="2718"/>
        <item x="1728"/>
        <item x="1379"/>
        <item x="2719"/>
        <item x="2720"/>
        <item x="967"/>
        <item x="1871"/>
        <item x="1380"/>
        <item x="2029"/>
        <item x="968"/>
        <item x="1574"/>
        <item x="2501"/>
        <item x="969"/>
        <item x="1381"/>
        <item x="2795"/>
        <item x="1729"/>
        <item x="676"/>
        <item x="1156"/>
        <item x="1641"/>
        <item x="2030"/>
        <item x="2114"/>
        <item x="2357"/>
        <item x="3101"/>
        <item x="2946"/>
        <item x="509"/>
        <item x="1872"/>
        <item x="1968"/>
        <item x="2897"/>
        <item x="970"/>
        <item x="870"/>
        <item x="1818"/>
        <item x="297"/>
        <item x="298"/>
        <item x="767"/>
        <item x="1575"/>
        <item x="3036"/>
        <item x="219"/>
        <item x="2502"/>
        <item x="3037"/>
        <item x="2947"/>
        <item x="2898"/>
        <item x="2418"/>
        <item x="2721"/>
        <item x="1095"/>
        <item x="2503"/>
        <item x="2722"/>
        <item x="1969"/>
        <item x="677"/>
        <item x="1382"/>
        <item x="1730"/>
        <item x="3102"/>
        <item x="2899"/>
        <item x="1096"/>
        <item x="510"/>
        <item x="1773"/>
        <item x="1970"/>
        <item x="2900"/>
        <item x="1873"/>
        <item x="2723"/>
        <item x="2197"/>
        <item x="2198"/>
        <item x="2031"/>
        <item x="971"/>
        <item x="1642"/>
        <item x="1819"/>
        <item x="1304"/>
        <item x="1383"/>
        <item x="1643"/>
        <item x="2115"/>
        <item x="299"/>
        <item x="1097"/>
        <item x="1971"/>
        <item x="2724"/>
        <item x="768"/>
        <item x="972"/>
        <item x="2725"/>
        <item x="3103"/>
        <item x="56"/>
        <item x="973"/>
        <item x="1098"/>
        <item x="2901"/>
        <item x="1972"/>
        <item x="2504"/>
        <item x="2818"/>
        <item x="1157"/>
        <item x="2726"/>
        <item x="871"/>
        <item x="220"/>
        <item x="1190"/>
        <item x="1305"/>
        <item x="300"/>
        <item x="2948"/>
        <item x="1792"/>
        <item x="174"/>
        <item x="679"/>
        <item x="974"/>
        <item x="1581"/>
        <item x="1731"/>
        <item x="2796"/>
        <item x="2358"/>
        <item x="1973"/>
        <item x="2727"/>
        <item x="221"/>
        <item x="222"/>
        <item x="223"/>
        <item x="224"/>
        <item x="2728"/>
        <item x="225"/>
        <item x="301"/>
        <item x="1821"/>
        <item x="2797"/>
        <item x="2982"/>
        <item x="226"/>
        <item x="227"/>
        <item x="302"/>
        <item x="1822"/>
        <item x="2729"/>
        <item x="2730"/>
        <item x="2419"/>
        <item x="1644"/>
        <item x="1820"/>
        <item x="2116"/>
        <item x="680"/>
        <item x="1308"/>
        <item x="2798"/>
        <item x="228"/>
        <item x="229"/>
        <item x="109"/>
        <item x="230"/>
        <item x="1823"/>
        <item x="378"/>
        <item x="379"/>
        <item x="1875"/>
        <item x="2032"/>
        <item x="1732"/>
        <item x="3105"/>
        <item x="1733"/>
        <item x="3106"/>
        <item x="1876"/>
        <item x="2731"/>
        <item x="511"/>
        <item x="1877"/>
        <item x="1309"/>
        <item x="681"/>
        <item x="1582"/>
        <item x="1878"/>
        <item x="2299"/>
        <item x="2117"/>
        <item x="1583"/>
        <item x="1974"/>
        <item x="175"/>
        <item x="682"/>
        <item x="770"/>
        <item x="872"/>
        <item x="975"/>
        <item x="1099"/>
        <item x="1385"/>
        <item x="1464"/>
        <item x="1584"/>
        <item x="2505"/>
        <item x="2902"/>
        <item x="1734"/>
        <item x="512"/>
        <item x="2732"/>
        <item x="176"/>
        <item x="177"/>
        <item x="303"/>
        <item x="976"/>
        <item x="380"/>
        <item x="513"/>
        <item x="2199"/>
        <item x="1879"/>
        <item x="2118"/>
        <item x="2506"/>
        <item x="2200"/>
        <item x="178"/>
        <item x="2507"/>
        <item x="2799"/>
        <item x="977"/>
        <item x="1735"/>
        <item x="2733"/>
        <item x="1585"/>
        <item x="1465"/>
        <item x="179"/>
        <item x="231"/>
        <item x="3107"/>
        <item x="978"/>
        <item x="3108"/>
        <item x="58"/>
        <item x="683"/>
        <item x="771"/>
        <item x="873"/>
        <item x="1100"/>
        <item x="1586"/>
        <item x="2119"/>
        <item x="2508"/>
        <item x="2734"/>
        <item x="2903"/>
        <item x="1386"/>
        <item x="979"/>
        <item x="1645"/>
        <item x="1736"/>
        <item x="2033"/>
        <item x="3137"/>
        <item x="980"/>
        <item x="1737"/>
        <item x="2237"/>
        <item x="2735"/>
        <item x="1310"/>
        <item x="592"/>
        <item x="1387"/>
        <item x="232"/>
        <item x="1824"/>
        <item x="1646"/>
        <item x="1101"/>
        <item x="1466"/>
        <item x="874"/>
        <item x="1738"/>
        <item x="2034"/>
        <item x="233"/>
        <item x="91"/>
        <item x="2983"/>
        <item x="92"/>
        <item x="2984"/>
        <item x="2035"/>
        <item x="981"/>
        <item x="1467"/>
        <item x="2509"/>
        <item x="2736"/>
        <item x="2904"/>
        <item x="2985"/>
        <item x="2300"/>
        <item x="1825"/>
        <item x="234"/>
        <item x="1191"/>
        <item x="1213"/>
        <item x="1793"/>
        <item x="2301"/>
        <item x="2737"/>
        <item x="235"/>
        <item x="315"/>
        <item x="2905"/>
        <item x="93"/>
        <item x="316"/>
        <item x="514"/>
        <item x="2359"/>
        <item x="772"/>
        <item x="1102"/>
        <item x="2420"/>
        <item x="2986"/>
        <item x="2906"/>
        <item x="1158"/>
        <item x="1159"/>
        <item x="1576"/>
        <item x="57"/>
        <item x="678"/>
        <item x="1306"/>
        <item x="1577"/>
        <item x="3104"/>
        <item x="173"/>
        <item x="1579"/>
        <item x="1160"/>
        <item x="1161"/>
        <item x="1162"/>
        <item x="376"/>
        <item x="769"/>
        <item x="1307"/>
        <item x="1163"/>
        <item x="1874"/>
        <item x="1599"/>
        <item x="1384"/>
        <item x="1580"/>
        <item x="377"/>
        <item x="1164"/>
        <item x="1165"/>
        <item x="1212"/>
        <item x="1166"/>
        <item x="982"/>
        <item x="2907"/>
        <item x="236"/>
        <item x="2421"/>
        <item x="1975"/>
        <item x="983"/>
        <item x="1739"/>
        <item x="684"/>
        <item x="2036"/>
        <item x="2120"/>
        <item x="773"/>
        <item x="2738"/>
        <item x="2949"/>
        <item x="1578"/>
        <item x="1388"/>
        <item x="1389"/>
        <item x="2037"/>
        <item x="515"/>
        <item x="2201"/>
        <item x="2739"/>
        <item x="685"/>
        <item x="2740"/>
        <item x="774"/>
        <item x="1880"/>
        <item x="984"/>
        <item x="1390"/>
        <item x="2987"/>
        <item x="516"/>
        <item x="2510"/>
        <item x="1647"/>
        <item x="1587"/>
        <item x="1976"/>
        <item x="180"/>
        <item x="1468"/>
        <item x="1588"/>
        <item x="2741"/>
        <item x="1762"/>
        <item x="875"/>
        <item x="1774"/>
        <item x="2038"/>
        <item x="3138"/>
        <item x="2950"/>
        <item x="1231"/>
        <item x="1881"/>
        <item x="775"/>
        <item x="1589"/>
        <item x="1775"/>
        <item x="1882"/>
        <item x="2302"/>
        <item x="2511"/>
        <item x="2422"/>
        <item x="3038"/>
        <item x="304"/>
        <item x="2121"/>
        <item x="2800"/>
        <item x="985"/>
        <item x="2512"/>
        <item x="59"/>
        <item x="381"/>
        <item x="517"/>
        <item x="2360"/>
        <item x="1469"/>
        <item x="1977"/>
        <item x="2908"/>
        <item x="2303"/>
        <item x="320"/>
        <item x="1794"/>
        <item x="2909"/>
        <item x="237"/>
        <item x="2742"/>
        <item x="382"/>
        <item x="1978"/>
        <item x="1648"/>
        <item x="3139"/>
        <item x="1391"/>
        <item x="2743"/>
        <item x="776"/>
        <item x="518"/>
        <item x="1214"/>
        <item x="519"/>
        <item x="60"/>
        <item x="1470"/>
        <item x="61"/>
        <item x="876"/>
        <item x="1590"/>
        <item x="1167"/>
        <item x="1826"/>
        <item x="2744"/>
        <item x="1471"/>
        <item x="520"/>
        <item x="383"/>
        <item x="521"/>
        <item x="877"/>
        <item x="1103"/>
        <item x="2745"/>
        <item x="3039"/>
        <item x="3109"/>
        <item x="686"/>
        <item x="2910"/>
        <item x="238"/>
        <item x="522"/>
        <item x="305"/>
        <item x="1168"/>
        <item x="1169"/>
        <item x="523"/>
        <item x="2746"/>
        <item x="2747"/>
        <item x="593"/>
        <item x="1649"/>
        <item x="3140"/>
        <item x="1591"/>
        <item x="2202"/>
        <item x="1740"/>
        <item x="524"/>
        <item x="986"/>
        <item x="1741"/>
        <item x="2748"/>
        <item x="1742"/>
        <item x="2988"/>
        <item x="525"/>
        <item x="2238"/>
        <item x="2203"/>
        <item x="1883"/>
        <item x="2304"/>
        <item x="1472"/>
        <item x="777"/>
        <item x="778"/>
        <item x="2513"/>
        <item x="1473"/>
        <item x="2749"/>
        <item x="1104"/>
        <item x="1392"/>
        <item x="2423"/>
        <item x="2750"/>
        <item x="1884"/>
        <item x="2801"/>
        <item x="1650"/>
        <item x="526"/>
        <item x="1827"/>
        <item x="2039"/>
        <item x="527"/>
        <item x="2040"/>
        <item x="1979"/>
        <item x="1393"/>
        <item x="2751"/>
        <item x="1651"/>
        <item x="987"/>
        <item x="3110"/>
        <item x="528"/>
        <item x="1105"/>
        <item x="1106"/>
        <item x="239"/>
        <item x="2752"/>
        <item x="2424"/>
        <item x="529"/>
        <item x="2514"/>
        <item x="2122"/>
        <item x="3040"/>
        <item x="240"/>
        <item x="2204"/>
        <item x="1474"/>
        <item x="241"/>
        <item x="530"/>
        <item x="2425"/>
        <item x="62"/>
        <item x="2123"/>
        <item x="1311"/>
        <item x="531"/>
        <item x="594"/>
        <item x="2753"/>
        <item x="3041"/>
        <item x="1980"/>
        <item x="3141"/>
        <item x="2802"/>
        <item x="1885"/>
        <item x="2239"/>
        <item x="2515"/>
        <item x="181"/>
        <item x="384"/>
        <item x="532"/>
        <item x="687"/>
        <item x="779"/>
        <item x="878"/>
        <item x="1107"/>
        <item x="1170"/>
        <item x="1475"/>
        <item x="1795"/>
        <item x="1828"/>
        <item x="1981"/>
        <item x="2124"/>
        <item x="2240"/>
        <item x="2305"/>
        <item x="2361"/>
        <item x="2426"/>
        <item x="2516"/>
        <item x="3147"/>
        <item x="2754"/>
        <item x="3042"/>
        <item x="533"/>
        <item x="2755"/>
        <item x="3145"/>
        <item x="2803"/>
        <item x="2756"/>
        <item x="2757"/>
        <item x="1829"/>
        <item x="595"/>
        <item x="1652"/>
        <item x="1743"/>
        <item x="182"/>
        <item x="879"/>
        <item x="1312"/>
        <item x="2517"/>
        <item x="2125"/>
        <item x="2758"/>
        <item x="1982"/>
        <item x="780"/>
        <item x="2306"/>
        <item x="242"/>
        <item x="688"/>
        <item x="1171"/>
        <item x="781"/>
        <item x="1172"/>
        <item x="1592"/>
        <item x="3111"/>
        <item x="2759"/>
        <item x="782"/>
        <item x="3112"/>
        <item x="2126"/>
        <item x="2951"/>
        <item x="385"/>
        <item x="689"/>
        <item x="783"/>
        <item x="1394"/>
        <item x="988"/>
        <item x="1395"/>
        <item x="2205"/>
        <item x="2989"/>
        <item x="1983"/>
        <item x="386"/>
        <item x="1192"/>
        <item x="63"/>
        <item x="534"/>
        <item x="2760"/>
        <item x="2990"/>
        <item x="989"/>
        <item x="2761"/>
        <item x="2241"/>
        <item x="2041"/>
        <item x="1476"/>
        <item x="387"/>
        <item x="535"/>
        <item x="2427"/>
        <item x="3113"/>
        <item x="880"/>
        <item x="2042"/>
        <item x="2762"/>
        <item x="536"/>
        <item x="537"/>
        <item x="690"/>
        <item x="784"/>
        <item x="881"/>
        <item x="1108"/>
        <item x="1477"/>
        <item x="1593"/>
        <item x="1796"/>
        <item x="1886"/>
        <item x="1984"/>
        <item x="2127"/>
        <item x="2307"/>
        <item x="2518"/>
        <item x="2911"/>
        <item x="785"/>
        <item x="2804"/>
        <item x="2242"/>
        <item x="1396"/>
        <item x="3142"/>
        <item x="3114"/>
        <item x="64"/>
        <item x="183"/>
        <item x="306"/>
        <item x="388"/>
        <item x="538"/>
        <item x="596"/>
        <item x="691"/>
        <item x="786"/>
        <item x="882"/>
        <item x="990"/>
        <item x="1109"/>
        <item x="1173"/>
        <item x="1193"/>
        <item x="1215"/>
        <item x="1397"/>
        <item x="1478"/>
        <item x="1594"/>
        <item x="1744"/>
        <item x="1887"/>
        <item x="1985"/>
        <item x="2128"/>
        <item x="2206"/>
        <item x="2243"/>
        <item x="2308"/>
        <item x="2317"/>
        <item x="2519"/>
        <item x="2763"/>
        <item x="2805"/>
        <item x="2819"/>
        <item x="2912"/>
        <item x="3115"/>
        <item x="2207"/>
        <item x="1763"/>
        <item x="1313"/>
        <item x="1986"/>
        <item x="1398"/>
        <item x="3116"/>
        <item x="3117"/>
        <item x="3118"/>
        <item x="539"/>
        <item x="692"/>
        <item x="787"/>
        <item x="883"/>
        <item x="1110"/>
        <item x="1314"/>
        <item x="1479"/>
        <item x="1595"/>
        <item x="1745"/>
        <item x="1888"/>
        <item x="1987"/>
        <item x="2129"/>
        <item x="2309"/>
        <item x="2520"/>
        <item x="2806"/>
        <item x="3043"/>
        <item x="2952"/>
        <item x="2521"/>
        <item x="2764"/>
        <item x="2807"/>
        <item x="540"/>
        <item x="884"/>
        <item x="1111"/>
        <item x="1174"/>
        <item x="1480"/>
        <item x="1596"/>
        <item x="1746"/>
        <item x="3044"/>
        <item x="307"/>
        <item x="788"/>
        <item x="2043"/>
        <item x="1175"/>
        <item x="1176"/>
        <item x="1177"/>
        <item x="1889"/>
        <item x="317"/>
        <item x="2310"/>
        <item x="2913"/>
        <item x="3143"/>
        <item x="3045"/>
        <item x="1315"/>
        <item x="2765"/>
        <item x="2991"/>
        <item x="1653"/>
        <item x="541"/>
        <item x="1747"/>
        <item x="2244"/>
        <item x="2766"/>
        <item x="1764"/>
        <item x="184"/>
        <item x="542"/>
        <item x="693"/>
        <item x="789"/>
        <item x="2522"/>
        <item x="694"/>
        <item x="543"/>
        <item x="790"/>
        <item x="1112"/>
        <item x="2992"/>
        <item x="1654"/>
        <item x="991"/>
        <item x="2767"/>
        <item x="1216"/>
        <item x="2768"/>
        <item x="65"/>
        <item x="544"/>
        <item x="545"/>
        <item x="1988"/>
        <item x="1399"/>
        <item x="546"/>
        <item x="1481"/>
        <item x="695"/>
        <item x="2769"/>
        <item x="2044"/>
        <item x="2130"/>
        <item x="2953"/>
        <item x="2362"/>
        <item x="696"/>
        <item x="2523"/>
        <item x="2770"/>
        <item x="992"/>
        <item x="1989"/>
        <item x="2524"/>
        <item x="2771"/>
        <item x="2954"/>
        <item x="2820"/>
        <item x="2821"/>
        <item x="2772"/>
        <item x="1178"/>
        <item x="697"/>
        <item x="885"/>
        <item x="3119"/>
        <item x="886"/>
        <item x="1400"/>
        <item x="66"/>
        <item x="1482"/>
        <item x="3046"/>
        <item x="2773"/>
        <item x="2914"/>
        <item x="1113"/>
        <item x="2131"/>
        <item x="2774"/>
        <item x="3047"/>
        <item x="3120"/>
        <item x="887"/>
        <item x="698"/>
        <item x="1114"/>
        <item x="185"/>
        <item x="2208"/>
        <item x="993"/>
        <item x="2209"/>
        <item x="1217"/>
        <item x="1232"/>
        <item x="547"/>
        <item x="888"/>
        <item x="1597"/>
        <item x="94"/>
        <item x="889"/>
        <item x="1401"/>
        <item x="1598"/>
        <item x="2132"/>
        <item x="994"/>
        <item x="1890"/>
        <item x="2311"/>
        <item x="3048"/>
        <item x="2915"/>
        <item x="1990"/>
        <item x="2993"/>
        <item x="95"/>
        <item x="1483"/>
        <item x="2245"/>
        <item x="1991"/>
        <item x="2428"/>
        <item x="1891"/>
        <item x="110"/>
        <item x="1484"/>
        <item x="186"/>
        <item x="1402"/>
        <item x="1655"/>
        <item x="2775"/>
        <item x="243"/>
        <item x="1194"/>
        <item x="1748"/>
        <item x="2312"/>
        <item x="2363"/>
        <item x="2916"/>
        <item x="2776"/>
        <item x="244"/>
        <item x="96"/>
        <item x="111"/>
        <item x="308"/>
        <item x="2777"/>
        <item x="2778"/>
        <item x="24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</pivotFields>
  <rowFields count="1">
    <field x="14"/>
  </rowFields>
  <rowItems count="16">
    <i>
      <x v="2505"/>
    </i>
    <i>
      <x v="200"/>
    </i>
    <i>
      <x v="1786"/>
    </i>
    <i>
      <x v="1714"/>
    </i>
    <i>
      <x v="1212"/>
    </i>
    <i>
      <x v="529"/>
    </i>
    <i>
      <x v="860"/>
    </i>
    <i>
      <x v="2437"/>
    </i>
    <i>
      <x v="2765"/>
    </i>
    <i>
      <x v="1271"/>
    </i>
    <i>
      <x v="171"/>
    </i>
    <i>
      <x v="834"/>
    </i>
    <i>
      <x v="2261"/>
    </i>
    <i>
      <x v="630"/>
    </i>
    <i>
      <x v="2504"/>
    </i>
    <i t="grand">
      <x/>
    </i>
  </rowItems>
  <colItems count="1">
    <i/>
  </colItems>
  <pageFields count="1">
    <pageField fld="15" item="1" hier="-1"/>
  </pageFields>
  <dataFields count="1">
    <dataField name="Sum of Total: Disability Compensation Recipients" fld="3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2" iMeasureFld="0">
      <autoFilter ref="A1">
        <filterColumn colId="0">
          <top10 val="15" filterVal="15"/>
        </filterColumn>
      </autoFilter>
    </filter>
    <filter fld="14" type="count" evalOrder="-1" id="7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DE7DE-279B-4E69-9530-AD1FBB1240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9" firstHeaderRow="1" firstDataRow="1" firstDataCol="1"/>
  <pivotFields count="16">
    <pivotField showAll="0"/>
    <pivotField axis="axisRow" showAll="0" measureFilter="1" sortType="descending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53"/>
        <item x="38"/>
        <item x="51"/>
        <item x="39"/>
        <item x="40"/>
        <item x="41"/>
        <item x="42"/>
        <item x="43"/>
        <item x="54"/>
        <item x="52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 v="45"/>
    </i>
    <i>
      <x v="9"/>
    </i>
    <i>
      <x v="4"/>
    </i>
    <i>
      <x v="33"/>
    </i>
    <i>
      <x v="50"/>
    </i>
    <i>
      <x v="10"/>
    </i>
    <i>
      <x v="35"/>
    </i>
    <i>
      <x v="51"/>
    </i>
    <i>
      <x v="39"/>
    </i>
    <i>
      <x v="44"/>
    </i>
    <i>
      <x v="2"/>
    </i>
    <i>
      <x v="42"/>
    </i>
    <i>
      <x v="32"/>
    </i>
    <i>
      <x v="22"/>
    </i>
    <i>
      <x/>
    </i>
    <i t="grand">
      <x/>
    </i>
  </rowItems>
  <colItems count="1">
    <i/>
  </colItems>
  <dataFields count="1">
    <dataField name="Sum of Total: Disability Compensation Recipients" fld="3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CFDD59-1AC3-46E4-BC68-D214192D7B67}" name="Table37" displayName="Table37" ref="A4:C5" totalsRowShown="0" headerRowDxfId="1" dataDxfId="0">
  <tableColumns count="3">
    <tableColumn id="1" xr3:uid="{282CC96A-5079-4143-90DC-5BE733A52867}" name="Total Recipients Nationwide" dataDxfId="4">
      <calculatedColumnFormula>SUM(fy2025_disability_analysis_by_c!D2:D3149)</calculatedColumnFormula>
    </tableColumn>
    <tableColumn id="2" xr3:uid="{5870634D-6928-4C72-ACC7-347C911902B7}" name="Top State" dataDxfId="3"/>
    <tableColumn id="3" xr3:uid="{81E0F716-B91B-4E9C-B98A-4A83A36645E6}" name="% Rated 70% or Higher" dataDxfId="2" dataCellStyle="Percent">
      <calculatedColumnFormula>(Table2[[#This Row],[SUM]]+Sheet2!B6)/SUM(Table2[SUM])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455362-9719-40A0-A75D-8A73D64DDF63}" name="Table2" displayName="Table2" ref="A1:C6" totalsRowShown="0">
  <autoFilter ref="A1:C6" xr:uid="{B0455362-9719-40A0-A75D-8A73D64DDF63}"/>
  <tableColumns count="3">
    <tableColumn id="1" xr3:uid="{58B0ADF3-8E91-4A51-AF10-C28DC4027367}" name="SCD RANGE"/>
    <tableColumn id="2" xr3:uid="{492A37B8-0F34-4150-8596-DBD90B4B8FBF}" name="SUM"/>
    <tableColumn id="3" xr3:uid="{E7343C9D-7E74-4508-A85F-BF0A3B8E99F7}" name="% of Total" dataDxfId="15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40357-01C3-4F5D-84E5-B383F4AECF59}" name="Table1" displayName="Table1" ref="A1:P3149" totalsRowShown="0">
  <autoFilter ref="A1:P3149" xr:uid="{51C40357-01C3-4F5D-84E5-B383F4AECF59}"/>
  <sortState xmlns:xlrd2="http://schemas.microsoft.com/office/spreadsheetml/2017/richdata2" ref="A2:O3149">
    <sortCondition ref="C1:C3149"/>
  </sortState>
  <tableColumns count="16">
    <tableColumn id="1" xr3:uid="{515582C0-690A-43DC-B362-C9B42FCD197C}" name="FIPS code"/>
    <tableColumn id="2" xr3:uid="{FDC3D849-E1C1-4A42-82BD-4A685089D55C}" name="State"/>
    <tableColumn id="3" xr3:uid="{58E27590-53BD-4714-A129-32315BFE6A45}" name="County Name"/>
    <tableColumn id="4" xr3:uid="{38F3F6A9-9A99-4FFC-AFA8-0AA1A338595D}" name="Total: Disability Compensation Recipients" dataDxfId="14"/>
    <tableColumn id="5" xr3:uid="{35B78422-DE08-4F62-8749-FEE036C94F3F}" name="SCD rating: 0% to 20%" dataDxfId="13"/>
    <tableColumn id="6" xr3:uid="{AB030AA6-414C-4B75-B288-620D05E05B6A}" name="SCD rating: 30% to 40%"/>
    <tableColumn id="7" xr3:uid="{A342E4E9-9607-4E23-B12E-14CF12E58157}" name="SCD rating: 50% to 60%"/>
    <tableColumn id="8" xr3:uid="{639B7456-AA1A-45E1-BEEF-D8E01E0D8EDA}" name="SCD rating: 70% to 90%" dataDxfId="12"/>
    <tableColumn id="9" xr3:uid="{6CFCC6BF-3A9F-4381-84BA-E6FDDEF92D09}" name="SCD rating: 100%" dataDxfId="11"/>
    <tableColumn id="10" xr3:uid="{ED405C63-CB79-4EF3-873E-7E26C6C4E5AE}" name="Age: 17-44" dataDxfId="10"/>
    <tableColumn id="11" xr3:uid="{04B6CA16-AF84-4CA0-BDCF-C61A8772CCB5}" name="Age: 45-64" dataDxfId="9"/>
    <tableColumn id="12" xr3:uid="{61F9AC4E-2B20-4F7B-9C2F-00FE9A3EDE39}" name="Age: 65 or older" dataDxfId="8"/>
    <tableColumn id="13" xr3:uid="{E504BAE8-E788-43CD-95AF-9FDB9160679F}" name="Male" dataDxfId="7"/>
    <tableColumn id="14" xr3:uid="{3B6AA086-D551-406A-9913-7663B6CB598C}" name="Female" dataDxfId="6"/>
    <tableColumn id="15" xr3:uid="{0FE1ECF5-F75E-4065-9C58-7B651FE0E78A}" name="State,County"/>
    <tableColumn id="16" xr3:uid="{904C3DDE-2CD1-40E6-9F04-8829BE34CB03}" name="Real County?" dataDxfId="5">
      <calculatedColumnFormula>NOT(OR(Table1[[#This Row],[State]]="Other Foreign Countries", Table1[[#This Row],[State]]="Unknown", Table1[[#This Row],[State]]="Puerto Rico all counties"))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0C3C-42FF-4D7E-8BBD-F795648930FB}">
  <dimension ref="A3:B38"/>
  <sheetViews>
    <sheetView tabSelected="1" topLeftCell="A15" zoomScale="72" workbookViewId="0">
      <selection activeCell="O41" sqref="O41"/>
    </sheetView>
  </sheetViews>
  <sheetFormatPr defaultRowHeight="15" x14ac:dyDescent="0.25"/>
  <cols>
    <col min="1" max="1" width="29.28515625" bestFit="1" customWidth="1"/>
    <col min="2" max="2" width="64.28515625" bestFit="1" customWidth="1"/>
  </cols>
  <sheetData>
    <row r="3" spans="1:2" x14ac:dyDescent="0.25">
      <c r="A3" s="2" t="s">
        <v>5056</v>
      </c>
      <c r="B3" t="s">
        <v>5058</v>
      </c>
    </row>
    <row r="4" spans="1:2" x14ac:dyDescent="0.25">
      <c r="A4" s="3" t="s">
        <v>2654</v>
      </c>
      <c r="B4">
        <v>682628</v>
      </c>
    </row>
    <row r="5" spans="1:2" x14ac:dyDescent="0.25">
      <c r="A5" s="3" t="s">
        <v>637</v>
      </c>
      <c r="B5">
        <v>538014</v>
      </c>
    </row>
    <row r="6" spans="1:2" x14ac:dyDescent="0.25">
      <c r="A6" s="3" t="s">
        <v>374</v>
      </c>
      <c r="B6">
        <v>502173</v>
      </c>
    </row>
    <row r="7" spans="1:2" x14ac:dyDescent="0.25">
      <c r="A7" s="3" t="s">
        <v>3121</v>
      </c>
      <c r="B7">
        <v>286763</v>
      </c>
    </row>
    <row r="8" spans="1:2" x14ac:dyDescent="0.25">
      <c r="A8" s="3" t="s">
        <v>4555</v>
      </c>
      <c r="B8">
        <v>275063</v>
      </c>
    </row>
    <row r="9" spans="1:2" x14ac:dyDescent="0.25">
      <c r="A9" s="3" t="s">
        <v>754</v>
      </c>
      <c r="B9">
        <v>273766</v>
      </c>
    </row>
    <row r="10" spans="1:2" x14ac:dyDescent="0.25">
      <c r="A10" s="3" t="s">
        <v>1343</v>
      </c>
      <c r="B10">
        <v>191332</v>
      </c>
    </row>
    <row r="11" spans="1:2" x14ac:dyDescent="0.25">
      <c r="A11" s="3" t="s">
        <v>144</v>
      </c>
      <c r="B11">
        <v>173242</v>
      </c>
    </row>
    <row r="12" spans="1:2" x14ac:dyDescent="0.25">
      <c r="A12" s="3" t="s">
        <v>3665</v>
      </c>
      <c r="B12">
        <v>171698</v>
      </c>
    </row>
    <row r="13" spans="1:2" x14ac:dyDescent="0.25">
      <c r="A13" s="3" t="s">
        <v>3951</v>
      </c>
      <c r="B13">
        <v>168911</v>
      </c>
    </row>
    <row r="14" spans="1:2" x14ac:dyDescent="0.25">
      <c r="A14" s="3" t="s">
        <v>211</v>
      </c>
      <c r="B14">
        <v>159063</v>
      </c>
    </row>
    <row r="15" spans="1:2" x14ac:dyDescent="0.25">
      <c r="A15" s="3" t="s">
        <v>3772</v>
      </c>
      <c r="B15">
        <v>155553</v>
      </c>
    </row>
    <row r="16" spans="1:2" x14ac:dyDescent="0.25">
      <c r="A16" s="3" t="s">
        <v>3029</v>
      </c>
      <c r="B16">
        <v>155261</v>
      </c>
    </row>
    <row r="17" spans="1:2" x14ac:dyDescent="0.25">
      <c r="A17" s="3" t="s">
        <v>2099</v>
      </c>
      <c r="B17">
        <v>142220</v>
      </c>
    </row>
    <row r="18" spans="1:2" x14ac:dyDescent="0.25">
      <c r="A18" s="3" t="s">
        <v>15</v>
      </c>
      <c r="B18">
        <v>141973</v>
      </c>
    </row>
    <row r="19" spans="1:2" x14ac:dyDescent="0.25">
      <c r="A19" s="3" t="s">
        <v>5057</v>
      </c>
      <c r="B19">
        <v>4017660</v>
      </c>
    </row>
    <row r="20" spans="1:2" x14ac:dyDescent="0.25">
      <c r="A20" s="2" t="s">
        <v>5059</v>
      </c>
      <c r="B20" t="s">
        <v>5060</v>
      </c>
    </row>
    <row r="22" spans="1:2" x14ac:dyDescent="0.25">
      <c r="A22" s="2" t="s">
        <v>5056</v>
      </c>
      <c r="B22" t="s">
        <v>5058</v>
      </c>
    </row>
    <row r="23" spans="1:2" x14ac:dyDescent="0.25">
      <c r="A23" s="3" t="s">
        <v>447</v>
      </c>
      <c r="B23">
        <v>98159</v>
      </c>
    </row>
    <row r="24" spans="1:2" x14ac:dyDescent="0.25">
      <c r="A24" s="3" t="s">
        <v>4099</v>
      </c>
      <c r="B24">
        <v>95255</v>
      </c>
    </row>
    <row r="25" spans="1:2" x14ac:dyDescent="0.25">
      <c r="A25" s="3" t="s">
        <v>227</v>
      </c>
      <c r="B25">
        <v>78855</v>
      </c>
    </row>
    <row r="26" spans="1:2" x14ac:dyDescent="0.25">
      <c r="A26" s="3" t="s">
        <v>412</v>
      </c>
      <c r="B26">
        <v>73230</v>
      </c>
    </row>
    <row r="27" spans="1:2" x14ac:dyDescent="0.25">
      <c r="A27" s="3" t="s">
        <v>4239</v>
      </c>
      <c r="B27">
        <v>61160</v>
      </c>
    </row>
    <row r="28" spans="1:2" x14ac:dyDescent="0.25">
      <c r="A28" s="3" t="s">
        <v>2894</v>
      </c>
      <c r="B28">
        <v>58508</v>
      </c>
    </row>
    <row r="29" spans="1:2" x14ac:dyDescent="0.25">
      <c r="A29" s="3" t="s">
        <v>533</v>
      </c>
      <c r="B29">
        <v>52489</v>
      </c>
    </row>
    <row r="30" spans="1:2" x14ac:dyDescent="0.25">
      <c r="A30" s="3" t="s">
        <v>439</v>
      </c>
      <c r="B30">
        <v>50395</v>
      </c>
    </row>
    <row r="31" spans="1:2" x14ac:dyDescent="0.25">
      <c r="A31" s="3" t="s">
        <v>4428</v>
      </c>
      <c r="B31">
        <v>42439</v>
      </c>
    </row>
    <row r="32" spans="1:2" x14ac:dyDescent="0.25">
      <c r="A32" s="3" t="s">
        <v>688</v>
      </c>
      <c r="B32">
        <v>42212</v>
      </c>
    </row>
    <row r="33" spans="1:2" x14ac:dyDescent="0.25">
      <c r="A33" s="3" t="s">
        <v>4097</v>
      </c>
      <c r="B33">
        <v>39929</v>
      </c>
    </row>
    <row r="34" spans="1:2" x14ac:dyDescent="0.25">
      <c r="A34" s="3" t="s">
        <v>664</v>
      </c>
      <c r="B34">
        <v>37487</v>
      </c>
    </row>
    <row r="35" spans="1:2" x14ac:dyDescent="0.25">
      <c r="A35" s="3" t="s">
        <v>4811</v>
      </c>
      <c r="B35">
        <v>35747</v>
      </c>
    </row>
    <row r="36" spans="1:2" x14ac:dyDescent="0.25">
      <c r="A36" s="3" t="s">
        <v>1134</v>
      </c>
      <c r="B36">
        <v>32786</v>
      </c>
    </row>
    <row r="37" spans="1:2" x14ac:dyDescent="0.25">
      <c r="A37" s="3" t="s">
        <v>445</v>
      </c>
      <c r="B37">
        <v>32294</v>
      </c>
    </row>
    <row r="38" spans="1:2" x14ac:dyDescent="0.25">
      <c r="A38" s="3" t="s">
        <v>5057</v>
      </c>
      <c r="B38">
        <v>830945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470C-8029-46FC-BE64-E78DC4BAF75F}">
  <dimension ref="A1:T11"/>
  <sheetViews>
    <sheetView showGridLines="0" zoomScale="55" zoomScaleNormal="55" workbookViewId="0">
      <selection activeCell="X24" sqref="X24"/>
    </sheetView>
  </sheetViews>
  <sheetFormatPr defaultRowHeight="15" x14ac:dyDescent="0.25"/>
  <cols>
    <col min="1" max="1" width="36.7109375" bestFit="1" customWidth="1"/>
    <col min="2" max="2" width="13.85546875" bestFit="1" customWidth="1"/>
    <col min="3" max="3" width="29.28515625" bestFit="1" customWidth="1"/>
  </cols>
  <sheetData>
    <row r="1" spans="1:20" x14ac:dyDescent="0.25">
      <c r="A1" s="9" t="s">
        <v>5071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4" spans="1:20" x14ac:dyDescent="0.25">
      <c r="A4" s="6" t="s">
        <v>5068</v>
      </c>
      <c r="B4" s="6" t="s">
        <v>5069</v>
      </c>
      <c r="C4" s="6" t="s">
        <v>5070</v>
      </c>
    </row>
    <row r="5" spans="1:20" ht="18.75" x14ac:dyDescent="0.25">
      <c r="A5" s="7">
        <f>SUM(fy2025_disability_analysis_by_c!D2:D3149)</f>
        <v>6331627</v>
      </c>
      <c r="B5" s="7" t="s">
        <v>2654</v>
      </c>
      <c r="C5" s="8">
        <f>(Table2[[#This Row],[SUM]]+Sheet2!B6)/SUM(Table2[SUM])</f>
        <v>0.58721524006344017</v>
      </c>
    </row>
    <row r="10" spans="1:20" x14ac:dyDescent="0.25">
      <c r="A10" s="6"/>
      <c r="B10" s="6"/>
      <c r="C10" s="6"/>
    </row>
    <row r="11" spans="1:20" ht="18.75" x14ac:dyDescent="0.25">
      <c r="A11" s="7"/>
      <c r="B11" s="7"/>
      <c r="C11" s="8"/>
    </row>
  </sheetData>
  <mergeCells count="1">
    <mergeCell ref="A1:T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51CA-5D53-4A14-A14B-F4C33CF0D545}">
  <dimension ref="A1:C6"/>
  <sheetViews>
    <sheetView workbookViewId="0">
      <selection activeCell="C15" sqref="C15"/>
    </sheetView>
  </sheetViews>
  <sheetFormatPr defaultRowHeight="15" x14ac:dyDescent="0.25"/>
  <cols>
    <col min="1" max="1" width="14" customWidth="1"/>
    <col min="3" max="3" width="11.85546875" style="5" customWidth="1"/>
  </cols>
  <sheetData>
    <row r="1" spans="1:3" x14ac:dyDescent="0.25">
      <c r="A1" t="s">
        <v>5067</v>
      </c>
      <c r="B1" t="s">
        <v>5066</v>
      </c>
      <c r="C1" s="5" t="s">
        <v>5065</v>
      </c>
    </row>
    <row r="2" spans="1:3" x14ac:dyDescent="0.25">
      <c r="A2" t="s">
        <v>5061</v>
      </c>
      <c r="B2">
        <f>SUM(fy2025_disability_analysis_by_c!E:E)</f>
        <v>1218210</v>
      </c>
      <c r="C2" s="5">
        <f>(B2/SUM(B2:B6))</f>
        <v>0.19259238414197652</v>
      </c>
    </row>
    <row r="3" spans="1:3" x14ac:dyDescent="0.25">
      <c r="A3" t="s">
        <v>5062</v>
      </c>
      <c r="B3">
        <f>SUM(fy2025_disability_analysis_by_c!F:F)</f>
        <v>663882</v>
      </c>
      <c r="C3" s="5">
        <f>(B3/SUM(B2:B6))</f>
        <v>0.10495613824294961</v>
      </c>
    </row>
    <row r="4" spans="1:3" x14ac:dyDescent="0.25">
      <c r="A4" t="s">
        <v>5063</v>
      </c>
      <c r="B4">
        <f>SUM(fy2025_disability_analysis_by_c!G:G)</f>
        <v>728907</v>
      </c>
      <c r="C4" s="5">
        <f>(B4/SUM(B2:B6))</f>
        <v>0.11523623755163369</v>
      </c>
    </row>
    <row r="5" spans="1:3" x14ac:dyDescent="0.25">
      <c r="A5" t="s">
        <v>5064</v>
      </c>
      <c r="B5">
        <f>SUM(fy2025_disability_analysis_by_c!H:H)</f>
        <v>1868474</v>
      </c>
      <c r="C5" s="5">
        <f>(B5/SUM(B2:B6))</f>
        <v>0.29539559055277448</v>
      </c>
    </row>
    <row r="6" spans="1:3" x14ac:dyDescent="0.25">
      <c r="A6" s="4">
        <v>1</v>
      </c>
      <c r="B6">
        <f>SUM(fy2025_disability_analysis_by_c!I:I)</f>
        <v>1845855</v>
      </c>
      <c r="C6" s="5">
        <f>(B6/SUM(B2:B6))</f>
        <v>0.29181964951066569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09EF-3BAF-4213-ADB7-45996D2E3770}">
  <dimension ref="A1:P3149"/>
  <sheetViews>
    <sheetView topLeftCell="D1030" workbookViewId="0">
      <selection activeCell="P2" sqref="P2"/>
    </sheetView>
  </sheetViews>
  <sheetFormatPr defaultRowHeight="15" x14ac:dyDescent="0.25"/>
  <cols>
    <col min="1" max="1" width="11.85546875" customWidth="1"/>
    <col min="3" max="3" width="31.85546875" customWidth="1"/>
    <col min="4" max="4" width="41" customWidth="1"/>
    <col min="5" max="5" width="22.5703125" customWidth="1"/>
    <col min="6" max="8" width="23.5703125" customWidth="1"/>
    <col min="9" max="9" width="18.28515625" customWidth="1"/>
    <col min="10" max="11" width="12.140625" customWidth="1"/>
    <col min="12" max="12" width="16.85546875" customWidth="1"/>
    <col min="14" max="14" width="9.7109375" customWidth="1"/>
    <col min="15" max="15" width="68.85546875" bestFit="1" customWidth="1"/>
    <col min="16" max="16" width="6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5059</v>
      </c>
    </row>
    <row r="2" spans="1:16" x14ac:dyDescent="0.25">
      <c r="A2">
        <v>45001</v>
      </c>
      <c r="B2" t="s">
        <v>3772</v>
      </c>
      <c r="C2" t="s">
        <v>3773</v>
      </c>
      <c r="D2">
        <v>637</v>
      </c>
      <c r="E2">
        <v>107</v>
      </c>
      <c r="F2">
        <v>51</v>
      </c>
      <c r="G2">
        <v>82</v>
      </c>
      <c r="H2">
        <v>198</v>
      </c>
      <c r="I2">
        <v>199</v>
      </c>
      <c r="J2">
        <v>119</v>
      </c>
      <c r="K2">
        <v>196</v>
      </c>
      <c r="L2">
        <v>322</v>
      </c>
      <c r="M2">
        <v>575</v>
      </c>
      <c r="N2">
        <v>62</v>
      </c>
      <c r="O2" t="s">
        <v>3774</v>
      </c>
      <c r="P2" s="1" t="b">
        <f>NOT(OR(Table1[[#This Row],[State]]="Other Foreign Countries", Table1[[#This Row],[State]]="Unknown", Table1[[#This Row],[State]]="Puerto Rico all counties"))</f>
        <v>1</v>
      </c>
    </row>
    <row r="3" spans="1:16" x14ac:dyDescent="0.25">
      <c r="A3">
        <v>22001</v>
      </c>
      <c r="B3" t="s">
        <v>1892</v>
      </c>
      <c r="C3" t="s">
        <v>1893</v>
      </c>
      <c r="D3">
        <v>867</v>
      </c>
      <c r="E3">
        <v>183</v>
      </c>
      <c r="F3">
        <v>92</v>
      </c>
      <c r="G3">
        <v>108</v>
      </c>
      <c r="H3">
        <v>250</v>
      </c>
      <c r="I3">
        <v>234</v>
      </c>
      <c r="J3">
        <v>226</v>
      </c>
      <c r="K3">
        <v>278</v>
      </c>
      <c r="L3">
        <v>363</v>
      </c>
      <c r="M3">
        <v>805</v>
      </c>
      <c r="N3">
        <v>61</v>
      </c>
      <c r="O3" t="s">
        <v>1894</v>
      </c>
      <c r="P3" s="1" t="b">
        <f>NOT(OR(Table1[[#This Row],[State]]="Other Foreign Countries", Table1[[#This Row],[State]]="Unknown", Table1[[#This Row],[State]]="Puerto Rico all counties"))</f>
        <v>1</v>
      </c>
    </row>
    <row r="4" spans="1:16" x14ac:dyDescent="0.25">
      <c r="A4">
        <v>51001</v>
      </c>
      <c r="B4" t="s">
        <v>4555</v>
      </c>
      <c r="C4" t="s">
        <v>4556</v>
      </c>
      <c r="D4">
        <v>715</v>
      </c>
      <c r="E4">
        <v>133</v>
      </c>
      <c r="F4">
        <v>77</v>
      </c>
      <c r="G4">
        <v>101</v>
      </c>
      <c r="H4">
        <v>218</v>
      </c>
      <c r="I4">
        <v>186</v>
      </c>
      <c r="J4">
        <v>153</v>
      </c>
      <c r="K4">
        <v>250</v>
      </c>
      <c r="L4">
        <v>312</v>
      </c>
      <c r="M4">
        <v>626</v>
      </c>
      <c r="N4">
        <v>89</v>
      </c>
      <c r="O4" t="s">
        <v>4557</v>
      </c>
      <c r="P4" s="1" t="b">
        <f>NOT(OR(Table1[[#This Row],[State]]="Other Foreign Countries", Table1[[#This Row],[State]]="Unknown", Table1[[#This Row],[State]]="Puerto Rico all counties"))</f>
        <v>1</v>
      </c>
    </row>
    <row r="5" spans="1:16" x14ac:dyDescent="0.25">
      <c r="A5">
        <v>16001</v>
      </c>
      <c r="B5" t="s">
        <v>1032</v>
      </c>
      <c r="C5" t="s">
        <v>1033</v>
      </c>
      <c r="D5">
        <v>13151</v>
      </c>
      <c r="E5" s="1">
        <v>2830</v>
      </c>
      <c r="F5" s="1">
        <v>1666</v>
      </c>
      <c r="G5" s="1">
        <v>1798</v>
      </c>
      <c r="H5" s="1">
        <v>3942</v>
      </c>
      <c r="I5" s="1">
        <v>2915</v>
      </c>
      <c r="J5" s="1">
        <v>4267</v>
      </c>
      <c r="K5" s="1">
        <v>4305</v>
      </c>
      <c r="L5" s="1">
        <v>4579</v>
      </c>
      <c r="M5" s="1">
        <v>11656</v>
      </c>
      <c r="N5" s="1">
        <v>1492</v>
      </c>
      <c r="O5" t="s">
        <v>1034</v>
      </c>
      <c r="P5" s="1" t="b">
        <f>NOT(OR(Table1[[#This Row],[State]]="Other Foreign Countries", Table1[[#This Row],[State]]="Unknown", Table1[[#This Row],[State]]="Puerto Rico all counties"))</f>
        <v>1</v>
      </c>
    </row>
    <row r="6" spans="1:16" x14ac:dyDescent="0.25">
      <c r="A6">
        <v>19001</v>
      </c>
      <c r="B6" t="s">
        <v>1399</v>
      </c>
      <c r="C6" t="s">
        <v>1400</v>
      </c>
      <c r="D6">
        <v>148</v>
      </c>
      <c r="E6">
        <v>37</v>
      </c>
      <c r="F6">
        <v>23</v>
      </c>
      <c r="G6">
        <v>13</v>
      </c>
      <c r="H6">
        <v>49</v>
      </c>
      <c r="I6">
        <v>26</v>
      </c>
      <c r="J6">
        <v>27</v>
      </c>
      <c r="K6">
        <v>37</v>
      </c>
      <c r="L6">
        <v>84</v>
      </c>
      <c r="O6" t="s">
        <v>1401</v>
      </c>
      <c r="P6" s="1" t="b">
        <f>NOT(OR(Table1[[#This Row],[State]]="Other Foreign Countries", Table1[[#This Row],[State]]="Unknown", Table1[[#This Row],[State]]="Puerto Rico all counties"))</f>
        <v>1</v>
      </c>
    </row>
    <row r="7" spans="1:16" x14ac:dyDescent="0.25">
      <c r="A7">
        <v>21001</v>
      </c>
      <c r="B7" t="s">
        <v>1716</v>
      </c>
      <c r="C7" t="s">
        <v>1400</v>
      </c>
      <c r="D7">
        <v>339</v>
      </c>
      <c r="E7">
        <v>73</v>
      </c>
      <c r="F7">
        <v>33</v>
      </c>
      <c r="G7">
        <v>45</v>
      </c>
      <c r="H7">
        <v>103</v>
      </c>
      <c r="I7">
        <v>85</v>
      </c>
      <c r="J7">
        <v>79</v>
      </c>
      <c r="K7">
        <v>103</v>
      </c>
      <c r="L7">
        <v>157</v>
      </c>
      <c r="M7">
        <v>311</v>
      </c>
      <c r="N7">
        <v>28</v>
      </c>
      <c r="O7" t="s">
        <v>1717</v>
      </c>
      <c r="P7" s="1" t="b">
        <f>NOT(OR(Table1[[#This Row],[State]]="Other Foreign Countries", Table1[[#This Row],[State]]="Unknown", Table1[[#This Row],[State]]="Puerto Rico all counties"))</f>
        <v>1</v>
      </c>
    </row>
    <row r="8" spans="1:16" x14ac:dyDescent="0.25">
      <c r="A8">
        <v>29001</v>
      </c>
      <c r="B8" t="s">
        <v>2510</v>
      </c>
      <c r="C8" t="s">
        <v>1400</v>
      </c>
      <c r="D8">
        <v>422</v>
      </c>
      <c r="E8">
        <v>136</v>
      </c>
      <c r="F8">
        <v>45</v>
      </c>
      <c r="G8">
        <v>44</v>
      </c>
      <c r="H8">
        <v>115</v>
      </c>
      <c r="I8">
        <v>82</v>
      </c>
      <c r="J8">
        <v>100</v>
      </c>
      <c r="K8">
        <v>128</v>
      </c>
      <c r="L8">
        <v>194</v>
      </c>
      <c r="M8">
        <v>383</v>
      </c>
      <c r="N8">
        <v>39</v>
      </c>
      <c r="O8" t="s">
        <v>2511</v>
      </c>
      <c r="P8" s="1" t="b">
        <f>NOT(OR(Table1[[#This Row],[State]]="Other Foreign Countries", Table1[[#This Row],[State]]="Unknown", Table1[[#This Row],[State]]="Puerto Rico all counties"))</f>
        <v>1</v>
      </c>
    </row>
    <row r="9" spans="1:16" x14ac:dyDescent="0.25">
      <c r="A9">
        <v>40001</v>
      </c>
      <c r="B9" t="s">
        <v>3495</v>
      </c>
      <c r="C9" t="s">
        <v>1400</v>
      </c>
      <c r="D9">
        <v>397</v>
      </c>
      <c r="E9">
        <v>84</v>
      </c>
      <c r="F9">
        <v>33</v>
      </c>
      <c r="G9">
        <v>44</v>
      </c>
      <c r="H9">
        <v>138</v>
      </c>
      <c r="I9">
        <v>98</v>
      </c>
      <c r="J9">
        <v>85</v>
      </c>
      <c r="K9">
        <v>110</v>
      </c>
      <c r="L9">
        <v>202</v>
      </c>
      <c r="M9">
        <v>373</v>
      </c>
      <c r="N9">
        <v>24</v>
      </c>
      <c r="O9" t="s">
        <v>3496</v>
      </c>
      <c r="P9" s="1" t="b">
        <f>NOT(OR(Table1[[#This Row],[State]]="Other Foreign Countries", Table1[[#This Row],[State]]="Unknown", Table1[[#This Row],[State]]="Puerto Rico all counties"))</f>
        <v>1</v>
      </c>
    </row>
    <row r="10" spans="1:16" x14ac:dyDescent="0.25">
      <c r="A10">
        <v>8001</v>
      </c>
      <c r="B10" t="s">
        <v>489</v>
      </c>
      <c r="C10" t="s">
        <v>490</v>
      </c>
      <c r="D10">
        <v>7698</v>
      </c>
      <c r="E10" s="1">
        <v>1590</v>
      </c>
      <c r="F10">
        <v>978</v>
      </c>
      <c r="G10" s="1">
        <v>1022</v>
      </c>
      <c r="H10" s="1">
        <v>2396</v>
      </c>
      <c r="I10" s="1">
        <v>1712</v>
      </c>
      <c r="J10" s="1">
        <v>3220</v>
      </c>
      <c r="K10" s="1">
        <v>2164</v>
      </c>
      <c r="L10" s="1">
        <v>2314</v>
      </c>
      <c r="M10" s="1">
        <v>6701</v>
      </c>
      <c r="N10">
        <v>997</v>
      </c>
      <c r="O10" t="s">
        <v>491</v>
      </c>
      <c r="P10" s="1" t="b">
        <f>NOT(OR(Table1[[#This Row],[State]]="Other Foreign Countries", Table1[[#This Row],[State]]="Unknown", Table1[[#This Row],[State]]="Puerto Rico all counties"))</f>
        <v>1</v>
      </c>
    </row>
    <row r="11" spans="1:16" x14ac:dyDescent="0.25">
      <c r="A11">
        <v>16003</v>
      </c>
      <c r="B11" t="s">
        <v>1032</v>
      </c>
      <c r="C11" t="s">
        <v>490</v>
      </c>
      <c r="D11">
        <v>158</v>
      </c>
      <c r="E11">
        <v>38</v>
      </c>
      <c r="F11">
        <v>26</v>
      </c>
      <c r="G11">
        <v>20</v>
      </c>
      <c r="H11">
        <v>46</v>
      </c>
      <c r="I11">
        <v>28</v>
      </c>
      <c r="J11">
        <v>30</v>
      </c>
      <c r="K11">
        <v>46</v>
      </c>
      <c r="L11">
        <v>82</v>
      </c>
      <c r="M11">
        <v>140</v>
      </c>
      <c r="N11">
        <v>18</v>
      </c>
      <c r="O11" t="s">
        <v>1035</v>
      </c>
      <c r="P11" s="1" t="b">
        <f>NOT(OR(Table1[[#This Row],[State]]="Other Foreign Countries", Table1[[#This Row],[State]]="Unknown", Table1[[#This Row],[State]]="Puerto Rico all counties"))</f>
        <v>1</v>
      </c>
    </row>
    <row r="12" spans="1:16" x14ac:dyDescent="0.25">
      <c r="A12">
        <v>17001</v>
      </c>
      <c r="B12" t="s">
        <v>1109</v>
      </c>
      <c r="C12" t="s">
        <v>490</v>
      </c>
      <c r="D12">
        <v>1297</v>
      </c>
      <c r="E12">
        <v>283</v>
      </c>
      <c r="F12">
        <v>132</v>
      </c>
      <c r="G12">
        <v>148</v>
      </c>
      <c r="H12">
        <v>372</v>
      </c>
      <c r="I12">
        <v>362</v>
      </c>
      <c r="J12">
        <v>352</v>
      </c>
      <c r="K12">
        <v>334</v>
      </c>
      <c r="L12">
        <v>611</v>
      </c>
      <c r="M12" s="1">
        <v>1204</v>
      </c>
      <c r="N12">
        <v>93</v>
      </c>
      <c r="O12" t="s">
        <v>1110</v>
      </c>
      <c r="P12" s="1" t="b">
        <f>NOT(OR(Table1[[#This Row],[State]]="Other Foreign Countries", Table1[[#This Row],[State]]="Unknown", Table1[[#This Row],[State]]="Puerto Rico all counties"))</f>
        <v>1</v>
      </c>
    </row>
    <row r="13" spans="1:16" x14ac:dyDescent="0.25">
      <c r="A13">
        <v>18001</v>
      </c>
      <c r="B13" t="s">
        <v>1266</v>
      </c>
      <c r="C13" t="s">
        <v>490</v>
      </c>
      <c r="D13">
        <v>407</v>
      </c>
      <c r="E13">
        <v>147</v>
      </c>
      <c r="F13">
        <v>75</v>
      </c>
      <c r="G13">
        <v>54</v>
      </c>
      <c r="H13">
        <v>89</v>
      </c>
      <c r="I13">
        <v>42</v>
      </c>
      <c r="J13">
        <v>85</v>
      </c>
      <c r="K13">
        <v>97</v>
      </c>
      <c r="L13">
        <v>225</v>
      </c>
      <c r="M13">
        <v>380</v>
      </c>
      <c r="N13">
        <v>27</v>
      </c>
      <c r="O13" t="s">
        <v>1267</v>
      </c>
      <c r="P13" s="1" t="b">
        <f>NOT(OR(Table1[[#This Row],[State]]="Other Foreign Countries", Table1[[#This Row],[State]]="Unknown", Table1[[#This Row],[State]]="Puerto Rico all counties"))</f>
        <v>1</v>
      </c>
    </row>
    <row r="14" spans="1:16" x14ac:dyDescent="0.25">
      <c r="A14">
        <v>19003</v>
      </c>
      <c r="B14" t="s">
        <v>1399</v>
      </c>
      <c r="C14" t="s">
        <v>490</v>
      </c>
      <c r="D14">
        <v>59</v>
      </c>
      <c r="E14">
        <v>17</v>
      </c>
      <c r="G14">
        <v>15</v>
      </c>
      <c r="I14">
        <v>12</v>
      </c>
      <c r="J14">
        <v>10</v>
      </c>
      <c r="K14">
        <v>17</v>
      </c>
      <c r="L14">
        <v>32</v>
      </c>
      <c r="O14" t="s">
        <v>1402</v>
      </c>
      <c r="P14" s="1" t="b">
        <f>NOT(OR(Table1[[#This Row],[State]]="Other Foreign Countries", Table1[[#This Row],[State]]="Unknown", Table1[[#This Row],[State]]="Puerto Rico all counties"))</f>
        <v>1</v>
      </c>
    </row>
    <row r="15" spans="1:16" x14ac:dyDescent="0.25">
      <c r="A15">
        <v>28001</v>
      </c>
      <c r="B15" t="s">
        <v>322</v>
      </c>
      <c r="C15" t="s">
        <v>490</v>
      </c>
      <c r="D15">
        <v>519</v>
      </c>
      <c r="E15">
        <v>75</v>
      </c>
      <c r="F15">
        <v>46</v>
      </c>
      <c r="G15">
        <v>55</v>
      </c>
      <c r="H15">
        <v>182</v>
      </c>
      <c r="I15">
        <v>161</v>
      </c>
      <c r="J15">
        <v>73</v>
      </c>
      <c r="K15">
        <v>159</v>
      </c>
      <c r="L15">
        <v>287</v>
      </c>
      <c r="M15">
        <v>448</v>
      </c>
      <c r="N15">
        <v>71</v>
      </c>
      <c r="O15" t="s">
        <v>2394</v>
      </c>
      <c r="P15" s="1" t="b">
        <f>NOT(OR(Table1[[#This Row],[State]]="Other Foreign Countries", Table1[[#This Row],[State]]="Unknown", Table1[[#This Row],[State]]="Puerto Rico all counties"))</f>
        <v>1</v>
      </c>
    </row>
    <row r="16" spans="1:16" x14ac:dyDescent="0.25">
      <c r="A16">
        <v>31001</v>
      </c>
      <c r="B16" t="s">
        <v>2758</v>
      </c>
      <c r="C16" t="s">
        <v>490</v>
      </c>
      <c r="D16">
        <v>688</v>
      </c>
      <c r="E16">
        <v>278</v>
      </c>
      <c r="F16">
        <v>77</v>
      </c>
      <c r="G16">
        <v>81</v>
      </c>
      <c r="H16">
        <v>145</v>
      </c>
      <c r="I16">
        <v>107</v>
      </c>
      <c r="J16">
        <v>129</v>
      </c>
      <c r="K16">
        <v>153</v>
      </c>
      <c r="L16">
        <v>406</v>
      </c>
      <c r="M16">
        <v>639</v>
      </c>
      <c r="N16">
        <v>49</v>
      </c>
      <c r="O16" t="s">
        <v>2759</v>
      </c>
      <c r="P16" s="1" t="b">
        <f>NOT(OR(Table1[[#This Row],[State]]="Other Foreign Countries", Table1[[#This Row],[State]]="Unknown", Table1[[#This Row],[State]]="Puerto Rico all counties"))</f>
        <v>1</v>
      </c>
    </row>
    <row r="17" spans="1:16" x14ac:dyDescent="0.25">
      <c r="A17">
        <v>38001</v>
      </c>
      <c r="B17" t="s">
        <v>3286</v>
      </c>
      <c r="C17" t="s">
        <v>490</v>
      </c>
      <c r="D17">
        <v>44</v>
      </c>
      <c r="E17">
        <v>13</v>
      </c>
      <c r="H17">
        <v>12</v>
      </c>
      <c r="L17">
        <v>30</v>
      </c>
      <c r="O17" t="s">
        <v>3287</v>
      </c>
      <c r="P17" s="1" t="b">
        <f>NOT(OR(Table1[[#This Row],[State]]="Other Foreign Countries", Table1[[#This Row],[State]]="Unknown", Table1[[#This Row],[State]]="Puerto Rico all counties"))</f>
        <v>1</v>
      </c>
    </row>
    <row r="18" spans="1:16" x14ac:dyDescent="0.25">
      <c r="A18">
        <v>39001</v>
      </c>
      <c r="B18" t="s">
        <v>1343</v>
      </c>
      <c r="C18" t="s">
        <v>490</v>
      </c>
      <c r="D18">
        <v>538</v>
      </c>
      <c r="E18">
        <v>156</v>
      </c>
      <c r="F18">
        <v>65</v>
      </c>
      <c r="G18">
        <v>80</v>
      </c>
      <c r="H18">
        <v>127</v>
      </c>
      <c r="I18">
        <v>110</v>
      </c>
      <c r="J18">
        <v>114</v>
      </c>
      <c r="K18">
        <v>144</v>
      </c>
      <c r="L18">
        <v>280</v>
      </c>
      <c r="M18">
        <v>511</v>
      </c>
      <c r="N18">
        <v>27</v>
      </c>
      <c r="O18" t="s">
        <v>3371</v>
      </c>
      <c r="P18" s="1" t="b">
        <f>NOT(OR(Table1[[#This Row],[State]]="Other Foreign Countries", Table1[[#This Row],[State]]="Unknown", Table1[[#This Row],[State]]="Puerto Rico all counties"))</f>
        <v>1</v>
      </c>
    </row>
    <row r="19" spans="1:16" x14ac:dyDescent="0.25">
      <c r="A19">
        <v>42001</v>
      </c>
      <c r="B19" t="s">
        <v>3665</v>
      </c>
      <c r="C19" t="s">
        <v>490</v>
      </c>
      <c r="D19">
        <v>1888</v>
      </c>
      <c r="E19">
        <v>418</v>
      </c>
      <c r="F19">
        <v>243</v>
      </c>
      <c r="G19">
        <v>258</v>
      </c>
      <c r="H19">
        <v>538</v>
      </c>
      <c r="I19">
        <v>431</v>
      </c>
      <c r="J19">
        <v>490</v>
      </c>
      <c r="K19">
        <v>599</v>
      </c>
      <c r="L19">
        <v>799</v>
      </c>
      <c r="M19" s="1">
        <v>1640</v>
      </c>
      <c r="N19">
        <v>248</v>
      </c>
      <c r="O19" t="s">
        <v>3666</v>
      </c>
      <c r="P19" s="1" t="b">
        <f>NOT(OR(Table1[[#This Row],[State]]="Other Foreign Countries", Table1[[#This Row],[State]]="Unknown", Table1[[#This Row],[State]]="Puerto Rico all counties"))</f>
        <v>1</v>
      </c>
    </row>
    <row r="20" spans="1:16" x14ac:dyDescent="0.25">
      <c r="A20">
        <v>53001</v>
      </c>
      <c r="B20" t="s">
        <v>144</v>
      </c>
      <c r="C20" t="s">
        <v>490</v>
      </c>
      <c r="D20">
        <v>140</v>
      </c>
      <c r="E20">
        <v>32</v>
      </c>
      <c r="F20">
        <v>15</v>
      </c>
      <c r="G20">
        <v>18</v>
      </c>
      <c r="H20">
        <v>36</v>
      </c>
      <c r="I20">
        <v>39</v>
      </c>
      <c r="J20">
        <v>45</v>
      </c>
      <c r="K20">
        <v>33</v>
      </c>
      <c r="L20">
        <v>62</v>
      </c>
      <c r="M20">
        <v>125</v>
      </c>
      <c r="N20">
        <v>15</v>
      </c>
      <c r="O20" t="s">
        <v>4772</v>
      </c>
      <c r="P20" s="1" t="b">
        <f>NOT(OR(Table1[[#This Row],[State]]="Other Foreign Countries", Table1[[#This Row],[State]]="Unknown", Table1[[#This Row],[State]]="Puerto Rico all counties"))</f>
        <v>1</v>
      </c>
    </row>
    <row r="21" spans="1:16" x14ac:dyDescent="0.25">
      <c r="A21">
        <v>55001</v>
      </c>
      <c r="B21" t="s">
        <v>4906</v>
      </c>
      <c r="C21" t="s">
        <v>490</v>
      </c>
      <c r="D21">
        <v>669</v>
      </c>
      <c r="E21">
        <v>166</v>
      </c>
      <c r="F21">
        <v>72</v>
      </c>
      <c r="G21">
        <v>94</v>
      </c>
      <c r="H21">
        <v>166</v>
      </c>
      <c r="I21">
        <v>171</v>
      </c>
      <c r="J21">
        <v>100</v>
      </c>
      <c r="K21">
        <v>179</v>
      </c>
      <c r="L21">
        <v>390</v>
      </c>
      <c r="M21">
        <v>624</v>
      </c>
      <c r="N21">
        <v>45</v>
      </c>
      <c r="O21" t="s">
        <v>4907</v>
      </c>
      <c r="P21" s="1" t="b">
        <f>NOT(OR(Table1[[#This Row],[State]]="Other Foreign Countries", Table1[[#This Row],[State]]="Unknown", Table1[[#This Row],[State]]="Puerto Rico all counties"))</f>
        <v>1</v>
      </c>
    </row>
    <row r="22" spans="1:16" x14ac:dyDescent="0.25">
      <c r="A22">
        <v>50001</v>
      </c>
      <c r="B22" t="s">
        <v>4531</v>
      </c>
      <c r="C22" t="s">
        <v>4532</v>
      </c>
      <c r="D22">
        <v>423</v>
      </c>
      <c r="E22">
        <v>110</v>
      </c>
      <c r="F22">
        <v>53</v>
      </c>
      <c r="G22">
        <v>50</v>
      </c>
      <c r="H22">
        <v>118</v>
      </c>
      <c r="I22">
        <v>92</v>
      </c>
      <c r="J22">
        <v>102</v>
      </c>
      <c r="K22">
        <v>123</v>
      </c>
      <c r="L22">
        <v>198</v>
      </c>
      <c r="M22">
        <v>384</v>
      </c>
      <c r="N22">
        <v>39</v>
      </c>
      <c r="O22" t="s">
        <v>4533</v>
      </c>
      <c r="P22" s="1" t="b">
        <f>NOT(OR(Table1[[#This Row],[State]]="Other Foreign Countries", Table1[[#This Row],[State]]="Unknown", Table1[[#This Row],[State]]="Puerto Rico all counties"))</f>
        <v>1</v>
      </c>
    </row>
    <row r="23" spans="1:16" x14ac:dyDescent="0.25">
      <c r="A23">
        <v>45003</v>
      </c>
      <c r="B23" t="s">
        <v>3772</v>
      </c>
      <c r="C23" t="s">
        <v>3775</v>
      </c>
      <c r="D23">
        <v>5544</v>
      </c>
      <c r="E23">
        <v>807</v>
      </c>
      <c r="F23">
        <v>577</v>
      </c>
      <c r="G23">
        <v>665</v>
      </c>
      <c r="H23" s="1">
        <v>1785</v>
      </c>
      <c r="I23" s="1">
        <v>1710</v>
      </c>
      <c r="J23" s="1">
        <v>1612</v>
      </c>
      <c r="K23" s="1">
        <v>2019</v>
      </c>
      <c r="L23" s="1">
        <v>1913</v>
      </c>
      <c r="M23" s="1">
        <v>4678</v>
      </c>
      <c r="N23">
        <v>865</v>
      </c>
      <c r="O23" t="s">
        <v>3776</v>
      </c>
      <c r="P23" s="1" t="b">
        <f>NOT(OR(Table1[[#This Row],[State]]="Other Foreign Countries", Table1[[#This Row],[State]]="Unknown", Table1[[#This Row],[State]]="Puerto Rico all counties"))</f>
        <v>1</v>
      </c>
    </row>
    <row r="24" spans="1:16" x14ac:dyDescent="0.25">
      <c r="A24">
        <v>27001</v>
      </c>
      <c r="B24" t="s">
        <v>2245</v>
      </c>
      <c r="C24" t="s">
        <v>2246</v>
      </c>
      <c r="D24">
        <v>675</v>
      </c>
      <c r="E24">
        <v>302</v>
      </c>
      <c r="F24">
        <v>78</v>
      </c>
      <c r="G24">
        <v>70</v>
      </c>
      <c r="H24">
        <v>127</v>
      </c>
      <c r="I24">
        <v>98</v>
      </c>
      <c r="J24">
        <v>57</v>
      </c>
      <c r="K24">
        <v>133</v>
      </c>
      <c r="L24">
        <v>485</v>
      </c>
      <c r="M24">
        <v>640</v>
      </c>
      <c r="N24">
        <v>34</v>
      </c>
      <c r="O24" t="s">
        <v>2247</v>
      </c>
      <c r="P24" s="1" t="b">
        <f>NOT(OR(Table1[[#This Row],[State]]="Other Foreign Countries", Table1[[#This Row],[State]]="Unknown", Table1[[#This Row],[State]]="Puerto Rico all counties"))</f>
        <v>1</v>
      </c>
    </row>
    <row r="25" spans="1:16" x14ac:dyDescent="0.25">
      <c r="A25">
        <v>12001</v>
      </c>
      <c r="B25" t="s">
        <v>637</v>
      </c>
      <c r="C25" t="s">
        <v>638</v>
      </c>
      <c r="D25">
        <v>5640</v>
      </c>
      <c r="E25" s="1">
        <v>1133</v>
      </c>
      <c r="F25">
        <v>618</v>
      </c>
      <c r="G25">
        <v>695</v>
      </c>
      <c r="H25" s="1">
        <v>1621</v>
      </c>
      <c r="I25" s="1">
        <v>1573</v>
      </c>
      <c r="J25" s="1">
        <v>1476</v>
      </c>
      <c r="K25" s="1">
        <v>1876</v>
      </c>
      <c r="L25" s="1">
        <v>2288</v>
      </c>
      <c r="M25" s="1">
        <v>4834</v>
      </c>
      <c r="N25">
        <v>803</v>
      </c>
      <c r="O25" t="s">
        <v>639</v>
      </c>
      <c r="P25" s="1" t="b">
        <f>NOT(OR(Table1[[#This Row],[State]]="Other Foreign Countries", Table1[[#This Row],[State]]="Unknown", Table1[[#This Row],[State]]="Puerto Rico all counties"))</f>
        <v>1</v>
      </c>
    </row>
    <row r="26" spans="1:16" x14ac:dyDescent="0.25">
      <c r="A26">
        <v>37001</v>
      </c>
      <c r="B26" t="s">
        <v>3121</v>
      </c>
      <c r="C26" t="s">
        <v>3122</v>
      </c>
      <c r="D26">
        <v>3179</v>
      </c>
      <c r="E26">
        <v>569</v>
      </c>
      <c r="F26">
        <v>332</v>
      </c>
      <c r="G26">
        <v>375</v>
      </c>
      <c r="H26">
        <v>998</v>
      </c>
      <c r="I26">
        <v>905</v>
      </c>
      <c r="J26">
        <v>900</v>
      </c>
      <c r="K26" s="1">
        <v>1036</v>
      </c>
      <c r="L26" s="1">
        <v>1243</v>
      </c>
      <c r="M26" s="1">
        <v>2743</v>
      </c>
      <c r="N26">
        <v>435</v>
      </c>
      <c r="O26" t="s">
        <v>3123</v>
      </c>
      <c r="P26" s="1" t="b">
        <f>NOT(OR(Table1[[#This Row],[State]]="Other Foreign Countries", Table1[[#This Row],[State]]="Unknown", Table1[[#This Row],[State]]="Puerto Rico all counties"))</f>
        <v>1</v>
      </c>
    </row>
    <row r="27" spans="1:16" x14ac:dyDescent="0.25">
      <c r="A27">
        <v>6001</v>
      </c>
      <c r="B27" t="s">
        <v>374</v>
      </c>
      <c r="C27" t="s">
        <v>375</v>
      </c>
      <c r="D27">
        <v>10203</v>
      </c>
      <c r="E27" s="1">
        <v>2196</v>
      </c>
      <c r="F27" s="1">
        <v>1143</v>
      </c>
      <c r="G27" s="1">
        <v>1238</v>
      </c>
      <c r="H27" s="1">
        <v>2911</v>
      </c>
      <c r="I27" s="1">
        <v>2715</v>
      </c>
      <c r="J27" s="1">
        <v>3321</v>
      </c>
      <c r="K27" s="1">
        <v>2698</v>
      </c>
      <c r="L27" s="1">
        <v>4184</v>
      </c>
      <c r="M27" s="1">
        <v>9039</v>
      </c>
      <c r="N27" s="1">
        <v>1162</v>
      </c>
      <c r="O27" t="s">
        <v>376</v>
      </c>
      <c r="P27" s="1" t="b">
        <f>NOT(OR(Table1[[#This Row],[State]]="Other Foreign Countries", Table1[[#This Row],[State]]="Unknown", Table1[[#This Row],[State]]="Puerto Rico all counties"))</f>
        <v>1</v>
      </c>
    </row>
    <row r="28" spans="1:16" x14ac:dyDescent="0.25">
      <c r="A28">
        <v>8003</v>
      </c>
      <c r="B28" t="s">
        <v>489</v>
      </c>
      <c r="C28" t="s">
        <v>492</v>
      </c>
      <c r="D28">
        <v>282</v>
      </c>
      <c r="E28">
        <v>54</v>
      </c>
      <c r="F28">
        <v>27</v>
      </c>
      <c r="G28">
        <v>35</v>
      </c>
      <c r="H28">
        <v>88</v>
      </c>
      <c r="I28">
        <v>78</v>
      </c>
      <c r="J28">
        <v>73</v>
      </c>
      <c r="K28">
        <v>81</v>
      </c>
      <c r="L28">
        <v>128</v>
      </c>
      <c r="M28">
        <v>255</v>
      </c>
      <c r="N28">
        <v>27</v>
      </c>
      <c r="O28" t="s">
        <v>493</v>
      </c>
      <c r="P28" s="1" t="b">
        <f>NOT(OR(Table1[[#This Row],[State]]="Other Foreign Countries", Table1[[#This Row],[State]]="Unknown", Table1[[#This Row],[State]]="Puerto Rico all counties"))</f>
        <v>1</v>
      </c>
    </row>
    <row r="29" spans="1:16" x14ac:dyDescent="0.25">
      <c r="A29">
        <v>36001</v>
      </c>
      <c r="B29" t="s">
        <v>3029</v>
      </c>
      <c r="C29" t="s">
        <v>3030</v>
      </c>
      <c r="D29">
        <v>3069</v>
      </c>
      <c r="E29">
        <v>748</v>
      </c>
      <c r="F29">
        <v>389</v>
      </c>
      <c r="G29">
        <v>381</v>
      </c>
      <c r="H29">
        <v>850</v>
      </c>
      <c r="I29">
        <v>701</v>
      </c>
      <c r="J29">
        <v>825</v>
      </c>
      <c r="K29">
        <v>871</v>
      </c>
      <c r="L29" s="1">
        <v>1373</v>
      </c>
      <c r="M29" s="1">
        <v>2724</v>
      </c>
      <c r="N29">
        <v>344</v>
      </c>
      <c r="O29" t="s">
        <v>3031</v>
      </c>
      <c r="P29" s="1" t="b">
        <f>NOT(OR(Table1[[#This Row],[State]]="Other Foreign Countries", Table1[[#This Row],[State]]="Unknown", Table1[[#This Row],[State]]="Puerto Rico all counties"))</f>
        <v>1</v>
      </c>
    </row>
    <row r="30" spans="1:16" x14ac:dyDescent="0.25">
      <c r="A30">
        <v>56001</v>
      </c>
      <c r="B30" t="s">
        <v>3117</v>
      </c>
      <c r="C30" t="s">
        <v>3030</v>
      </c>
      <c r="D30">
        <v>842</v>
      </c>
      <c r="E30">
        <v>229</v>
      </c>
      <c r="F30">
        <v>110</v>
      </c>
      <c r="G30">
        <v>100</v>
      </c>
      <c r="H30">
        <v>208</v>
      </c>
      <c r="I30">
        <v>195</v>
      </c>
      <c r="J30">
        <v>321</v>
      </c>
      <c r="K30">
        <v>241</v>
      </c>
      <c r="L30">
        <v>280</v>
      </c>
      <c r="M30">
        <v>753</v>
      </c>
      <c r="N30">
        <v>89</v>
      </c>
      <c r="O30" t="s">
        <v>5013</v>
      </c>
      <c r="P30" s="1" t="b">
        <f>NOT(OR(Table1[[#This Row],[State]]="Other Foreign Countries", Table1[[#This Row],[State]]="Unknown", Table1[[#This Row],[State]]="Puerto Rico all counties"))</f>
        <v>1</v>
      </c>
    </row>
    <row r="31" spans="1:16" x14ac:dyDescent="0.25">
      <c r="A31">
        <v>51003</v>
      </c>
      <c r="B31" t="s">
        <v>4555</v>
      </c>
      <c r="C31" t="s">
        <v>4558</v>
      </c>
      <c r="D31">
        <v>1823</v>
      </c>
      <c r="E31">
        <v>325</v>
      </c>
      <c r="F31">
        <v>225</v>
      </c>
      <c r="G31">
        <v>230</v>
      </c>
      <c r="H31">
        <v>564</v>
      </c>
      <c r="I31">
        <v>479</v>
      </c>
      <c r="J31">
        <v>629</v>
      </c>
      <c r="K31">
        <v>630</v>
      </c>
      <c r="L31">
        <v>564</v>
      </c>
      <c r="M31" s="1">
        <v>1561</v>
      </c>
      <c r="N31">
        <v>262</v>
      </c>
      <c r="O31" t="s">
        <v>4559</v>
      </c>
      <c r="P31" s="1" t="b">
        <f>NOT(OR(Table1[[#This Row],[State]]="Other Foreign Countries", Table1[[#This Row],[State]]="Unknown", Table1[[#This Row],[State]]="Puerto Rico all counties"))</f>
        <v>1</v>
      </c>
    </row>
    <row r="32" spans="1:16" x14ac:dyDescent="0.25">
      <c r="A32">
        <v>26001</v>
      </c>
      <c r="B32" t="s">
        <v>2099</v>
      </c>
      <c r="C32" t="s">
        <v>2100</v>
      </c>
      <c r="D32">
        <v>400</v>
      </c>
      <c r="E32">
        <v>105</v>
      </c>
      <c r="F32">
        <v>44</v>
      </c>
      <c r="G32">
        <v>45</v>
      </c>
      <c r="H32">
        <v>121</v>
      </c>
      <c r="I32">
        <v>85</v>
      </c>
      <c r="J32">
        <v>54</v>
      </c>
      <c r="K32">
        <v>95</v>
      </c>
      <c r="L32">
        <v>251</v>
      </c>
      <c r="M32">
        <v>371</v>
      </c>
      <c r="N32">
        <v>29</v>
      </c>
      <c r="O32" t="s">
        <v>2101</v>
      </c>
      <c r="P32" s="1" t="b">
        <f>NOT(OR(Table1[[#This Row],[State]]="Other Foreign Countries", Table1[[#This Row],[State]]="Unknown", Table1[[#This Row],[State]]="Puerto Rico all counties"))</f>
        <v>1</v>
      </c>
    </row>
    <row r="33" spans="1:16" x14ac:dyDescent="0.25">
      <c r="A33">
        <v>28003</v>
      </c>
      <c r="B33" t="s">
        <v>322</v>
      </c>
      <c r="C33" t="s">
        <v>2395</v>
      </c>
      <c r="D33">
        <v>592</v>
      </c>
      <c r="E33">
        <v>132</v>
      </c>
      <c r="F33">
        <v>72</v>
      </c>
      <c r="G33">
        <v>59</v>
      </c>
      <c r="H33">
        <v>180</v>
      </c>
      <c r="I33">
        <v>149</v>
      </c>
      <c r="J33">
        <v>147</v>
      </c>
      <c r="K33">
        <v>167</v>
      </c>
      <c r="L33">
        <v>278</v>
      </c>
      <c r="M33">
        <v>547</v>
      </c>
      <c r="N33">
        <v>45</v>
      </c>
      <c r="O33" t="s">
        <v>2396</v>
      </c>
      <c r="P33" s="1" t="b">
        <f>NOT(OR(Table1[[#This Row],[State]]="Other Foreign Countries", Table1[[#This Row],[State]]="Unknown", Table1[[#This Row],[State]]="Puerto Rico all counties"))</f>
        <v>1</v>
      </c>
    </row>
    <row r="34" spans="1:16" x14ac:dyDescent="0.25">
      <c r="A34">
        <v>2013</v>
      </c>
      <c r="B34" t="s">
        <v>150</v>
      </c>
      <c r="C34" t="s">
        <v>151</v>
      </c>
      <c r="O34" t="s">
        <v>152</v>
      </c>
      <c r="P34" s="1" t="b">
        <f>NOT(OR(Table1[[#This Row],[State]]="Other Foreign Countries", Table1[[#This Row],[State]]="Unknown", Table1[[#This Row],[State]]="Puerto Rico all counties"))</f>
        <v>1</v>
      </c>
    </row>
    <row r="35" spans="1:16" x14ac:dyDescent="0.25">
      <c r="A35">
        <v>2016</v>
      </c>
      <c r="B35" t="s">
        <v>150</v>
      </c>
      <c r="C35" t="s">
        <v>153</v>
      </c>
      <c r="D35">
        <v>28</v>
      </c>
      <c r="J35">
        <v>11</v>
      </c>
      <c r="O35" t="s">
        <v>154</v>
      </c>
      <c r="P35" s="1" t="b">
        <f>NOT(OR(Table1[[#This Row],[State]]="Other Foreign Countries", Table1[[#This Row],[State]]="Unknown", Table1[[#This Row],[State]]="Puerto Rico all counties"))</f>
        <v>1</v>
      </c>
    </row>
    <row r="36" spans="1:16" x14ac:dyDescent="0.25">
      <c r="A36">
        <v>17003</v>
      </c>
      <c r="B36" t="s">
        <v>1109</v>
      </c>
      <c r="C36" t="s">
        <v>1111</v>
      </c>
      <c r="D36">
        <v>125</v>
      </c>
      <c r="E36">
        <v>22</v>
      </c>
      <c r="F36">
        <v>16</v>
      </c>
      <c r="G36">
        <v>16</v>
      </c>
      <c r="H36">
        <v>42</v>
      </c>
      <c r="I36">
        <v>29</v>
      </c>
      <c r="J36">
        <v>12</v>
      </c>
      <c r="K36">
        <v>40</v>
      </c>
      <c r="L36">
        <v>73</v>
      </c>
      <c r="M36">
        <v>114</v>
      </c>
      <c r="N36">
        <v>11</v>
      </c>
      <c r="O36" t="s">
        <v>1112</v>
      </c>
      <c r="P36" s="1" t="b">
        <f>NOT(OR(Table1[[#This Row],[State]]="Other Foreign Countries", Table1[[#This Row],[State]]="Unknown", Table1[[#This Row],[State]]="Puerto Rico all counties"))</f>
        <v>1</v>
      </c>
    </row>
    <row r="37" spans="1:16" x14ac:dyDescent="0.25">
      <c r="A37">
        <v>37003</v>
      </c>
      <c r="B37" t="s">
        <v>3121</v>
      </c>
      <c r="C37" t="s">
        <v>1111</v>
      </c>
      <c r="D37">
        <v>706</v>
      </c>
      <c r="E37">
        <v>142</v>
      </c>
      <c r="F37">
        <v>76</v>
      </c>
      <c r="G37">
        <v>94</v>
      </c>
      <c r="H37">
        <v>211</v>
      </c>
      <c r="I37">
        <v>183</v>
      </c>
      <c r="J37">
        <v>166</v>
      </c>
      <c r="K37">
        <v>177</v>
      </c>
      <c r="L37">
        <v>363</v>
      </c>
      <c r="M37">
        <v>654</v>
      </c>
      <c r="N37">
        <v>52</v>
      </c>
      <c r="O37" t="s">
        <v>3124</v>
      </c>
      <c r="P37" s="1" t="b">
        <f>NOT(OR(Table1[[#This Row],[State]]="Other Foreign Countries", Table1[[#This Row],[State]]="Unknown", Table1[[#This Row],[State]]="Puerto Rico all counties"))</f>
        <v>1</v>
      </c>
    </row>
    <row r="38" spans="1:16" x14ac:dyDescent="0.25">
      <c r="A38">
        <v>51510</v>
      </c>
      <c r="B38" t="s">
        <v>4555</v>
      </c>
      <c r="C38" t="s">
        <v>4696</v>
      </c>
      <c r="D38">
        <v>4621</v>
      </c>
      <c r="E38">
        <v>616</v>
      </c>
      <c r="F38">
        <v>570</v>
      </c>
      <c r="G38">
        <v>618</v>
      </c>
      <c r="H38" s="1">
        <v>1370</v>
      </c>
      <c r="I38" s="1">
        <v>1447</v>
      </c>
      <c r="J38" s="1">
        <v>1945</v>
      </c>
      <c r="K38" s="1">
        <v>1891</v>
      </c>
      <c r="L38">
        <v>785</v>
      </c>
      <c r="M38" s="1">
        <v>3468</v>
      </c>
      <c r="N38" s="1">
        <v>1153</v>
      </c>
      <c r="O38" t="s">
        <v>4697</v>
      </c>
      <c r="P38" s="1" t="b">
        <f>NOT(OR(Table1[[#This Row],[State]]="Other Foreign Countries", Table1[[#This Row],[State]]="Unknown", Table1[[#This Row],[State]]="Puerto Rico all counties"))</f>
        <v>1</v>
      </c>
    </row>
    <row r="39" spans="1:16" x14ac:dyDescent="0.25">
      <c r="A39">
        <v>40003</v>
      </c>
      <c r="B39" t="s">
        <v>3495</v>
      </c>
      <c r="C39" t="s">
        <v>3497</v>
      </c>
      <c r="D39">
        <v>111</v>
      </c>
      <c r="E39">
        <v>31</v>
      </c>
      <c r="F39">
        <v>18</v>
      </c>
      <c r="G39">
        <v>12</v>
      </c>
      <c r="H39">
        <v>28</v>
      </c>
      <c r="I39">
        <v>22</v>
      </c>
      <c r="J39">
        <v>23</v>
      </c>
      <c r="K39">
        <v>41</v>
      </c>
      <c r="L39">
        <v>47</v>
      </c>
      <c r="O39" t="s">
        <v>3498</v>
      </c>
      <c r="P39" s="1" t="b">
        <f>NOT(OR(Table1[[#This Row],[State]]="Other Foreign Countries", Table1[[#This Row],[State]]="Unknown", Table1[[#This Row],[State]]="Puerto Rico all counties"))</f>
        <v>1</v>
      </c>
    </row>
    <row r="40" spans="1:16" x14ac:dyDescent="0.25">
      <c r="A40">
        <v>26003</v>
      </c>
      <c r="B40" t="s">
        <v>2099</v>
      </c>
      <c r="C40" t="s">
        <v>2102</v>
      </c>
      <c r="D40">
        <v>287</v>
      </c>
      <c r="E40">
        <v>80</v>
      </c>
      <c r="F40">
        <v>34</v>
      </c>
      <c r="G40">
        <v>37</v>
      </c>
      <c r="H40">
        <v>77</v>
      </c>
      <c r="I40">
        <v>59</v>
      </c>
      <c r="J40">
        <v>40</v>
      </c>
      <c r="K40">
        <v>90</v>
      </c>
      <c r="L40">
        <v>157</v>
      </c>
      <c r="M40">
        <v>266</v>
      </c>
      <c r="N40">
        <v>21</v>
      </c>
      <c r="O40" t="s">
        <v>2103</v>
      </c>
      <c r="P40" s="1" t="b">
        <f>NOT(OR(Table1[[#This Row],[State]]="Other Foreign Countries", Table1[[#This Row],[State]]="Unknown", Table1[[#This Row],[State]]="Puerto Rico all counties"))</f>
        <v>1</v>
      </c>
    </row>
    <row r="41" spans="1:16" x14ac:dyDescent="0.25">
      <c r="A41">
        <v>19005</v>
      </c>
      <c r="B41" t="s">
        <v>1399</v>
      </c>
      <c r="C41" t="s">
        <v>1403</v>
      </c>
      <c r="D41">
        <v>222</v>
      </c>
      <c r="E41">
        <v>55</v>
      </c>
      <c r="F41">
        <v>32</v>
      </c>
      <c r="G41">
        <v>26</v>
      </c>
      <c r="H41">
        <v>55</v>
      </c>
      <c r="I41">
        <v>54</v>
      </c>
      <c r="J41">
        <v>46</v>
      </c>
      <c r="K41">
        <v>56</v>
      </c>
      <c r="L41">
        <v>120</v>
      </c>
      <c r="M41">
        <v>203</v>
      </c>
      <c r="N41">
        <v>19</v>
      </c>
      <c r="O41" t="s">
        <v>1404</v>
      </c>
      <c r="P41" s="1" t="b">
        <f>NOT(OR(Table1[[#This Row],[State]]="Other Foreign Countries", Table1[[#This Row],[State]]="Unknown", Table1[[#This Row],[State]]="Puerto Rico all counties"))</f>
        <v>1</v>
      </c>
    </row>
    <row r="42" spans="1:16" x14ac:dyDescent="0.25">
      <c r="A42">
        <v>26005</v>
      </c>
      <c r="B42" t="s">
        <v>2099</v>
      </c>
      <c r="C42" t="s">
        <v>2104</v>
      </c>
      <c r="D42">
        <v>1452</v>
      </c>
      <c r="E42">
        <v>275</v>
      </c>
      <c r="F42">
        <v>179</v>
      </c>
      <c r="G42">
        <v>206</v>
      </c>
      <c r="H42">
        <v>435</v>
      </c>
      <c r="I42">
        <v>357</v>
      </c>
      <c r="J42">
        <v>480</v>
      </c>
      <c r="K42">
        <v>381</v>
      </c>
      <c r="L42">
        <v>591</v>
      </c>
      <c r="M42" s="1">
        <v>1322</v>
      </c>
      <c r="N42">
        <v>130</v>
      </c>
      <c r="O42" t="s">
        <v>2105</v>
      </c>
      <c r="P42" s="1" t="b">
        <f>NOT(OR(Table1[[#This Row],[State]]="Other Foreign Countries", Table1[[#This Row],[State]]="Unknown", Table1[[#This Row],[State]]="Puerto Rico all counties"))</f>
        <v>1</v>
      </c>
    </row>
    <row r="43" spans="1:16" x14ac:dyDescent="0.25">
      <c r="A43">
        <v>24001</v>
      </c>
      <c r="B43" t="s">
        <v>2031</v>
      </c>
      <c r="C43" t="s">
        <v>2032</v>
      </c>
      <c r="D43">
        <v>1071</v>
      </c>
      <c r="E43">
        <v>224</v>
      </c>
      <c r="F43">
        <v>133</v>
      </c>
      <c r="G43">
        <v>150</v>
      </c>
      <c r="H43">
        <v>298</v>
      </c>
      <c r="I43">
        <v>266</v>
      </c>
      <c r="J43">
        <v>254</v>
      </c>
      <c r="K43">
        <v>330</v>
      </c>
      <c r="L43">
        <v>487</v>
      </c>
      <c r="M43" s="1">
        <v>1004</v>
      </c>
      <c r="N43">
        <v>67</v>
      </c>
      <c r="O43" t="s">
        <v>2033</v>
      </c>
      <c r="P43" s="1" t="b">
        <f>NOT(OR(Table1[[#This Row],[State]]="Other Foreign Countries", Table1[[#This Row],[State]]="Unknown", Table1[[#This Row],[State]]="Puerto Rico all counties"))</f>
        <v>1</v>
      </c>
    </row>
    <row r="44" spans="1:16" x14ac:dyDescent="0.25">
      <c r="A44">
        <v>36003</v>
      </c>
      <c r="B44" t="s">
        <v>3029</v>
      </c>
      <c r="C44" t="s">
        <v>2032</v>
      </c>
      <c r="D44">
        <v>949</v>
      </c>
      <c r="E44">
        <v>177</v>
      </c>
      <c r="F44">
        <v>130</v>
      </c>
      <c r="G44">
        <v>112</v>
      </c>
      <c r="H44">
        <v>305</v>
      </c>
      <c r="I44">
        <v>225</v>
      </c>
      <c r="J44">
        <v>199</v>
      </c>
      <c r="K44">
        <v>278</v>
      </c>
      <c r="L44">
        <v>472</v>
      </c>
      <c r="M44">
        <v>868</v>
      </c>
      <c r="N44">
        <v>81</v>
      </c>
      <c r="O44" t="s">
        <v>3032</v>
      </c>
      <c r="P44" s="1" t="b">
        <f>NOT(OR(Table1[[#This Row],[State]]="Other Foreign Countries", Table1[[#This Row],[State]]="Unknown", Table1[[#This Row],[State]]="Puerto Rico all counties"))</f>
        <v>1</v>
      </c>
    </row>
    <row r="45" spans="1:16" x14ac:dyDescent="0.25">
      <c r="A45">
        <v>37005</v>
      </c>
      <c r="B45" t="s">
        <v>3121</v>
      </c>
      <c r="C45" t="s">
        <v>3125</v>
      </c>
      <c r="D45">
        <v>260</v>
      </c>
      <c r="E45">
        <v>68</v>
      </c>
      <c r="F45">
        <v>22</v>
      </c>
      <c r="G45">
        <v>34</v>
      </c>
      <c r="H45">
        <v>73</v>
      </c>
      <c r="I45">
        <v>63</v>
      </c>
      <c r="J45">
        <v>44</v>
      </c>
      <c r="K45">
        <v>62</v>
      </c>
      <c r="L45">
        <v>154</v>
      </c>
      <c r="M45">
        <v>242</v>
      </c>
      <c r="N45">
        <v>18</v>
      </c>
      <c r="O45" t="s">
        <v>3126</v>
      </c>
      <c r="P45" s="1" t="b">
        <f>NOT(OR(Table1[[#This Row],[State]]="Other Foreign Countries", Table1[[#This Row],[State]]="Unknown", Table1[[#This Row],[State]]="Puerto Rico all counties"))</f>
        <v>1</v>
      </c>
    </row>
    <row r="46" spans="1:16" x14ac:dyDescent="0.25">
      <c r="A46">
        <v>51005</v>
      </c>
      <c r="B46" t="s">
        <v>4555</v>
      </c>
      <c r="C46" t="s">
        <v>3125</v>
      </c>
      <c r="D46">
        <v>364</v>
      </c>
      <c r="E46">
        <v>82</v>
      </c>
      <c r="F46">
        <v>39</v>
      </c>
      <c r="G46">
        <v>44</v>
      </c>
      <c r="H46">
        <v>116</v>
      </c>
      <c r="I46">
        <v>83</v>
      </c>
      <c r="J46">
        <v>60</v>
      </c>
      <c r="K46">
        <v>110</v>
      </c>
      <c r="L46">
        <v>194</v>
      </c>
      <c r="M46">
        <v>340</v>
      </c>
      <c r="N46">
        <v>24</v>
      </c>
      <c r="O46" t="s">
        <v>4560</v>
      </c>
      <c r="P46" s="1" t="b">
        <f>NOT(OR(Table1[[#This Row],[State]]="Other Foreign Countries", Table1[[#This Row],[State]]="Unknown", Table1[[#This Row],[State]]="Puerto Rico all counties"))</f>
        <v>1</v>
      </c>
    </row>
    <row r="47" spans="1:16" x14ac:dyDescent="0.25">
      <c r="A47">
        <v>42003</v>
      </c>
      <c r="B47" t="s">
        <v>3665</v>
      </c>
      <c r="C47" t="s">
        <v>3667</v>
      </c>
      <c r="D47">
        <v>14249</v>
      </c>
      <c r="E47" s="1">
        <v>3498</v>
      </c>
      <c r="F47" s="1">
        <v>1815</v>
      </c>
      <c r="G47" s="1">
        <v>1919</v>
      </c>
      <c r="H47" s="1">
        <v>3787</v>
      </c>
      <c r="I47" s="1">
        <v>3230</v>
      </c>
      <c r="J47" s="1">
        <v>3913</v>
      </c>
      <c r="K47" s="1">
        <v>4029</v>
      </c>
      <c r="L47" s="1">
        <v>6307</v>
      </c>
      <c r="M47" s="1">
        <v>12771</v>
      </c>
      <c r="N47" s="1">
        <v>1478</v>
      </c>
      <c r="O47" t="s">
        <v>3668</v>
      </c>
      <c r="P47" s="1" t="b">
        <f>NOT(OR(Table1[[#This Row],[State]]="Other Foreign Countries", Table1[[#This Row],[State]]="Unknown", Table1[[#This Row],[State]]="Puerto Rico all counties"))</f>
        <v>1</v>
      </c>
    </row>
    <row r="48" spans="1:16" x14ac:dyDescent="0.25">
      <c r="A48">
        <v>18003</v>
      </c>
      <c r="B48" t="s">
        <v>1266</v>
      </c>
      <c r="C48" t="s">
        <v>1268</v>
      </c>
      <c r="D48">
        <v>6550</v>
      </c>
      <c r="E48" s="1">
        <v>2073</v>
      </c>
      <c r="F48">
        <v>825</v>
      </c>
      <c r="G48">
        <v>883</v>
      </c>
      <c r="H48" s="1">
        <v>1526</v>
      </c>
      <c r="I48" s="1">
        <v>1243</v>
      </c>
      <c r="J48" s="1">
        <v>1894</v>
      </c>
      <c r="K48" s="1">
        <v>1936</v>
      </c>
      <c r="L48" s="1">
        <v>2720</v>
      </c>
      <c r="M48" s="1">
        <v>5937</v>
      </c>
      <c r="N48">
        <v>609</v>
      </c>
      <c r="O48" t="s">
        <v>1269</v>
      </c>
      <c r="P48" s="1" t="b">
        <f>NOT(OR(Table1[[#This Row],[State]]="Other Foreign Countries", Table1[[#This Row],[State]]="Unknown", Table1[[#This Row],[State]]="Puerto Rico all counties"))</f>
        <v>1</v>
      </c>
    </row>
    <row r="49" spans="1:16" x14ac:dyDescent="0.25">
      <c r="A49">
        <v>20001</v>
      </c>
      <c r="B49" t="s">
        <v>1543</v>
      </c>
      <c r="C49" t="s">
        <v>1268</v>
      </c>
      <c r="D49">
        <v>175</v>
      </c>
      <c r="E49">
        <v>31</v>
      </c>
      <c r="F49">
        <v>20</v>
      </c>
      <c r="G49">
        <v>24</v>
      </c>
      <c r="H49">
        <v>64</v>
      </c>
      <c r="I49">
        <v>36</v>
      </c>
      <c r="J49">
        <v>46</v>
      </c>
      <c r="K49">
        <v>50</v>
      </c>
      <c r="L49">
        <v>79</v>
      </c>
      <c r="M49">
        <v>160</v>
      </c>
      <c r="N49">
        <v>15</v>
      </c>
      <c r="O49" t="s">
        <v>1544</v>
      </c>
      <c r="P49" s="1" t="b">
        <f>NOT(OR(Table1[[#This Row],[State]]="Other Foreign Countries", Table1[[#This Row],[State]]="Unknown", Table1[[#This Row],[State]]="Puerto Rico all counties"))</f>
        <v>1</v>
      </c>
    </row>
    <row r="50" spans="1:16" x14ac:dyDescent="0.25">
      <c r="A50">
        <v>21003</v>
      </c>
      <c r="B50" t="s">
        <v>1716</v>
      </c>
      <c r="C50" t="s">
        <v>1268</v>
      </c>
      <c r="D50">
        <v>442</v>
      </c>
      <c r="E50">
        <v>83</v>
      </c>
      <c r="F50">
        <v>48</v>
      </c>
      <c r="G50">
        <v>48</v>
      </c>
      <c r="H50">
        <v>146</v>
      </c>
      <c r="I50">
        <v>117</v>
      </c>
      <c r="J50">
        <v>125</v>
      </c>
      <c r="K50">
        <v>138</v>
      </c>
      <c r="L50">
        <v>179</v>
      </c>
      <c r="M50">
        <v>399</v>
      </c>
      <c r="N50">
        <v>43</v>
      </c>
      <c r="O50" t="s">
        <v>1718</v>
      </c>
      <c r="P50" s="1" t="b">
        <f>NOT(OR(Table1[[#This Row],[State]]="Other Foreign Countries", Table1[[#This Row],[State]]="Unknown", Table1[[#This Row],[State]]="Puerto Rico all counties"))</f>
        <v>1</v>
      </c>
    </row>
    <row r="51" spans="1:16" x14ac:dyDescent="0.25">
      <c r="A51">
        <v>22003</v>
      </c>
      <c r="B51" t="s">
        <v>1892</v>
      </c>
      <c r="C51" t="s">
        <v>1268</v>
      </c>
      <c r="D51">
        <v>418</v>
      </c>
      <c r="E51">
        <v>74</v>
      </c>
      <c r="F51">
        <v>33</v>
      </c>
      <c r="G51">
        <v>61</v>
      </c>
      <c r="H51">
        <v>122</v>
      </c>
      <c r="I51">
        <v>128</v>
      </c>
      <c r="J51">
        <v>84</v>
      </c>
      <c r="K51">
        <v>132</v>
      </c>
      <c r="L51">
        <v>202</v>
      </c>
      <c r="M51">
        <v>387</v>
      </c>
      <c r="N51">
        <v>31</v>
      </c>
      <c r="O51" t="s">
        <v>1895</v>
      </c>
      <c r="P51" s="1" t="b">
        <f>NOT(OR(Table1[[#This Row],[State]]="Other Foreign Countries", Table1[[#This Row],[State]]="Unknown", Table1[[#This Row],[State]]="Puerto Rico all counties"))</f>
        <v>1</v>
      </c>
    </row>
    <row r="52" spans="1:16" x14ac:dyDescent="0.25">
      <c r="A52">
        <v>39003</v>
      </c>
      <c r="B52" t="s">
        <v>1343</v>
      </c>
      <c r="C52" t="s">
        <v>1268</v>
      </c>
      <c r="D52">
        <v>1547</v>
      </c>
      <c r="E52">
        <v>351</v>
      </c>
      <c r="F52">
        <v>207</v>
      </c>
      <c r="G52">
        <v>197</v>
      </c>
      <c r="H52">
        <v>457</v>
      </c>
      <c r="I52">
        <v>335</v>
      </c>
      <c r="J52">
        <v>436</v>
      </c>
      <c r="K52">
        <v>464</v>
      </c>
      <c r="L52">
        <v>647</v>
      </c>
      <c r="M52" s="1">
        <v>1418</v>
      </c>
      <c r="N52">
        <v>129</v>
      </c>
      <c r="O52" t="s">
        <v>3372</v>
      </c>
      <c r="P52" s="1" t="b">
        <f>NOT(OR(Table1[[#This Row],[State]]="Other Foreign Countries", Table1[[#This Row],[State]]="Unknown", Table1[[#This Row],[State]]="Puerto Rico all counties"))</f>
        <v>1</v>
      </c>
    </row>
    <row r="53" spans="1:16" x14ac:dyDescent="0.25">
      <c r="A53">
        <v>45005</v>
      </c>
      <c r="B53" t="s">
        <v>3772</v>
      </c>
      <c r="C53" t="s">
        <v>3777</v>
      </c>
      <c r="D53">
        <v>174</v>
      </c>
      <c r="E53">
        <v>20</v>
      </c>
      <c r="F53">
        <v>14</v>
      </c>
      <c r="G53">
        <v>22</v>
      </c>
      <c r="H53">
        <v>62</v>
      </c>
      <c r="I53">
        <v>56</v>
      </c>
      <c r="J53">
        <v>18</v>
      </c>
      <c r="K53">
        <v>75</v>
      </c>
      <c r="L53">
        <v>81</v>
      </c>
      <c r="M53">
        <v>152</v>
      </c>
      <c r="N53">
        <v>22</v>
      </c>
      <c r="O53" t="s">
        <v>3778</v>
      </c>
      <c r="P53" s="1" t="b">
        <f>NOT(OR(Table1[[#This Row],[State]]="Other Foreign Countries", Table1[[#This Row],[State]]="Unknown", Table1[[#This Row],[State]]="Puerto Rico all counties"))</f>
        <v>1</v>
      </c>
    </row>
    <row r="54" spans="1:16" x14ac:dyDescent="0.25">
      <c r="A54">
        <v>26007</v>
      </c>
      <c r="B54" t="s">
        <v>2099</v>
      </c>
      <c r="C54" t="s">
        <v>2106</v>
      </c>
      <c r="D54">
        <v>738</v>
      </c>
      <c r="E54">
        <v>190</v>
      </c>
      <c r="F54">
        <v>83</v>
      </c>
      <c r="G54">
        <v>89</v>
      </c>
      <c r="H54">
        <v>225</v>
      </c>
      <c r="I54">
        <v>151</v>
      </c>
      <c r="J54">
        <v>151</v>
      </c>
      <c r="K54">
        <v>203</v>
      </c>
      <c r="L54">
        <v>384</v>
      </c>
      <c r="M54">
        <v>675</v>
      </c>
      <c r="N54">
        <v>63</v>
      </c>
      <c r="O54" t="s">
        <v>2107</v>
      </c>
      <c r="P54" s="1" t="b">
        <f>NOT(OR(Table1[[#This Row],[State]]="Other Foreign Countries", Table1[[#This Row],[State]]="Unknown", Table1[[#This Row],[State]]="Puerto Rico all counties"))</f>
        <v>1</v>
      </c>
    </row>
    <row r="55" spans="1:16" x14ac:dyDescent="0.25">
      <c r="A55">
        <v>6003</v>
      </c>
      <c r="B55" t="s">
        <v>374</v>
      </c>
      <c r="C55" t="s">
        <v>377</v>
      </c>
      <c r="D55">
        <v>14</v>
      </c>
      <c r="O55" t="s">
        <v>378</v>
      </c>
      <c r="P55" s="1" t="b">
        <f>NOT(OR(Table1[[#This Row],[State]]="Other Foreign Countries", Table1[[#This Row],[State]]="Unknown", Table1[[#This Row],[State]]="Puerto Rico all counties"))</f>
        <v>1</v>
      </c>
    </row>
    <row r="56" spans="1:16" x14ac:dyDescent="0.25">
      <c r="A56">
        <v>6005</v>
      </c>
      <c r="B56" t="s">
        <v>374</v>
      </c>
      <c r="C56" t="s">
        <v>379</v>
      </c>
      <c r="D56">
        <v>1074</v>
      </c>
      <c r="E56">
        <v>316</v>
      </c>
      <c r="F56">
        <v>122</v>
      </c>
      <c r="G56">
        <v>113</v>
      </c>
      <c r="H56">
        <v>290</v>
      </c>
      <c r="I56">
        <v>233</v>
      </c>
      <c r="J56">
        <v>208</v>
      </c>
      <c r="K56">
        <v>264</v>
      </c>
      <c r="L56">
        <v>602</v>
      </c>
      <c r="M56" s="1">
        <v>1001</v>
      </c>
      <c r="N56">
        <v>73</v>
      </c>
      <c r="O56" t="s">
        <v>380</v>
      </c>
      <c r="P56" s="1" t="b">
        <f>NOT(OR(Table1[[#This Row],[State]]="Other Foreign Countries", Table1[[#This Row],[State]]="Unknown", Table1[[#This Row],[State]]="Puerto Rico all counties"))</f>
        <v>1</v>
      </c>
    </row>
    <row r="57" spans="1:16" x14ac:dyDescent="0.25">
      <c r="A57">
        <v>51007</v>
      </c>
      <c r="B57" t="s">
        <v>4555</v>
      </c>
      <c r="C57" t="s">
        <v>4561</v>
      </c>
      <c r="D57">
        <v>346</v>
      </c>
      <c r="E57">
        <v>60</v>
      </c>
      <c r="F57">
        <v>44</v>
      </c>
      <c r="G57">
        <v>44</v>
      </c>
      <c r="H57">
        <v>113</v>
      </c>
      <c r="I57">
        <v>85</v>
      </c>
      <c r="J57">
        <v>94</v>
      </c>
      <c r="K57">
        <v>109</v>
      </c>
      <c r="L57">
        <v>143</v>
      </c>
      <c r="M57">
        <v>305</v>
      </c>
      <c r="N57">
        <v>41</v>
      </c>
      <c r="O57" t="s">
        <v>4562</v>
      </c>
      <c r="P57" s="1" t="b">
        <f>NOT(OR(Table1[[#This Row],[State]]="Other Foreign Countries", Table1[[#This Row],[State]]="Unknown", Table1[[#This Row],[State]]="Puerto Rico all counties"))</f>
        <v>1</v>
      </c>
    </row>
    <row r="58" spans="1:16" x14ac:dyDescent="0.25">
      <c r="A58">
        <v>51009</v>
      </c>
      <c r="B58" t="s">
        <v>4555</v>
      </c>
      <c r="C58" t="s">
        <v>4563</v>
      </c>
      <c r="D58">
        <v>598</v>
      </c>
      <c r="E58">
        <v>118</v>
      </c>
      <c r="F58">
        <v>79</v>
      </c>
      <c r="G58">
        <v>68</v>
      </c>
      <c r="H58">
        <v>193</v>
      </c>
      <c r="I58">
        <v>140</v>
      </c>
      <c r="J58">
        <v>154</v>
      </c>
      <c r="K58">
        <v>187</v>
      </c>
      <c r="L58">
        <v>257</v>
      </c>
      <c r="M58">
        <v>538</v>
      </c>
      <c r="N58">
        <v>60</v>
      </c>
      <c r="O58" t="s">
        <v>4564</v>
      </c>
      <c r="P58" s="1" t="b">
        <f>NOT(OR(Table1[[#This Row],[State]]="Other Foreign Countries", Table1[[#This Row],[State]]="Unknown", Table1[[#This Row],[State]]="Puerto Rico all counties"))</f>
        <v>1</v>
      </c>
    </row>
    <row r="59" spans="1:16" x14ac:dyDescent="0.25">
      <c r="A59">
        <v>28005</v>
      </c>
      <c r="B59" t="s">
        <v>322</v>
      </c>
      <c r="C59" t="s">
        <v>2397</v>
      </c>
      <c r="D59">
        <v>212</v>
      </c>
      <c r="E59">
        <v>44</v>
      </c>
      <c r="F59">
        <v>31</v>
      </c>
      <c r="G59">
        <v>22</v>
      </c>
      <c r="H59">
        <v>60</v>
      </c>
      <c r="I59">
        <v>55</v>
      </c>
      <c r="J59">
        <v>33</v>
      </c>
      <c r="K59">
        <v>67</v>
      </c>
      <c r="L59">
        <v>112</v>
      </c>
      <c r="M59">
        <v>191</v>
      </c>
      <c r="N59">
        <v>21</v>
      </c>
      <c r="O59" t="s">
        <v>2398</v>
      </c>
      <c r="P59" s="1" t="b">
        <f>NOT(OR(Table1[[#This Row],[State]]="Other Foreign Countries", Table1[[#This Row],[State]]="Unknown", Table1[[#This Row],[State]]="Puerto Rico all counties"))</f>
        <v>1</v>
      </c>
    </row>
    <row r="60" spans="1:16" x14ac:dyDescent="0.25">
      <c r="A60">
        <v>2020</v>
      </c>
      <c r="B60" t="s">
        <v>150</v>
      </c>
      <c r="C60" t="s">
        <v>155</v>
      </c>
      <c r="D60">
        <v>11012</v>
      </c>
      <c r="E60" s="1">
        <v>1976</v>
      </c>
      <c r="F60" s="1">
        <v>1311</v>
      </c>
      <c r="G60" s="1">
        <v>1565</v>
      </c>
      <c r="H60" s="1">
        <v>3323</v>
      </c>
      <c r="I60" s="1">
        <v>2837</v>
      </c>
      <c r="J60" s="1">
        <v>3693</v>
      </c>
      <c r="K60" s="1">
        <v>4190</v>
      </c>
      <c r="L60" s="1">
        <v>3129</v>
      </c>
      <c r="M60" s="1">
        <v>9250</v>
      </c>
      <c r="N60" s="1">
        <v>1761</v>
      </c>
      <c r="O60" t="s">
        <v>156</v>
      </c>
      <c r="P60" s="1" t="b">
        <f>NOT(OR(Table1[[#This Row],[State]]="Other Foreign Countries", Table1[[#This Row],[State]]="Unknown", Table1[[#This Row],[State]]="Puerto Rico all counties"))</f>
        <v>1</v>
      </c>
    </row>
    <row r="61" spans="1:16" x14ac:dyDescent="0.25">
      <c r="A61">
        <v>20003</v>
      </c>
      <c r="B61" t="s">
        <v>1543</v>
      </c>
      <c r="C61" t="s">
        <v>1545</v>
      </c>
      <c r="D61">
        <v>109</v>
      </c>
      <c r="E61">
        <v>31</v>
      </c>
      <c r="H61">
        <v>30</v>
      </c>
      <c r="I61">
        <v>30</v>
      </c>
      <c r="J61">
        <v>24</v>
      </c>
      <c r="K61">
        <v>31</v>
      </c>
      <c r="L61">
        <v>54</v>
      </c>
      <c r="O61" t="s">
        <v>1546</v>
      </c>
      <c r="P61" s="1" t="b">
        <f>NOT(OR(Table1[[#This Row],[State]]="Other Foreign Countries", Table1[[#This Row],[State]]="Unknown", Table1[[#This Row],[State]]="Puerto Rico all counties"))</f>
        <v>1</v>
      </c>
    </row>
    <row r="62" spans="1:16" x14ac:dyDescent="0.25">
      <c r="A62">
        <v>21005</v>
      </c>
      <c r="B62" t="s">
        <v>1716</v>
      </c>
      <c r="C62" t="s">
        <v>1545</v>
      </c>
      <c r="D62">
        <v>497</v>
      </c>
      <c r="E62">
        <v>104</v>
      </c>
      <c r="F62">
        <v>62</v>
      </c>
      <c r="G62">
        <v>52</v>
      </c>
      <c r="H62">
        <v>142</v>
      </c>
      <c r="I62">
        <v>137</v>
      </c>
      <c r="J62">
        <v>130</v>
      </c>
      <c r="K62">
        <v>180</v>
      </c>
      <c r="L62">
        <v>187</v>
      </c>
      <c r="M62">
        <v>441</v>
      </c>
      <c r="N62">
        <v>56</v>
      </c>
      <c r="O62" t="s">
        <v>1719</v>
      </c>
      <c r="P62" s="1" t="b">
        <f>NOT(OR(Table1[[#This Row],[State]]="Other Foreign Countries", Table1[[#This Row],[State]]="Unknown", Table1[[#This Row],[State]]="Puerto Rico all counties"))</f>
        <v>1</v>
      </c>
    </row>
    <row r="63" spans="1:16" x14ac:dyDescent="0.25">
      <c r="A63">
        <v>45007</v>
      </c>
      <c r="B63" t="s">
        <v>3772</v>
      </c>
      <c r="C63" t="s">
        <v>1545</v>
      </c>
      <c r="D63">
        <v>4541</v>
      </c>
      <c r="E63">
        <v>766</v>
      </c>
      <c r="F63">
        <v>485</v>
      </c>
      <c r="G63">
        <v>593</v>
      </c>
      <c r="H63" s="1">
        <v>1411</v>
      </c>
      <c r="I63" s="1">
        <v>1286</v>
      </c>
      <c r="J63" s="1">
        <v>1134</v>
      </c>
      <c r="K63" s="1">
        <v>1466</v>
      </c>
      <c r="L63" s="1">
        <v>1941</v>
      </c>
      <c r="M63" s="1">
        <v>4103</v>
      </c>
      <c r="N63">
        <v>437</v>
      </c>
      <c r="O63" t="s">
        <v>3779</v>
      </c>
      <c r="P63" s="1" t="b">
        <f>NOT(OR(Table1[[#This Row],[State]]="Other Foreign Countries", Table1[[#This Row],[State]]="Unknown", Table1[[#This Row],[State]]="Puerto Rico all counties"))</f>
        <v>1</v>
      </c>
    </row>
    <row r="64" spans="1:16" x14ac:dyDescent="0.25">
      <c r="A64">
        <v>47001</v>
      </c>
      <c r="B64" t="s">
        <v>3951</v>
      </c>
      <c r="C64" t="s">
        <v>1545</v>
      </c>
      <c r="D64">
        <v>2157</v>
      </c>
      <c r="E64">
        <v>509</v>
      </c>
      <c r="F64">
        <v>242</v>
      </c>
      <c r="G64">
        <v>266</v>
      </c>
      <c r="H64">
        <v>589</v>
      </c>
      <c r="I64">
        <v>551</v>
      </c>
      <c r="J64">
        <v>607</v>
      </c>
      <c r="K64">
        <v>699</v>
      </c>
      <c r="L64">
        <v>851</v>
      </c>
      <c r="M64" s="1">
        <v>1945</v>
      </c>
      <c r="N64">
        <v>212</v>
      </c>
      <c r="O64" t="s">
        <v>3952</v>
      </c>
      <c r="P64" s="1" t="b">
        <f>NOT(OR(Table1[[#This Row],[State]]="Other Foreign Countries", Table1[[#This Row],[State]]="Unknown", Table1[[#This Row],[State]]="Puerto Rico all counties"))</f>
        <v>1</v>
      </c>
    </row>
    <row r="65" spans="1:16" x14ac:dyDescent="0.25">
      <c r="A65">
        <v>48001</v>
      </c>
      <c r="B65" t="s">
        <v>2654</v>
      </c>
      <c r="C65" t="s">
        <v>1545</v>
      </c>
      <c r="D65">
        <v>1199</v>
      </c>
      <c r="E65">
        <v>217</v>
      </c>
      <c r="F65">
        <v>138</v>
      </c>
      <c r="G65">
        <v>126</v>
      </c>
      <c r="H65">
        <v>373</v>
      </c>
      <c r="I65">
        <v>345</v>
      </c>
      <c r="J65">
        <v>305</v>
      </c>
      <c r="K65">
        <v>344</v>
      </c>
      <c r="L65">
        <v>550</v>
      </c>
      <c r="M65" s="1">
        <v>1088</v>
      </c>
      <c r="N65">
        <v>111</v>
      </c>
      <c r="O65" t="s">
        <v>4073</v>
      </c>
      <c r="P65" s="1" t="b">
        <f>NOT(OR(Table1[[#This Row],[State]]="Other Foreign Countries", Table1[[#This Row],[State]]="Unknown", Table1[[#This Row],[State]]="Puerto Rico all counties"))</f>
        <v>1</v>
      </c>
    </row>
    <row r="66" spans="1:16" x14ac:dyDescent="0.25">
      <c r="A66">
        <v>29003</v>
      </c>
      <c r="B66" t="s">
        <v>2510</v>
      </c>
      <c r="C66" t="s">
        <v>2512</v>
      </c>
      <c r="D66">
        <v>374</v>
      </c>
      <c r="E66">
        <v>101</v>
      </c>
      <c r="F66">
        <v>51</v>
      </c>
      <c r="G66">
        <v>44</v>
      </c>
      <c r="H66">
        <v>92</v>
      </c>
      <c r="I66">
        <v>86</v>
      </c>
      <c r="J66">
        <v>81</v>
      </c>
      <c r="K66">
        <v>115</v>
      </c>
      <c r="L66">
        <v>178</v>
      </c>
      <c r="M66">
        <v>353</v>
      </c>
      <c r="N66">
        <v>21</v>
      </c>
      <c r="O66" t="s">
        <v>2513</v>
      </c>
      <c r="P66" s="1" t="b">
        <f>NOT(OR(Table1[[#This Row],[State]]="Other Foreign Countries", Table1[[#This Row],[State]]="Unknown", Table1[[#This Row],[State]]="Puerto Rico all counties"))</f>
        <v>1</v>
      </c>
    </row>
    <row r="67" spans="1:16" x14ac:dyDescent="0.25">
      <c r="A67">
        <v>48003</v>
      </c>
      <c r="B67" t="s">
        <v>2654</v>
      </c>
      <c r="C67" t="s">
        <v>4074</v>
      </c>
      <c r="D67">
        <v>155</v>
      </c>
      <c r="E67">
        <v>23</v>
      </c>
      <c r="F67">
        <v>18</v>
      </c>
      <c r="G67">
        <v>26</v>
      </c>
      <c r="H67">
        <v>53</v>
      </c>
      <c r="I67">
        <v>35</v>
      </c>
      <c r="J67">
        <v>78</v>
      </c>
      <c r="K67">
        <v>42</v>
      </c>
      <c r="L67">
        <v>35</v>
      </c>
      <c r="M67">
        <v>140</v>
      </c>
      <c r="N67">
        <v>15</v>
      </c>
      <c r="O67" t="s">
        <v>4075</v>
      </c>
      <c r="P67" s="1" t="b">
        <f>NOT(OR(Table1[[#This Row],[State]]="Other Foreign Countries", Table1[[#This Row],[State]]="Unknown", Table1[[#This Row],[State]]="Puerto Rico all counties"))</f>
        <v>1</v>
      </c>
    </row>
    <row r="68" spans="1:16" x14ac:dyDescent="0.25">
      <c r="A68">
        <v>23001</v>
      </c>
      <c r="B68" t="s">
        <v>2004</v>
      </c>
      <c r="C68" t="s">
        <v>2005</v>
      </c>
      <c r="D68">
        <v>2777</v>
      </c>
      <c r="E68">
        <v>579</v>
      </c>
      <c r="F68">
        <v>330</v>
      </c>
      <c r="G68">
        <v>361</v>
      </c>
      <c r="H68">
        <v>864</v>
      </c>
      <c r="I68">
        <v>643</v>
      </c>
      <c r="J68">
        <v>654</v>
      </c>
      <c r="K68">
        <v>875</v>
      </c>
      <c r="L68" s="1">
        <v>1248</v>
      </c>
      <c r="M68" s="1">
        <v>2534</v>
      </c>
      <c r="N68">
        <v>243</v>
      </c>
      <c r="O68" t="s">
        <v>2006</v>
      </c>
      <c r="P68" s="1" t="b">
        <f>NOT(OR(Table1[[#This Row],[State]]="Other Foreign Countries", Table1[[#This Row],[State]]="Unknown", Table1[[#This Row],[State]]="Puerto Rico all counties"))</f>
        <v>1</v>
      </c>
    </row>
    <row r="69" spans="1:16" x14ac:dyDescent="0.25">
      <c r="A69">
        <v>48005</v>
      </c>
      <c r="B69" t="s">
        <v>2654</v>
      </c>
      <c r="C69" t="s">
        <v>4076</v>
      </c>
      <c r="D69">
        <v>1974</v>
      </c>
      <c r="E69">
        <v>363</v>
      </c>
      <c r="F69">
        <v>208</v>
      </c>
      <c r="G69">
        <v>231</v>
      </c>
      <c r="H69">
        <v>670</v>
      </c>
      <c r="I69">
        <v>502</v>
      </c>
      <c r="J69">
        <v>551</v>
      </c>
      <c r="K69">
        <v>610</v>
      </c>
      <c r="L69">
        <v>813</v>
      </c>
      <c r="M69" s="1">
        <v>1759</v>
      </c>
      <c r="N69">
        <v>215</v>
      </c>
      <c r="O69" t="s">
        <v>4077</v>
      </c>
      <c r="P69" s="1" t="b">
        <f>NOT(OR(Table1[[#This Row],[State]]="Other Foreign Countries", Table1[[#This Row],[State]]="Unknown", Table1[[#This Row],[State]]="Puerto Rico all counties"))</f>
        <v>1</v>
      </c>
    </row>
    <row r="70" spans="1:16" x14ac:dyDescent="0.25">
      <c r="A70">
        <v>24003</v>
      </c>
      <c r="B70" t="s">
        <v>2031</v>
      </c>
      <c r="C70" t="s">
        <v>2034</v>
      </c>
      <c r="D70">
        <v>19277</v>
      </c>
      <c r="E70" s="1">
        <v>2753</v>
      </c>
      <c r="F70" s="1">
        <v>2046</v>
      </c>
      <c r="G70" s="1">
        <v>2352</v>
      </c>
      <c r="H70" s="1">
        <v>5682</v>
      </c>
      <c r="I70" s="1">
        <v>6444</v>
      </c>
      <c r="J70" s="1">
        <v>6597</v>
      </c>
      <c r="K70" s="1">
        <v>8278</v>
      </c>
      <c r="L70" s="1">
        <v>4402</v>
      </c>
      <c r="M70" s="1">
        <v>14904</v>
      </c>
      <c r="N70" s="1">
        <v>4372</v>
      </c>
      <c r="O70" t="s">
        <v>2035</v>
      </c>
      <c r="P70" s="1" t="b">
        <f>NOT(OR(Table1[[#This Row],[State]]="Other Foreign Countries", Table1[[#This Row],[State]]="Unknown", Table1[[#This Row],[State]]="Puerto Rico all counties"))</f>
        <v>1</v>
      </c>
    </row>
    <row r="71" spans="1:16" x14ac:dyDescent="0.25">
      <c r="A71">
        <v>27003</v>
      </c>
      <c r="B71" t="s">
        <v>2245</v>
      </c>
      <c r="C71" t="s">
        <v>2248</v>
      </c>
      <c r="D71">
        <v>6857</v>
      </c>
      <c r="E71" s="1">
        <v>2760</v>
      </c>
      <c r="F71">
        <v>922</v>
      </c>
      <c r="G71">
        <v>702</v>
      </c>
      <c r="H71" s="1">
        <v>1414</v>
      </c>
      <c r="I71" s="1">
        <v>1059</v>
      </c>
      <c r="J71" s="1">
        <v>1615</v>
      </c>
      <c r="K71" s="1">
        <v>1651</v>
      </c>
      <c r="L71" s="1">
        <v>3591</v>
      </c>
      <c r="M71" s="1">
        <v>6324</v>
      </c>
      <c r="N71">
        <v>520</v>
      </c>
      <c r="O71" t="s">
        <v>2249</v>
      </c>
      <c r="P71" s="1" t="b">
        <f>NOT(OR(Table1[[#This Row],[State]]="Other Foreign Countries", Table1[[#This Row],[State]]="Unknown", Table1[[#This Row],[State]]="Puerto Rico all counties"))</f>
        <v>1</v>
      </c>
    </row>
    <row r="72" spans="1:16" x14ac:dyDescent="0.25">
      <c r="A72">
        <v>37007</v>
      </c>
      <c r="B72" t="s">
        <v>3121</v>
      </c>
      <c r="C72" t="s">
        <v>3127</v>
      </c>
      <c r="D72">
        <v>401</v>
      </c>
      <c r="E72">
        <v>51</v>
      </c>
      <c r="F72">
        <v>38</v>
      </c>
      <c r="G72">
        <v>48</v>
      </c>
      <c r="H72">
        <v>136</v>
      </c>
      <c r="I72">
        <v>128</v>
      </c>
      <c r="J72">
        <v>80</v>
      </c>
      <c r="K72">
        <v>109</v>
      </c>
      <c r="L72">
        <v>212</v>
      </c>
      <c r="M72">
        <v>364</v>
      </c>
      <c r="N72">
        <v>37</v>
      </c>
      <c r="O72" t="s">
        <v>3128</v>
      </c>
      <c r="P72" s="1" t="b">
        <f>NOT(OR(Table1[[#This Row],[State]]="Other Foreign Countries", Table1[[#This Row],[State]]="Unknown", Table1[[#This Row],[State]]="Puerto Rico all counties"))</f>
        <v>1</v>
      </c>
    </row>
    <row r="73" spans="1:16" x14ac:dyDescent="0.25">
      <c r="A73">
        <v>31003</v>
      </c>
      <c r="B73" t="s">
        <v>2758</v>
      </c>
      <c r="C73" t="s">
        <v>2760</v>
      </c>
      <c r="D73">
        <v>180</v>
      </c>
      <c r="E73">
        <v>69</v>
      </c>
      <c r="F73">
        <v>28</v>
      </c>
      <c r="G73">
        <v>27</v>
      </c>
      <c r="H73">
        <v>41</v>
      </c>
      <c r="I73">
        <v>15</v>
      </c>
      <c r="J73">
        <v>26</v>
      </c>
      <c r="K73">
        <v>33</v>
      </c>
      <c r="L73">
        <v>121</v>
      </c>
      <c r="O73" t="s">
        <v>2761</v>
      </c>
      <c r="P73" s="1" t="b">
        <f>NOT(OR(Table1[[#This Row],[State]]="Other Foreign Countries", Table1[[#This Row],[State]]="Unknown", Table1[[#This Row],[State]]="Puerto Rico all counties"))</f>
        <v>1</v>
      </c>
    </row>
    <row r="74" spans="1:16" x14ac:dyDescent="0.25">
      <c r="A74">
        <v>26009</v>
      </c>
      <c r="B74" t="s">
        <v>2099</v>
      </c>
      <c r="C74" t="s">
        <v>2108</v>
      </c>
      <c r="D74">
        <v>567</v>
      </c>
      <c r="E74">
        <v>145</v>
      </c>
      <c r="F74">
        <v>59</v>
      </c>
      <c r="G74">
        <v>63</v>
      </c>
      <c r="H74">
        <v>182</v>
      </c>
      <c r="I74">
        <v>118</v>
      </c>
      <c r="J74">
        <v>106</v>
      </c>
      <c r="K74">
        <v>159</v>
      </c>
      <c r="L74">
        <v>302</v>
      </c>
      <c r="M74">
        <v>518</v>
      </c>
      <c r="N74">
        <v>49</v>
      </c>
      <c r="O74" t="s">
        <v>2109</v>
      </c>
      <c r="P74" s="1" t="b">
        <f>NOT(OR(Table1[[#This Row],[State]]="Other Foreign Countries", Table1[[#This Row],[State]]="Unknown", Table1[[#This Row],[State]]="Puerto Rico all counties"))</f>
        <v>1</v>
      </c>
    </row>
    <row r="75" spans="1:16" x14ac:dyDescent="0.25">
      <c r="A75">
        <v>4001</v>
      </c>
      <c r="B75" t="s">
        <v>211</v>
      </c>
      <c r="C75" t="s">
        <v>212</v>
      </c>
      <c r="D75">
        <v>1151</v>
      </c>
      <c r="E75">
        <v>218</v>
      </c>
      <c r="F75">
        <v>127</v>
      </c>
      <c r="G75">
        <v>140</v>
      </c>
      <c r="H75">
        <v>349</v>
      </c>
      <c r="I75">
        <v>317</v>
      </c>
      <c r="J75">
        <v>231</v>
      </c>
      <c r="K75">
        <v>310</v>
      </c>
      <c r="L75">
        <v>610</v>
      </c>
      <c r="M75" s="1">
        <v>1008</v>
      </c>
      <c r="N75">
        <v>143</v>
      </c>
      <c r="O75" t="s">
        <v>213</v>
      </c>
      <c r="P75" s="1" t="b">
        <f>NOT(OR(Table1[[#This Row],[State]]="Other Foreign Countries", Table1[[#This Row],[State]]="Unknown", Table1[[#This Row],[State]]="Puerto Rico all counties"))</f>
        <v>1</v>
      </c>
    </row>
    <row r="76" spans="1:16" x14ac:dyDescent="0.25">
      <c r="A76">
        <v>19007</v>
      </c>
      <c r="B76" t="s">
        <v>1399</v>
      </c>
      <c r="C76" t="s">
        <v>1405</v>
      </c>
      <c r="D76">
        <v>248</v>
      </c>
      <c r="E76">
        <v>79</v>
      </c>
      <c r="F76">
        <v>35</v>
      </c>
      <c r="G76">
        <v>35</v>
      </c>
      <c r="H76">
        <v>55</v>
      </c>
      <c r="I76">
        <v>44</v>
      </c>
      <c r="J76">
        <v>30</v>
      </c>
      <c r="K76">
        <v>80</v>
      </c>
      <c r="L76">
        <v>138</v>
      </c>
      <c r="M76">
        <v>230</v>
      </c>
      <c r="N76">
        <v>18</v>
      </c>
      <c r="O76" t="s">
        <v>1406</v>
      </c>
      <c r="P76" s="1" t="b">
        <f>NOT(OR(Table1[[#This Row],[State]]="Other Foreign Countries", Table1[[#This Row],[State]]="Unknown", Table1[[#This Row],[State]]="Puerto Rico all counties"))</f>
        <v>1</v>
      </c>
    </row>
    <row r="77" spans="1:16" x14ac:dyDescent="0.25">
      <c r="A77">
        <v>13001</v>
      </c>
      <c r="B77" t="s">
        <v>754</v>
      </c>
      <c r="C77" t="s">
        <v>755</v>
      </c>
      <c r="D77">
        <v>311</v>
      </c>
      <c r="E77">
        <v>51</v>
      </c>
      <c r="F77">
        <v>34</v>
      </c>
      <c r="G77">
        <v>43</v>
      </c>
      <c r="H77">
        <v>95</v>
      </c>
      <c r="I77">
        <v>88</v>
      </c>
      <c r="J77">
        <v>81</v>
      </c>
      <c r="K77">
        <v>110</v>
      </c>
      <c r="L77">
        <v>120</v>
      </c>
      <c r="M77">
        <v>278</v>
      </c>
      <c r="N77">
        <v>33</v>
      </c>
      <c r="O77" t="s">
        <v>756</v>
      </c>
      <c r="P77" s="1" t="b">
        <f>NOT(OR(Table1[[#This Row],[State]]="Other Foreign Countries", Table1[[#This Row],[State]]="Unknown", Table1[[#This Row],[State]]="Puerto Rico all counties"))</f>
        <v>1</v>
      </c>
    </row>
    <row r="78" spans="1:16" x14ac:dyDescent="0.25">
      <c r="A78">
        <v>51011</v>
      </c>
      <c r="B78" t="s">
        <v>4555</v>
      </c>
      <c r="C78" t="s">
        <v>4565</v>
      </c>
      <c r="D78">
        <v>373</v>
      </c>
      <c r="E78">
        <v>78</v>
      </c>
      <c r="F78">
        <v>56</v>
      </c>
      <c r="G78">
        <v>42</v>
      </c>
      <c r="H78">
        <v>102</v>
      </c>
      <c r="I78">
        <v>95</v>
      </c>
      <c r="J78">
        <v>91</v>
      </c>
      <c r="K78">
        <v>128</v>
      </c>
      <c r="L78">
        <v>154</v>
      </c>
      <c r="M78">
        <v>333</v>
      </c>
      <c r="N78">
        <v>40</v>
      </c>
      <c r="O78" t="s">
        <v>4566</v>
      </c>
      <c r="P78" s="1" t="b">
        <f>NOT(OR(Table1[[#This Row],[State]]="Other Foreign Countries", Table1[[#This Row],[State]]="Unknown", Table1[[#This Row],[State]]="Puerto Rico all counties"))</f>
        <v>1</v>
      </c>
    </row>
    <row r="79" spans="1:16" x14ac:dyDescent="0.25">
      <c r="A79">
        <v>48007</v>
      </c>
      <c r="B79" t="s">
        <v>2654</v>
      </c>
      <c r="C79" t="s">
        <v>4078</v>
      </c>
      <c r="D79">
        <v>992</v>
      </c>
      <c r="E79">
        <v>211</v>
      </c>
      <c r="F79">
        <v>97</v>
      </c>
      <c r="G79">
        <v>94</v>
      </c>
      <c r="H79">
        <v>283</v>
      </c>
      <c r="I79">
        <v>307</v>
      </c>
      <c r="J79">
        <v>173</v>
      </c>
      <c r="K79">
        <v>352</v>
      </c>
      <c r="L79">
        <v>467</v>
      </c>
      <c r="M79">
        <v>890</v>
      </c>
      <c r="N79">
        <v>102</v>
      </c>
      <c r="O79" t="s">
        <v>4079</v>
      </c>
      <c r="P79" s="1" t="b">
        <f>NOT(OR(Table1[[#This Row],[State]]="Other Foreign Countries", Table1[[#This Row],[State]]="Unknown", Table1[[#This Row],[State]]="Puerto Rico all counties"))</f>
        <v>1</v>
      </c>
    </row>
    <row r="80" spans="1:16" x14ac:dyDescent="0.25">
      <c r="A80">
        <v>8005</v>
      </c>
      <c r="B80" t="s">
        <v>489</v>
      </c>
      <c r="C80" t="s">
        <v>494</v>
      </c>
      <c r="D80">
        <v>12060</v>
      </c>
      <c r="E80" s="1">
        <v>2471</v>
      </c>
      <c r="F80" s="1">
        <v>1612</v>
      </c>
      <c r="G80" s="1">
        <v>1679</v>
      </c>
      <c r="H80" s="1">
        <v>3490</v>
      </c>
      <c r="I80" s="1">
        <v>2808</v>
      </c>
      <c r="J80" s="1">
        <v>4436</v>
      </c>
      <c r="K80" s="1">
        <v>3772</v>
      </c>
      <c r="L80" s="1">
        <v>3852</v>
      </c>
      <c r="M80" s="1">
        <v>10209</v>
      </c>
      <c r="N80" s="1">
        <v>1850</v>
      </c>
      <c r="O80" t="s">
        <v>495</v>
      </c>
      <c r="P80" s="1" t="b">
        <f>NOT(OR(Table1[[#This Row],[State]]="Other Foreign Countries", Table1[[#This Row],[State]]="Unknown", Table1[[#This Row],[State]]="Puerto Rico all counties"))</f>
        <v>1</v>
      </c>
    </row>
    <row r="81" spans="1:16" x14ac:dyDescent="0.25">
      <c r="A81">
        <v>48009</v>
      </c>
      <c r="B81" t="s">
        <v>2654</v>
      </c>
      <c r="C81" t="s">
        <v>4080</v>
      </c>
      <c r="D81">
        <v>314</v>
      </c>
      <c r="E81">
        <v>49</v>
      </c>
      <c r="F81">
        <v>35</v>
      </c>
      <c r="G81">
        <v>21</v>
      </c>
      <c r="H81">
        <v>81</v>
      </c>
      <c r="I81">
        <v>128</v>
      </c>
      <c r="J81">
        <v>76</v>
      </c>
      <c r="K81">
        <v>120</v>
      </c>
      <c r="L81">
        <v>118</v>
      </c>
      <c r="M81">
        <v>272</v>
      </c>
      <c r="N81">
        <v>42</v>
      </c>
      <c r="O81" t="s">
        <v>4081</v>
      </c>
      <c r="P81" s="1" t="b">
        <f>NOT(OR(Table1[[#This Row],[State]]="Other Foreign Countries", Table1[[#This Row],[State]]="Unknown", Table1[[#This Row],[State]]="Puerto Rico all counties"))</f>
        <v>1</v>
      </c>
    </row>
    <row r="82" spans="1:16" x14ac:dyDescent="0.25">
      <c r="A82">
        <v>8007</v>
      </c>
      <c r="B82" t="s">
        <v>489</v>
      </c>
      <c r="C82" t="s">
        <v>496</v>
      </c>
      <c r="D82">
        <v>332</v>
      </c>
      <c r="E82">
        <v>75</v>
      </c>
      <c r="F82">
        <v>34</v>
      </c>
      <c r="G82">
        <v>41</v>
      </c>
      <c r="H82">
        <v>101</v>
      </c>
      <c r="I82">
        <v>81</v>
      </c>
      <c r="J82">
        <v>69</v>
      </c>
      <c r="K82">
        <v>87</v>
      </c>
      <c r="L82">
        <v>176</v>
      </c>
      <c r="M82">
        <v>291</v>
      </c>
      <c r="N82">
        <v>41</v>
      </c>
      <c r="O82" t="s">
        <v>497</v>
      </c>
      <c r="P82" s="1" t="b">
        <f>NOT(OR(Table1[[#This Row],[State]]="Other Foreign Countries", Table1[[#This Row],[State]]="Unknown", Table1[[#This Row],[State]]="Puerto Rico all counties"))</f>
        <v>1</v>
      </c>
    </row>
    <row r="83" spans="1:16" x14ac:dyDescent="0.25">
      <c r="A83">
        <v>26011</v>
      </c>
      <c r="B83" t="s">
        <v>2099</v>
      </c>
      <c r="C83" t="s">
        <v>2110</v>
      </c>
      <c r="D83">
        <v>383</v>
      </c>
      <c r="E83">
        <v>98</v>
      </c>
      <c r="F83">
        <v>35</v>
      </c>
      <c r="G83">
        <v>42</v>
      </c>
      <c r="H83">
        <v>117</v>
      </c>
      <c r="I83">
        <v>91</v>
      </c>
      <c r="J83">
        <v>62</v>
      </c>
      <c r="K83">
        <v>108</v>
      </c>
      <c r="L83">
        <v>213</v>
      </c>
      <c r="M83">
        <v>363</v>
      </c>
      <c r="N83">
        <v>20</v>
      </c>
      <c r="O83" t="s">
        <v>2111</v>
      </c>
      <c r="P83" s="1" t="b">
        <f>NOT(OR(Table1[[#This Row],[State]]="Other Foreign Countries", Table1[[#This Row],[State]]="Unknown", Table1[[#This Row],[State]]="Puerto Rico all counties"))</f>
        <v>1</v>
      </c>
    </row>
    <row r="84" spans="1:16" x14ac:dyDescent="0.25">
      <c r="A84">
        <v>5001</v>
      </c>
      <c r="B84" t="s">
        <v>242</v>
      </c>
      <c r="C84" t="s">
        <v>242</v>
      </c>
      <c r="D84">
        <v>247</v>
      </c>
      <c r="E84">
        <v>35</v>
      </c>
      <c r="F84">
        <v>28</v>
      </c>
      <c r="G84">
        <v>32</v>
      </c>
      <c r="H84">
        <v>83</v>
      </c>
      <c r="I84">
        <v>69</v>
      </c>
      <c r="J84">
        <v>41</v>
      </c>
      <c r="K84">
        <v>90</v>
      </c>
      <c r="L84">
        <v>116</v>
      </c>
      <c r="M84">
        <v>230</v>
      </c>
      <c r="N84">
        <v>17</v>
      </c>
      <c r="O84" t="s">
        <v>243</v>
      </c>
      <c r="P84" s="1" t="b">
        <f>NOT(OR(Table1[[#This Row],[State]]="Other Foreign Countries", Table1[[#This Row],[State]]="Unknown", Table1[[#This Row],[State]]="Puerto Rico all counties"))</f>
        <v>1</v>
      </c>
    </row>
    <row r="85" spans="1:16" x14ac:dyDescent="0.25">
      <c r="A85">
        <v>51013</v>
      </c>
      <c r="B85" t="s">
        <v>4555</v>
      </c>
      <c r="C85" t="s">
        <v>4567</v>
      </c>
      <c r="D85">
        <v>4858</v>
      </c>
      <c r="E85">
        <v>751</v>
      </c>
      <c r="F85">
        <v>576</v>
      </c>
      <c r="G85">
        <v>612</v>
      </c>
      <c r="H85" s="1">
        <v>1437</v>
      </c>
      <c r="I85" s="1">
        <v>1482</v>
      </c>
      <c r="J85" s="1">
        <v>1929</v>
      </c>
      <c r="K85" s="1">
        <v>2107</v>
      </c>
      <c r="L85">
        <v>822</v>
      </c>
      <c r="M85" s="1">
        <v>3869</v>
      </c>
      <c r="N85">
        <v>989</v>
      </c>
      <c r="O85" t="s">
        <v>4568</v>
      </c>
      <c r="P85" s="1" t="b">
        <f>NOT(OR(Table1[[#This Row],[State]]="Other Foreign Countries", Table1[[#This Row],[State]]="Unknown", Table1[[#This Row],[State]]="Puerto Rico all counties"))</f>
        <v>1</v>
      </c>
    </row>
    <row r="86" spans="1:16" x14ac:dyDescent="0.25">
      <c r="A86">
        <v>42005</v>
      </c>
      <c r="B86" t="s">
        <v>3665</v>
      </c>
      <c r="C86" t="s">
        <v>3669</v>
      </c>
      <c r="D86">
        <v>1103</v>
      </c>
      <c r="E86">
        <v>247</v>
      </c>
      <c r="F86">
        <v>135</v>
      </c>
      <c r="G86">
        <v>134</v>
      </c>
      <c r="H86">
        <v>299</v>
      </c>
      <c r="I86">
        <v>288</v>
      </c>
      <c r="J86">
        <v>260</v>
      </c>
      <c r="K86">
        <v>289</v>
      </c>
      <c r="L86">
        <v>554</v>
      </c>
      <c r="M86" s="1">
        <v>1029</v>
      </c>
      <c r="N86">
        <v>72</v>
      </c>
      <c r="O86" t="s">
        <v>3670</v>
      </c>
      <c r="P86" s="1" t="b">
        <f>NOT(OR(Table1[[#This Row],[State]]="Other Foreign Countries", Table1[[#This Row],[State]]="Unknown", Table1[[#This Row],[State]]="Puerto Rico all counties"))</f>
        <v>1</v>
      </c>
    </row>
    <row r="87" spans="1:16" x14ac:dyDescent="0.25">
      <c r="A87">
        <v>48011</v>
      </c>
      <c r="B87" t="s">
        <v>2654</v>
      </c>
      <c r="C87" t="s">
        <v>3669</v>
      </c>
      <c r="D87">
        <v>57</v>
      </c>
      <c r="E87">
        <v>10</v>
      </c>
      <c r="G87">
        <v>12</v>
      </c>
      <c r="H87">
        <v>22</v>
      </c>
      <c r="J87">
        <v>13</v>
      </c>
      <c r="K87">
        <v>21</v>
      </c>
      <c r="L87">
        <v>23</v>
      </c>
      <c r="O87" t="s">
        <v>4082</v>
      </c>
      <c r="P87" s="1" t="b">
        <f>NOT(OR(Table1[[#This Row],[State]]="Other Foreign Countries", Table1[[#This Row],[State]]="Unknown", Table1[[#This Row],[State]]="Puerto Rico all counties"))</f>
        <v>1</v>
      </c>
    </row>
    <row r="88" spans="1:16" x14ac:dyDescent="0.25">
      <c r="A88">
        <v>23003</v>
      </c>
      <c r="B88" t="s">
        <v>2004</v>
      </c>
      <c r="C88" t="s">
        <v>2007</v>
      </c>
      <c r="D88">
        <v>2199</v>
      </c>
      <c r="E88">
        <v>409</v>
      </c>
      <c r="F88">
        <v>214</v>
      </c>
      <c r="G88">
        <v>229</v>
      </c>
      <c r="H88">
        <v>783</v>
      </c>
      <c r="I88">
        <v>564</v>
      </c>
      <c r="J88">
        <v>395</v>
      </c>
      <c r="K88">
        <v>716</v>
      </c>
      <c r="L88" s="1">
        <v>1088</v>
      </c>
      <c r="M88" s="1">
        <v>2014</v>
      </c>
      <c r="N88">
        <v>185</v>
      </c>
      <c r="O88" t="s">
        <v>2008</v>
      </c>
      <c r="P88" s="1" t="b">
        <f>NOT(OR(Table1[[#This Row],[State]]="Other Foreign Countries", Table1[[#This Row],[State]]="Unknown", Table1[[#This Row],[State]]="Puerto Rico all counties"))</f>
        <v>1</v>
      </c>
    </row>
    <row r="89" spans="1:16" x14ac:dyDescent="0.25">
      <c r="A89">
        <v>31005</v>
      </c>
      <c r="B89" t="s">
        <v>2758</v>
      </c>
      <c r="C89" t="s">
        <v>2762</v>
      </c>
      <c r="O89" t="s">
        <v>2763</v>
      </c>
      <c r="P89" s="1" t="b">
        <f>NOT(OR(Table1[[#This Row],[State]]="Other Foreign Countries", Table1[[#This Row],[State]]="Unknown", Table1[[#This Row],[State]]="Puerto Rico all counties"))</f>
        <v>1</v>
      </c>
    </row>
    <row r="90" spans="1:16" x14ac:dyDescent="0.25">
      <c r="A90">
        <v>22005</v>
      </c>
      <c r="B90" t="s">
        <v>1892</v>
      </c>
      <c r="C90" t="s">
        <v>1896</v>
      </c>
      <c r="D90">
        <v>2192</v>
      </c>
      <c r="E90">
        <v>394</v>
      </c>
      <c r="F90">
        <v>187</v>
      </c>
      <c r="G90">
        <v>277</v>
      </c>
      <c r="H90">
        <v>671</v>
      </c>
      <c r="I90">
        <v>663</v>
      </c>
      <c r="J90">
        <v>644</v>
      </c>
      <c r="K90">
        <v>844</v>
      </c>
      <c r="L90">
        <v>704</v>
      </c>
      <c r="M90" s="1">
        <v>1900</v>
      </c>
      <c r="N90">
        <v>292</v>
      </c>
      <c r="O90" t="s">
        <v>1897</v>
      </c>
      <c r="P90" s="1" t="b">
        <f>NOT(OR(Table1[[#This Row],[State]]="Other Foreign Countries", Table1[[#This Row],[State]]="Unknown", Table1[[#This Row],[State]]="Puerto Rico all counties"))</f>
        <v>1</v>
      </c>
    </row>
    <row r="91" spans="1:16" x14ac:dyDescent="0.25">
      <c r="A91">
        <v>37009</v>
      </c>
      <c r="B91" t="s">
        <v>3121</v>
      </c>
      <c r="C91" t="s">
        <v>3129</v>
      </c>
      <c r="D91">
        <v>560</v>
      </c>
      <c r="E91">
        <v>111</v>
      </c>
      <c r="F91">
        <v>55</v>
      </c>
      <c r="G91">
        <v>52</v>
      </c>
      <c r="H91">
        <v>175</v>
      </c>
      <c r="I91">
        <v>167</v>
      </c>
      <c r="J91">
        <v>80</v>
      </c>
      <c r="K91">
        <v>166</v>
      </c>
      <c r="L91">
        <v>314</v>
      </c>
      <c r="M91">
        <v>525</v>
      </c>
      <c r="N91">
        <v>35</v>
      </c>
      <c r="O91" t="s">
        <v>3130</v>
      </c>
      <c r="P91" s="1" t="b">
        <f>NOT(OR(Table1[[#This Row],[State]]="Other Foreign Countries", Table1[[#This Row],[State]]="Unknown", Table1[[#This Row],[State]]="Puerto Rico all counties"))</f>
        <v>1</v>
      </c>
    </row>
    <row r="92" spans="1:16" x14ac:dyDescent="0.25">
      <c r="A92">
        <v>39005</v>
      </c>
      <c r="B92" t="s">
        <v>1343</v>
      </c>
      <c r="C92" t="s">
        <v>3373</v>
      </c>
      <c r="D92">
        <v>1021</v>
      </c>
      <c r="E92">
        <v>263</v>
      </c>
      <c r="F92">
        <v>129</v>
      </c>
      <c r="G92">
        <v>116</v>
      </c>
      <c r="H92">
        <v>313</v>
      </c>
      <c r="I92">
        <v>200</v>
      </c>
      <c r="J92">
        <v>267</v>
      </c>
      <c r="K92">
        <v>265</v>
      </c>
      <c r="L92">
        <v>489</v>
      </c>
      <c r="M92">
        <v>945</v>
      </c>
      <c r="N92">
        <v>76</v>
      </c>
      <c r="O92" t="s">
        <v>3374</v>
      </c>
      <c r="P92" s="1" t="b">
        <f>NOT(OR(Table1[[#This Row],[State]]="Other Foreign Countries", Table1[[#This Row],[State]]="Unknown", Table1[[#This Row],[State]]="Puerto Rico all counties"))</f>
        <v>1</v>
      </c>
    </row>
    <row r="93" spans="1:16" x14ac:dyDescent="0.25">
      <c r="A93">
        <v>55003</v>
      </c>
      <c r="B93" t="s">
        <v>4906</v>
      </c>
      <c r="C93" t="s">
        <v>3373</v>
      </c>
      <c r="D93">
        <v>349</v>
      </c>
      <c r="E93">
        <v>100</v>
      </c>
      <c r="F93">
        <v>41</v>
      </c>
      <c r="G93">
        <v>43</v>
      </c>
      <c r="H93">
        <v>84</v>
      </c>
      <c r="I93">
        <v>81</v>
      </c>
      <c r="J93">
        <v>78</v>
      </c>
      <c r="K93">
        <v>103</v>
      </c>
      <c r="L93">
        <v>168</v>
      </c>
      <c r="M93">
        <v>321</v>
      </c>
      <c r="N93">
        <v>28</v>
      </c>
      <c r="O93" t="s">
        <v>4908</v>
      </c>
      <c r="P93" s="1" t="b">
        <f>NOT(OR(Table1[[#This Row],[State]]="Other Foreign Countries", Table1[[#This Row],[State]]="Unknown", Table1[[#This Row],[State]]="Puerto Rico all counties"))</f>
        <v>1</v>
      </c>
    </row>
    <row r="94" spans="1:16" x14ac:dyDescent="0.25">
      <c r="A94">
        <v>5003</v>
      </c>
      <c r="B94" t="s">
        <v>242</v>
      </c>
      <c r="C94" t="s">
        <v>244</v>
      </c>
      <c r="D94">
        <v>348</v>
      </c>
      <c r="E94">
        <v>50</v>
      </c>
      <c r="F94">
        <v>36</v>
      </c>
      <c r="G94">
        <v>36</v>
      </c>
      <c r="H94">
        <v>117</v>
      </c>
      <c r="I94">
        <v>109</v>
      </c>
      <c r="J94">
        <v>57</v>
      </c>
      <c r="K94">
        <v>115</v>
      </c>
      <c r="L94">
        <v>176</v>
      </c>
      <c r="M94">
        <v>320</v>
      </c>
      <c r="N94">
        <v>28</v>
      </c>
      <c r="O94" t="s">
        <v>245</v>
      </c>
      <c r="P94" s="1" t="b">
        <f>NOT(OR(Table1[[#This Row],[State]]="Other Foreign Countries", Table1[[#This Row],[State]]="Unknown", Table1[[#This Row],[State]]="Puerto Rico all counties"))</f>
        <v>1</v>
      </c>
    </row>
    <row r="95" spans="1:16" x14ac:dyDescent="0.25">
      <c r="A95">
        <v>39007</v>
      </c>
      <c r="B95" t="s">
        <v>1343</v>
      </c>
      <c r="C95" t="s">
        <v>3375</v>
      </c>
      <c r="D95">
        <v>2232</v>
      </c>
      <c r="E95">
        <v>574</v>
      </c>
      <c r="F95">
        <v>270</v>
      </c>
      <c r="G95">
        <v>260</v>
      </c>
      <c r="H95">
        <v>621</v>
      </c>
      <c r="I95">
        <v>507</v>
      </c>
      <c r="J95">
        <v>529</v>
      </c>
      <c r="K95">
        <v>640</v>
      </c>
      <c r="L95" s="1">
        <v>1063</v>
      </c>
      <c r="M95" s="1">
        <v>2053</v>
      </c>
      <c r="N95">
        <v>179</v>
      </c>
      <c r="O95" t="s">
        <v>3376</v>
      </c>
      <c r="P95" s="1" t="b">
        <f>NOT(OR(Table1[[#This Row],[State]]="Other Foreign Countries", Table1[[#This Row],[State]]="Unknown", Table1[[#This Row],[State]]="Puerto Rico all counties"))</f>
        <v>1</v>
      </c>
    </row>
    <row r="96" spans="1:16" x14ac:dyDescent="0.25">
      <c r="A96">
        <v>53003</v>
      </c>
      <c r="B96" t="s">
        <v>144</v>
      </c>
      <c r="C96" t="s">
        <v>4773</v>
      </c>
      <c r="D96">
        <v>610</v>
      </c>
      <c r="E96">
        <v>150</v>
      </c>
      <c r="F96">
        <v>68</v>
      </c>
      <c r="G96">
        <v>87</v>
      </c>
      <c r="H96">
        <v>163</v>
      </c>
      <c r="I96">
        <v>142</v>
      </c>
      <c r="J96">
        <v>130</v>
      </c>
      <c r="K96">
        <v>189</v>
      </c>
      <c r="L96">
        <v>291</v>
      </c>
      <c r="M96">
        <v>559</v>
      </c>
      <c r="N96">
        <v>51</v>
      </c>
      <c r="O96" t="s">
        <v>4774</v>
      </c>
      <c r="P96" s="1" t="b">
        <f>NOT(OR(Table1[[#This Row],[State]]="Other Foreign Countries", Table1[[#This Row],[State]]="Unknown", Table1[[#This Row],[State]]="Puerto Rico all counties"))</f>
        <v>1</v>
      </c>
    </row>
    <row r="97" spans="1:16" x14ac:dyDescent="0.25">
      <c r="A97">
        <v>22007</v>
      </c>
      <c r="B97" t="s">
        <v>1892</v>
      </c>
      <c r="C97" t="s">
        <v>1898</v>
      </c>
      <c r="D97">
        <v>258</v>
      </c>
      <c r="E97">
        <v>54</v>
      </c>
      <c r="F97">
        <v>24</v>
      </c>
      <c r="G97">
        <v>20</v>
      </c>
      <c r="H97">
        <v>92</v>
      </c>
      <c r="I97">
        <v>68</v>
      </c>
      <c r="J97">
        <v>35</v>
      </c>
      <c r="K97">
        <v>85</v>
      </c>
      <c r="L97">
        <v>138</v>
      </c>
      <c r="M97">
        <v>237</v>
      </c>
      <c r="N97">
        <v>21</v>
      </c>
      <c r="O97" t="s">
        <v>1899</v>
      </c>
      <c r="P97" s="1" t="b">
        <f>NOT(OR(Table1[[#This Row],[State]]="Other Foreign Countries", Table1[[#This Row],[State]]="Unknown", Table1[[#This Row],[State]]="Puerto Rico all counties"))</f>
        <v>1</v>
      </c>
    </row>
    <row r="98" spans="1:16" x14ac:dyDescent="0.25">
      <c r="A98">
        <v>48013</v>
      </c>
      <c r="B98" t="s">
        <v>2654</v>
      </c>
      <c r="C98" t="s">
        <v>4083</v>
      </c>
      <c r="D98">
        <v>1733</v>
      </c>
      <c r="E98">
        <v>278</v>
      </c>
      <c r="F98">
        <v>151</v>
      </c>
      <c r="G98">
        <v>183</v>
      </c>
      <c r="H98">
        <v>521</v>
      </c>
      <c r="I98">
        <v>600</v>
      </c>
      <c r="J98">
        <v>458</v>
      </c>
      <c r="K98">
        <v>620</v>
      </c>
      <c r="L98">
        <v>655</v>
      </c>
      <c r="M98" s="1">
        <v>1495</v>
      </c>
      <c r="N98">
        <v>238</v>
      </c>
      <c r="O98" t="s">
        <v>4084</v>
      </c>
      <c r="P98" s="1" t="b">
        <f>NOT(OR(Table1[[#This Row],[State]]="Other Foreign Countries", Table1[[#This Row],[State]]="Unknown", Table1[[#This Row],[State]]="Puerto Rico all counties"))</f>
        <v>1</v>
      </c>
    </row>
    <row r="99" spans="1:16" x14ac:dyDescent="0.25">
      <c r="A99">
        <v>20005</v>
      </c>
      <c r="B99" t="s">
        <v>1543</v>
      </c>
      <c r="C99" t="s">
        <v>1547</v>
      </c>
      <c r="D99">
        <v>278</v>
      </c>
      <c r="E99">
        <v>56</v>
      </c>
      <c r="F99">
        <v>34</v>
      </c>
      <c r="G99">
        <v>34</v>
      </c>
      <c r="H99">
        <v>87</v>
      </c>
      <c r="I99">
        <v>67</v>
      </c>
      <c r="J99">
        <v>53</v>
      </c>
      <c r="K99">
        <v>97</v>
      </c>
      <c r="L99">
        <v>128</v>
      </c>
      <c r="M99">
        <v>260</v>
      </c>
      <c r="N99">
        <v>18</v>
      </c>
      <c r="O99" t="s">
        <v>1548</v>
      </c>
      <c r="P99" s="1" t="b">
        <f>NOT(OR(Table1[[#This Row],[State]]="Other Foreign Countries", Table1[[#This Row],[State]]="Unknown", Table1[[#This Row],[State]]="Puerto Rico all counties"))</f>
        <v>1</v>
      </c>
    </row>
    <row r="100" spans="1:16" x14ac:dyDescent="0.25">
      <c r="A100">
        <v>29005</v>
      </c>
      <c r="B100" t="s">
        <v>2510</v>
      </c>
      <c r="C100" t="s">
        <v>1547</v>
      </c>
      <c r="D100">
        <v>94</v>
      </c>
      <c r="E100">
        <v>27</v>
      </c>
      <c r="F100">
        <v>11</v>
      </c>
      <c r="G100">
        <v>14</v>
      </c>
      <c r="H100">
        <v>30</v>
      </c>
      <c r="I100">
        <v>12</v>
      </c>
      <c r="J100">
        <v>18</v>
      </c>
      <c r="K100">
        <v>27</v>
      </c>
      <c r="L100">
        <v>49</v>
      </c>
      <c r="O100" t="s">
        <v>2514</v>
      </c>
      <c r="P100" s="1" t="b">
        <f>NOT(OR(Table1[[#This Row],[State]]="Other Foreign Countries", Table1[[#This Row],[State]]="Unknown", Table1[[#This Row],[State]]="Puerto Rico all counties"))</f>
        <v>1</v>
      </c>
    </row>
    <row r="101" spans="1:16" x14ac:dyDescent="0.25">
      <c r="A101">
        <v>39009</v>
      </c>
      <c r="B101" t="s">
        <v>1343</v>
      </c>
      <c r="C101" t="s">
        <v>3377</v>
      </c>
      <c r="D101">
        <v>981</v>
      </c>
      <c r="E101">
        <v>235</v>
      </c>
      <c r="F101">
        <v>121</v>
      </c>
      <c r="G101">
        <v>123</v>
      </c>
      <c r="H101">
        <v>298</v>
      </c>
      <c r="I101">
        <v>204</v>
      </c>
      <c r="J101">
        <v>250</v>
      </c>
      <c r="K101">
        <v>272</v>
      </c>
      <c r="L101">
        <v>459</v>
      </c>
      <c r="M101">
        <v>910</v>
      </c>
      <c r="N101">
        <v>70</v>
      </c>
      <c r="O101" t="s">
        <v>3378</v>
      </c>
      <c r="P101" s="1" t="b">
        <f>NOT(OR(Table1[[#This Row],[State]]="Other Foreign Countries", Table1[[#This Row],[State]]="Unknown", Table1[[#This Row],[State]]="Puerto Rico all counties"))</f>
        <v>1</v>
      </c>
    </row>
    <row r="102" spans="1:16" x14ac:dyDescent="0.25">
      <c r="A102">
        <v>13003</v>
      </c>
      <c r="B102" t="s">
        <v>754</v>
      </c>
      <c r="C102" t="s">
        <v>757</v>
      </c>
      <c r="D102">
        <v>86</v>
      </c>
      <c r="E102">
        <v>11</v>
      </c>
      <c r="F102">
        <v>11</v>
      </c>
      <c r="G102">
        <v>13</v>
      </c>
      <c r="H102">
        <v>31</v>
      </c>
      <c r="I102">
        <v>20</v>
      </c>
      <c r="J102">
        <v>18</v>
      </c>
      <c r="K102">
        <v>32</v>
      </c>
      <c r="L102">
        <v>36</v>
      </c>
      <c r="O102" t="s">
        <v>758</v>
      </c>
      <c r="P102" s="1" t="b">
        <f>NOT(OR(Table1[[#This Row],[State]]="Other Foreign Countries", Table1[[#This Row],[State]]="Unknown", Table1[[#This Row],[State]]="Puerto Rico all counties"))</f>
        <v>1</v>
      </c>
    </row>
    <row r="103" spans="1:16" x14ac:dyDescent="0.25">
      <c r="A103">
        <v>34001</v>
      </c>
      <c r="B103" t="s">
        <v>2938</v>
      </c>
      <c r="C103" t="s">
        <v>2939</v>
      </c>
      <c r="D103">
        <v>3280</v>
      </c>
      <c r="E103">
        <v>677</v>
      </c>
      <c r="F103">
        <v>339</v>
      </c>
      <c r="G103">
        <v>347</v>
      </c>
      <c r="H103" s="1">
        <v>1013</v>
      </c>
      <c r="I103">
        <v>904</v>
      </c>
      <c r="J103">
        <v>900</v>
      </c>
      <c r="K103">
        <v>836</v>
      </c>
      <c r="L103" s="1">
        <v>1544</v>
      </c>
      <c r="M103" s="1">
        <v>2947</v>
      </c>
      <c r="N103">
        <v>330</v>
      </c>
      <c r="O103" t="s">
        <v>2940</v>
      </c>
      <c r="P103" s="1" t="b">
        <f>NOT(OR(Table1[[#This Row],[State]]="Other Foreign Countries", Table1[[#This Row],[State]]="Unknown", Table1[[#This Row],[State]]="Puerto Rico all counties"))</f>
        <v>1</v>
      </c>
    </row>
    <row r="104" spans="1:16" x14ac:dyDescent="0.25">
      <c r="A104">
        <v>40005</v>
      </c>
      <c r="B104" t="s">
        <v>3495</v>
      </c>
      <c r="C104" t="s">
        <v>3499</v>
      </c>
      <c r="D104">
        <v>393</v>
      </c>
      <c r="E104">
        <v>81</v>
      </c>
      <c r="F104">
        <v>39</v>
      </c>
      <c r="G104">
        <v>50</v>
      </c>
      <c r="H104">
        <v>137</v>
      </c>
      <c r="I104">
        <v>86</v>
      </c>
      <c r="J104">
        <v>85</v>
      </c>
      <c r="K104">
        <v>107</v>
      </c>
      <c r="L104">
        <v>201</v>
      </c>
      <c r="M104">
        <v>362</v>
      </c>
      <c r="N104">
        <v>31</v>
      </c>
      <c r="O104" t="s">
        <v>3500</v>
      </c>
      <c r="P104" s="1" t="b">
        <f>NOT(OR(Table1[[#This Row],[State]]="Other Foreign Countries", Table1[[#This Row],[State]]="Unknown", Table1[[#This Row],[State]]="Puerto Rico all counties"))</f>
        <v>1</v>
      </c>
    </row>
    <row r="105" spans="1:16" x14ac:dyDescent="0.25">
      <c r="A105">
        <v>28007</v>
      </c>
      <c r="B105" t="s">
        <v>322</v>
      </c>
      <c r="C105" t="s">
        <v>2399</v>
      </c>
      <c r="D105">
        <v>276</v>
      </c>
      <c r="E105">
        <v>51</v>
      </c>
      <c r="F105">
        <v>24</v>
      </c>
      <c r="G105">
        <v>43</v>
      </c>
      <c r="H105">
        <v>83</v>
      </c>
      <c r="I105">
        <v>75</v>
      </c>
      <c r="J105">
        <v>35</v>
      </c>
      <c r="K105">
        <v>101</v>
      </c>
      <c r="L105">
        <v>140</v>
      </c>
      <c r="M105">
        <v>262</v>
      </c>
      <c r="N105">
        <v>14</v>
      </c>
      <c r="O105" t="s">
        <v>2400</v>
      </c>
      <c r="P105" s="1" t="b">
        <f>NOT(OR(Table1[[#This Row],[State]]="Other Foreign Countries", Table1[[#This Row],[State]]="Unknown", Table1[[#This Row],[State]]="Puerto Rico all counties"))</f>
        <v>1</v>
      </c>
    </row>
    <row r="106" spans="1:16" x14ac:dyDescent="0.25">
      <c r="A106">
        <v>29007</v>
      </c>
      <c r="B106" t="s">
        <v>2510</v>
      </c>
      <c r="C106" t="s">
        <v>2515</v>
      </c>
      <c r="D106">
        <v>551</v>
      </c>
      <c r="E106">
        <v>179</v>
      </c>
      <c r="F106">
        <v>67</v>
      </c>
      <c r="G106">
        <v>71</v>
      </c>
      <c r="H106">
        <v>145</v>
      </c>
      <c r="I106">
        <v>89</v>
      </c>
      <c r="J106">
        <v>90</v>
      </c>
      <c r="K106">
        <v>121</v>
      </c>
      <c r="L106">
        <v>340</v>
      </c>
      <c r="M106">
        <v>528</v>
      </c>
      <c r="N106">
        <v>23</v>
      </c>
      <c r="O106" t="s">
        <v>2516</v>
      </c>
      <c r="P106" s="1" t="b">
        <f>NOT(OR(Table1[[#This Row],[State]]="Other Foreign Countries", Table1[[#This Row],[State]]="Unknown", Table1[[#This Row],[State]]="Puerto Rico all counties"))</f>
        <v>1</v>
      </c>
    </row>
    <row r="107" spans="1:16" x14ac:dyDescent="0.25">
      <c r="A107">
        <v>19009</v>
      </c>
      <c r="B107" t="s">
        <v>1399</v>
      </c>
      <c r="C107" t="s">
        <v>1407</v>
      </c>
      <c r="D107">
        <v>111</v>
      </c>
      <c r="E107">
        <v>31</v>
      </c>
      <c r="F107">
        <v>11</v>
      </c>
      <c r="G107">
        <v>20</v>
      </c>
      <c r="H107">
        <v>33</v>
      </c>
      <c r="I107">
        <v>16</v>
      </c>
      <c r="J107">
        <v>26</v>
      </c>
      <c r="K107">
        <v>35</v>
      </c>
      <c r="L107">
        <v>50</v>
      </c>
      <c r="M107">
        <v>96</v>
      </c>
      <c r="N107">
        <v>15</v>
      </c>
      <c r="O107" t="s">
        <v>1408</v>
      </c>
      <c r="P107" s="1" t="b">
        <f>NOT(OR(Table1[[#This Row],[State]]="Other Foreign Countries", Table1[[#This Row],[State]]="Unknown", Table1[[#This Row],[State]]="Puerto Rico all counties"))</f>
        <v>1</v>
      </c>
    </row>
    <row r="108" spans="1:16" x14ac:dyDescent="0.25">
      <c r="A108">
        <v>39011</v>
      </c>
      <c r="B108" t="s">
        <v>1343</v>
      </c>
      <c r="C108" t="s">
        <v>3379</v>
      </c>
      <c r="D108">
        <v>725</v>
      </c>
      <c r="E108">
        <v>160</v>
      </c>
      <c r="F108">
        <v>99</v>
      </c>
      <c r="G108">
        <v>106</v>
      </c>
      <c r="H108">
        <v>223</v>
      </c>
      <c r="I108">
        <v>137</v>
      </c>
      <c r="J108">
        <v>213</v>
      </c>
      <c r="K108">
        <v>201</v>
      </c>
      <c r="L108">
        <v>311</v>
      </c>
      <c r="M108">
        <v>684</v>
      </c>
      <c r="N108">
        <v>41</v>
      </c>
      <c r="O108" t="s">
        <v>3380</v>
      </c>
      <c r="P108" s="1" t="b">
        <f>NOT(OR(Table1[[#This Row],[State]]="Other Foreign Countries", Table1[[#This Row],[State]]="Unknown", Table1[[#This Row],[State]]="Puerto Rico all counties"))</f>
        <v>1</v>
      </c>
    </row>
    <row r="109" spans="1:16" x14ac:dyDescent="0.25">
      <c r="A109">
        <v>51015</v>
      </c>
      <c r="B109" t="s">
        <v>4555</v>
      </c>
      <c r="C109" t="s">
        <v>4569</v>
      </c>
      <c r="D109">
        <v>1386</v>
      </c>
      <c r="E109">
        <v>288</v>
      </c>
      <c r="F109">
        <v>194</v>
      </c>
      <c r="G109">
        <v>174</v>
      </c>
      <c r="H109">
        <v>388</v>
      </c>
      <c r="I109">
        <v>342</v>
      </c>
      <c r="J109">
        <v>360</v>
      </c>
      <c r="K109">
        <v>385</v>
      </c>
      <c r="L109">
        <v>641</v>
      </c>
      <c r="M109" s="1">
        <v>1260</v>
      </c>
      <c r="N109">
        <v>126</v>
      </c>
      <c r="O109" t="s">
        <v>4570</v>
      </c>
      <c r="P109" s="1" t="b">
        <f>NOT(OR(Table1[[#This Row],[State]]="Other Foreign Countries", Table1[[#This Row],[State]]="Unknown", Table1[[#This Row],[State]]="Puerto Rico all counties"))</f>
        <v>1</v>
      </c>
    </row>
    <row r="110" spans="1:16" x14ac:dyDescent="0.25">
      <c r="A110">
        <v>46003</v>
      </c>
      <c r="B110" t="s">
        <v>3846</v>
      </c>
      <c r="C110" t="s">
        <v>3847</v>
      </c>
      <c r="D110">
        <v>65</v>
      </c>
      <c r="E110">
        <v>16</v>
      </c>
      <c r="G110">
        <v>14</v>
      </c>
      <c r="I110">
        <v>16</v>
      </c>
      <c r="J110">
        <v>10</v>
      </c>
      <c r="K110">
        <v>14</v>
      </c>
      <c r="L110">
        <v>41</v>
      </c>
      <c r="O110" t="s">
        <v>3848</v>
      </c>
      <c r="P110" s="1" t="b">
        <f>NOT(OR(Table1[[#This Row],[State]]="Other Foreign Countries", Table1[[#This Row],[State]]="Unknown", Table1[[#This Row],[State]]="Puerto Rico all counties"))</f>
        <v>1</v>
      </c>
    </row>
    <row r="111" spans="1:16" x14ac:dyDescent="0.25">
      <c r="A111">
        <v>48015</v>
      </c>
      <c r="B111" t="s">
        <v>2654</v>
      </c>
      <c r="C111" t="s">
        <v>4085</v>
      </c>
      <c r="D111">
        <v>487</v>
      </c>
      <c r="E111">
        <v>93</v>
      </c>
      <c r="F111">
        <v>62</v>
      </c>
      <c r="G111">
        <v>62</v>
      </c>
      <c r="H111">
        <v>148</v>
      </c>
      <c r="I111">
        <v>122</v>
      </c>
      <c r="J111">
        <v>146</v>
      </c>
      <c r="K111">
        <v>157</v>
      </c>
      <c r="L111">
        <v>184</v>
      </c>
      <c r="M111">
        <v>434</v>
      </c>
      <c r="N111">
        <v>53</v>
      </c>
      <c r="O111" t="s">
        <v>4086</v>
      </c>
      <c r="P111" s="1" t="b">
        <f>NOT(OR(Table1[[#This Row],[State]]="Other Foreign Countries", Table1[[#This Row],[State]]="Unknown", Table1[[#This Row],[State]]="Puerto Rico all counties"))</f>
        <v>1</v>
      </c>
    </row>
    <row r="112" spans="1:16" x14ac:dyDescent="0.25">
      <c r="A112">
        <v>1001</v>
      </c>
      <c r="B112" t="s">
        <v>15</v>
      </c>
      <c r="C112" t="s">
        <v>16</v>
      </c>
      <c r="D112">
        <v>2949</v>
      </c>
      <c r="E112">
        <v>420</v>
      </c>
      <c r="F112">
        <v>250</v>
      </c>
      <c r="G112">
        <v>346</v>
      </c>
      <c r="H112">
        <v>924</v>
      </c>
      <c r="I112" s="1">
        <v>1009</v>
      </c>
      <c r="J112">
        <v>763</v>
      </c>
      <c r="K112" s="1">
        <v>1278</v>
      </c>
      <c r="L112">
        <v>908</v>
      </c>
      <c r="M112" s="1">
        <v>2382</v>
      </c>
      <c r="N112">
        <v>567</v>
      </c>
      <c r="O112" t="s">
        <v>17</v>
      </c>
      <c r="P112" s="1" t="b">
        <f>NOT(OR(Table1[[#This Row],[State]]="Other Foreign Countries", Table1[[#This Row],[State]]="Unknown", Table1[[#This Row],[State]]="Puerto Rico all counties"))</f>
        <v>1</v>
      </c>
    </row>
    <row r="113" spans="1:16" x14ac:dyDescent="0.25">
      <c r="A113">
        <v>37011</v>
      </c>
      <c r="B113" t="s">
        <v>3121</v>
      </c>
      <c r="C113" t="s">
        <v>3131</v>
      </c>
      <c r="D113">
        <v>303</v>
      </c>
      <c r="E113">
        <v>64</v>
      </c>
      <c r="F113">
        <v>30</v>
      </c>
      <c r="G113">
        <v>35</v>
      </c>
      <c r="H113">
        <v>84</v>
      </c>
      <c r="I113">
        <v>90</v>
      </c>
      <c r="J113">
        <v>51</v>
      </c>
      <c r="K113">
        <v>74</v>
      </c>
      <c r="L113">
        <v>178</v>
      </c>
      <c r="M113">
        <v>285</v>
      </c>
      <c r="N113">
        <v>18</v>
      </c>
      <c r="O113" t="s">
        <v>3132</v>
      </c>
      <c r="P113" s="1" t="b">
        <f>NOT(OR(Table1[[#This Row],[State]]="Other Foreign Countries", Table1[[#This Row],[State]]="Unknown", Table1[[#This Row],[State]]="Puerto Rico all counties"))</f>
        <v>1</v>
      </c>
    </row>
    <row r="114" spans="1:16" x14ac:dyDescent="0.25">
      <c r="A114">
        <v>22009</v>
      </c>
      <c r="B114" t="s">
        <v>1892</v>
      </c>
      <c r="C114" t="s">
        <v>1900</v>
      </c>
      <c r="D114">
        <v>839</v>
      </c>
      <c r="E114">
        <v>132</v>
      </c>
      <c r="F114">
        <v>64</v>
      </c>
      <c r="G114">
        <v>96</v>
      </c>
      <c r="H114">
        <v>289</v>
      </c>
      <c r="I114">
        <v>258</v>
      </c>
      <c r="J114">
        <v>159</v>
      </c>
      <c r="K114">
        <v>318</v>
      </c>
      <c r="L114">
        <v>362</v>
      </c>
      <c r="M114">
        <v>763</v>
      </c>
      <c r="N114">
        <v>76</v>
      </c>
      <c r="O114" t="s">
        <v>1901</v>
      </c>
      <c r="P114" s="1" t="b">
        <f>NOT(OR(Table1[[#This Row],[State]]="Other Foreign Countries", Table1[[#This Row],[State]]="Unknown", Table1[[#This Row],[State]]="Puerto Rico all counties"))</f>
        <v>1</v>
      </c>
    </row>
    <row r="115" spans="1:16" x14ac:dyDescent="0.25">
      <c r="A115">
        <v>8009</v>
      </c>
      <c r="B115" t="s">
        <v>489</v>
      </c>
      <c r="C115" t="s">
        <v>498</v>
      </c>
      <c r="D115">
        <v>45</v>
      </c>
      <c r="E115">
        <v>10</v>
      </c>
      <c r="H115">
        <v>17</v>
      </c>
      <c r="L115">
        <v>30</v>
      </c>
      <c r="O115" t="s">
        <v>499</v>
      </c>
      <c r="P115" s="1" t="b">
        <f>NOT(OR(Table1[[#This Row],[State]]="Other Foreign Countries", Table1[[#This Row],[State]]="Unknown", Table1[[#This Row],[State]]="Puerto Rico all counties"))</f>
        <v>1</v>
      </c>
    </row>
    <row r="116" spans="1:16" x14ac:dyDescent="0.25">
      <c r="A116">
        <v>13005</v>
      </c>
      <c r="B116" t="s">
        <v>754</v>
      </c>
      <c r="C116" t="s">
        <v>759</v>
      </c>
      <c r="D116">
        <v>154</v>
      </c>
      <c r="E116">
        <v>29</v>
      </c>
      <c r="F116">
        <v>19</v>
      </c>
      <c r="G116">
        <v>24</v>
      </c>
      <c r="H116">
        <v>38</v>
      </c>
      <c r="I116">
        <v>44</v>
      </c>
      <c r="J116">
        <v>50</v>
      </c>
      <c r="K116">
        <v>39</v>
      </c>
      <c r="L116">
        <v>65</v>
      </c>
      <c r="M116">
        <v>134</v>
      </c>
      <c r="N116">
        <v>20</v>
      </c>
      <c r="O116" t="s">
        <v>760</v>
      </c>
      <c r="P116" s="1" t="b">
        <f>NOT(OR(Table1[[#This Row],[State]]="Other Foreign Countries", Table1[[#This Row],[State]]="Unknown", Table1[[#This Row],[State]]="Puerto Rico all counties"))</f>
        <v>1</v>
      </c>
    </row>
    <row r="117" spans="1:16" x14ac:dyDescent="0.25">
      <c r="A117">
        <v>48017</v>
      </c>
      <c r="B117" t="s">
        <v>2654</v>
      </c>
      <c r="C117" t="s">
        <v>4087</v>
      </c>
      <c r="D117">
        <v>61</v>
      </c>
      <c r="E117">
        <v>16</v>
      </c>
      <c r="H117">
        <v>17</v>
      </c>
      <c r="I117">
        <v>13</v>
      </c>
      <c r="J117">
        <v>14</v>
      </c>
      <c r="K117">
        <v>22</v>
      </c>
      <c r="L117">
        <v>25</v>
      </c>
      <c r="O117" t="s">
        <v>4088</v>
      </c>
      <c r="P117" s="1" t="b">
        <f>NOT(OR(Table1[[#This Row],[State]]="Other Foreign Countries", Table1[[#This Row],[State]]="Unknown", Table1[[#This Row],[State]]="Puerto Rico all counties"))</f>
        <v>1</v>
      </c>
    </row>
    <row r="118" spans="1:16" x14ac:dyDescent="0.25">
      <c r="A118">
        <v>12003</v>
      </c>
      <c r="B118" t="s">
        <v>637</v>
      </c>
      <c r="C118" t="s">
        <v>640</v>
      </c>
      <c r="D118">
        <v>807</v>
      </c>
      <c r="E118">
        <v>148</v>
      </c>
      <c r="F118">
        <v>80</v>
      </c>
      <c r="G118">
        <v>90</v>
      </c>
      <c r="H118">
        <v>241</v>
      </c>
      <c r="I118">
        <v>248</v>
      </c>
      <c r="J118">
        <v>210</v>
      </c>
      <c r="K118">
        <v>293</v>
      </c>
      <c r="L118">
        <v>304</v>
      </c>
      <c r="M118">
        <v>728</v>
      </c>
      <c r="N118">
        <v>79</v>
      </c>
      <c r="O118" t="s">
        <v>641</v>
      </c>
      <c r="P118" s="1" t="b">
        <f>NOT(OR(Table1[[#This Row],[State]]="Other Foreign Countries", Table1[[#This Row],[State]]="Unknown", Table1[[#This Row],[State]]="Puerto Rico all counties"))</f>
        <v>1</v>
      </c>
    </row>
    <row r="119" spans="1:16" x14ac:dyDescent="0.25">
      <c r="A119">
        <v>13007</v>
      </c>
      <c r="B119" t="s">
        <v>754</v>
      </c>
      <c r="C119" t="s">
        <v>640</v>
      </c>
      <c r="D119">
        <v>64</v>
      </c>
      <c r="H119">
        <v>26</v>
      </c>
      <c r="I119">
        <v>24</v>
      </c>
      <c r="J119">
        <v>10</v>
      </c>
      <c r="K119">
        <v>17</v>
      </c>
      <c r="L119">
        <v>37</v>
      </c>
      <c r="M119">
        <v>54</v>
      </c>
      <c r="N119">
        <v>10</v>
      </c>
      <c r="O119" t="s">
        <v>761</v>
      </c>
      <c r="P119" s="1" t="b">
        <f>NOT(OR(Table1[[#This Row],[State]]="Other Foreign Countries", Table1[[#This Row],[State]]="Unknown", Table1[[#This Row],[State]]="Puerto Rico all counties"))</f>
        <v>1</v>
      </c>
    </row>
    <row r="120" spans="1:16" x14ac:dyDescent="0.25">
      <c r="A120">
        <v>41001</v>
      </c>
      <c r="B120" t="s">
        <v>2607</v>
      </c>
      <c r="C120" t="s">
        <v>640</v>
      </c>
      <c r="D120">
        <v>686</v>
      </c>
      <c r="E120">
        <v>180</v>
      </c>
      <c r="F120">
        <v>97</v>
      </c>
      <c r="G120">
        <v>98</v>
      </c>
      <c r="H120">
        <v>192</v>
      </c>
      <c r="I120">
        <v>119</v>
      </c>
      <c r="J120">
        <v>111</v>
      </c>
      <c r="K120">
        <v>173</v>
      </c>
      <c r="L120">
        <v>402</v>
      </c>
      <c r="M120">
        <v>644</v>
      </c>
      <c r="N120">
        <v>42</v>
      </c>
      <c r="O120" t="s">
        <v>3613</v>
      </c>
      <c r="P120" s="1" t="b">
        <f>NOT(OR(Table1[[#This Row],[State]]="Other Foreign Countries", Table1[[#This Row],[State]]="Unknown", Table1[[#This Row],[State]]="Puerto Rico all counties"))</f>
        <v>1</v>
      </c>
    </row>
    <row r="121" spans="1:16" x14ac:dyDescent="0.25">
      <c r="A121">
        <v>1003</v>
      </c>
      <c r="B121" t="s">
        <v>15</v>
      </c>
      <c r="C121" t="s">
        <v>18</v>
      </c>
      <c r="D121">
        <v>7650</v>
      </c>
      <c r="E121" s="1">
        <v>1590</v>
      </c>
      <c r="F121">
        <v>780</v>
      </c>
      <c r="G121">
        <v>909</v>
      </c>
      <c r="H121" s="1">
        <v>2249</v>
      </c>
      <c r="I121" s="1">
        <v>2122</v>
      </c>
      <c r="J121" s="1">
        <v>1698</v>
      </c>
      <c r="K121" s="1">
        <v>2591</v>
      </c>
      <c r="L121" s="1">
        <v>3360</v>
      </c>
      <c r="M121" s="1">
        <v>6905</v>
      </c>
      <c r="N121">
        <v>745</v>
      </c>
      <c r="O121" t="s">
        <v>19</v>
      </c>
      <c r="P121" s="1" t="b">
        <f>NOT(OR(Table1[[#This Row],[State]]="Other Foreign Countries", Table1[[#This Row],[State]]="Unknown", Table1[[#This Row],[State]]="Puerto Rico all counties"))</f>
        <v>1</v>
      </c>
    </row>
    <row r="122" spans="1:16" x14ac:dyDescent="0.25">
      <c r="A122">
        <v>13009</v>
      </c>
      <c r="B122" t="s">
        <v>754</v>
      </c>
      <c r="C122" t="s">
        <v>18</v>
      </c>
      <c r="D122">
        <v>933</v>
      </c>
      <c r="E122">
        <v>154</v>
      </c>
      <c r="F122">
        <v>82</v>
      </c>
      <c r="G122">
        <v>111</v>
      </c>
      <c r="H122">
        <v>287</v>
      </c>
      <c r="I122">
        <v>299</v>
      </c>
      <c r="J122">
        <v>207</v>
      </c>
      <c r="K122">
        <v>300</v>
      </c>
      <c r="L122">
        <v>426</v>
      </c>
      <c r="M122">
        <v>806</v>
      </c>
      <c r="N122">
        <v>127</v>
      </c>
      <c r="O122" t="s">
        <v>762</v>
      </c>
      <c r="P122" s="1" t="b">
        <f>NOT(OR(Table1[[#This Row],[State]]="Other Foreign Countries", Table1[[#This Row],[State]]="Unknown", Table1[[#This Row],[State]]="Puerto Rico all counties"))</f>
        <v>1</v>
      </c>
    </row>
    <row r="123" spans="1:16" x14ac:dyDescent="0.25">
      <c r="A123">
        <v>21007</v>
      </c>
      <c r="B123" t="s">
        <v>1716</v>
      </c>
      <c r="C123" t="s">
        <v>1720</v>
      </c>
      <c r="D123">
        <v>156</v>
      </c>
      <c r="E123">
        <v>40</v>
      </c>
      <c r="F123">
        <v>16</v>
      </c>
      <c r="G123">
        <v>14</v>
      </c>
      <c r="H123">
        <v>49</v>
      </c>
      <c r="I123">
        <v>37</v>
      </c>
      <c r="J123">
        <v>39</v>
      </c>
      <c r="K123">
        <v>39</v>
      </c>
      <c r="L123">
        <v>78</v>
      </c>
      <c r="M123">
        <v>146</v>
      </c>
      <c r="N123">
        <v>10</v>
      </c>
      <c r="O123" t="s">
        <v>1721</v>
      </c>
      <c r="P123" s="1" t="b">
        <f>NOT(OR(Table1[[#This Row],[State]]="Other Foreign Countries", Table1[[#This Row],[State]]="Unknown", Table1[[#This Row],[State]]="Puerto Rico all counties"))</f>
        <v>1</v>
      </c>
    </row>
    <row r="124" spans="1:16" x14ac:dyDescent="0.25">
      <c r="A124">
        <v>24005</v>
      </c>
      <c r="B124" t="s">
        <v>2031</v>
      </c>
      <c r="C124" t="s">
        <v>2036</v>
      </c>
      <c r="D124">
        <v>10064</v>
      </c>
      <c r="E124" s="1">
        <v>1919</v>
      </c>
      <c r="F124" s="1">
        <v>1106</v>
      </c>
      <c r="G124" s="1">
        <v>1268</v>
      </c>
      <c r="H124" s="1">
        <v>2899</v>
      </c>
      <c r="I124" s="1">
        <v>2872</v>
      </c>
      <c r="J124" s="1">
        <v>2837</v>
      </c>
      <c r="K124" s="1">
        <v>3649</v>
      </c>
      <c r="L124" s="1">
        <v>3578</v>
      </c>
      <c r="M124" s="1">
        <v>8391</v>
      </c>
      <c r="N124" s="1">
        <v>1671</v>
      </c>
      <c r="O124" t="s">
        <v>2037</v>
      </c>
      <c r="P124" s="1" t="b">
        <f>NOT(OR(Table1[[#This Row],[State]]="Other Foreign Countries", Table1[[#This Row],[State]]="Unknown", Table1[[#This Row],[State]]="Puerto Rico all counties"))</f>
        <v>1</v>
      </c>
    </row>
    <row r="125" spans="1:16" x14ac:dyDescent="0.25">
      <c r="A125">
        <v>24510</v>
      </c>
      <c r="B125" t="s">
        <v>2031</v>
      </c>
      <c r="C125" t="s">
        <v>2071</v>
      </c>
      <c r="D125">
        <v>6691</v>
      </c>
      <c r="E125" s="1">
        <v>1318</v>
      </c>
      <c r="F125">
        <v>742</v>
      </c>
      <c r="G125">
        <v>839</v>
      </c>
      <c r="H125" s="1">
        <v>1985</v>
      </c>
      <c r="I125" s="1">
        <v>1807</v>
      </c>
      <c r="J125" s="1">
        <v>2005</v>
      </c>
      <c r="K125" s="1">
        <v>2238</v>
      </c>
      <c r="L125" s="1">
        <v>2448</v>
      </c>
      <c r="M125" s="1">
        <v>5460</v>
      </c>
      <c r="N125" s="1">
        <v>1229</v>
      </c>
      <c r="O125" t="s">
        <v>2072</v>
      </c>
      <c r="P125" s="1" t="b">
        <f>NOT(OR(Table1[[#This Row],[State]]="Other Foreign Countries", Table1[[#This Row],[State]]="Unknown", Table1[[#This Row],[State]]="Puerto Rico all counties"))</f>
        <v>1</v>
      </c>
    </row>
    <row r="126" spans="1:16" x14ac:dyDescent="0.25">
      <c r="A126">
        <v>45009</v>
      </c>
      <c r="B126" t="s">
        <v>3772</v>
      </c>
      <c r="C126" t="s">
        <v>3780</v>
      </c>
      <c r="D126">
        <v>313</v>
      </c>
      <c r="E126">
        <v>51</v>
      </c>
      <c r="F126">
        <v>32</v>
      </c>
      <c r="G126">
        <v>42</v>
      </c>
      <c r="H126">
        <v>104</v>
      </c>
      <c r="I126">
        <v>84</v>
      </c>
      <c r="J126">
        <v>53</v>
      </c>
      <c r="K126">
        <v>113</v>
      </c>
      <c r="L126">
        <v>147</v>
      </c>
      <c r="M126">
        <v>272</v>
      </c>
      <c r="N126">
        <v>40</v>
      </c>
      <c r="O126" t="s">
        <v>3781</v>
      </c>
      <c r="P126" s="1" t="b">
        <f>NOT(OR(Table1[[#This Row],[State]]="Other Foreign Countries", Table1[[#This Row],[State]]="Unknown", Table1[[#This Row],[State]]="Puerto Rico all counties"))</f>
        <v>1</v>
      </c>
    </row>
    <row r="127" spans="1:16" x14ac:dyDescent="0.25">
      <c r="A127">
        <v>48019</v>
      </c>
      <c r="B127" t="s">
        <v>2654</v>
      </c>
      <c r="C127" t="s">
        <v>4089</v>
      </c>
      <c r="D127">
        <v>1411</v>
      </c>
      <c r="E127">
        <v>238</v>
      </c>
      <c r="F127">
        <v>124</v>
      </c>
      <c r="G127">
        <v>168</v>
      </c>
      <c r="H127">
        <v>399</v>
      </c>
      <c r="I127">
        <v>482</v>
      </c>
      <c r="J127">
        <v>267</v>
      </c>
      <c r="K127">
        <v>544</v>
      </c>
      <c r="L127">
        <v>600</v>
      </c>
      <c r="M127" s="1">
        <v>1232</v>
      </c>
      <c r="N127">
        <v>179</v>
      </c>
      <c r="O127" t="s">
        <v>4090</v>
      </c>
      <c r="P127" s="1" t="b">
        <f>NOT(OR(Table1[[#This Row],[State]]="Other Foreign Countries", Table1[[#This Row],[State]]="Unknown", Table1[[#This Row],[State]]="Puerto Rico all counties"))</f>
        <v>1</v>
      </c>
    </row>
    <row r="128" spans="1:16" x14ac:dyDescent="0.25">
      <c r="A128">
        <v>13011</v>
      </c>
      <c r="B128" t="s">
        <v>754</v>
      </c>
      <c r="C128" t="s">
        <v>763</v>
      </c>
      <c r="D128">
        <v>367</v>
      </c>
      <c r="E128">
        <v>71</v>
      </c>
      <c r="F128">
        <v>47</v>
      </c>
      <c r="G128">
        <v>33</v>
      </c>
      <c r="H128">
        <v>116</v>
      </c>
      <c r="I128">
        <v>100</v>
      </c>
      <c r="J128">
        <v>112</v>
      </c>
      <c r="K128">
        <v>98</v>
      </c>
      <c r="L128">
        <v>157</v>
      </c>
      <c r="M128">
        <v>336</v>
      </c>
      <c r="N128">
        <v>31</v>
      </c>
      <c r="O128" t="s">
        <v>764</v>
      </c>
      <c r="P128" s="1" t="b">
        <f>NOT(OR(Table1[[#This Row],[State]]="Other Foreign Countries", Table1[[#This Row],[State]]="Unknown", Table1[[#This Row],[State]]="Puerto Rico all counties"))</f>
        <v>1</v>
      </c>
    </row>
    <row r="129" spans="1:16" x14ac:dyDescent="0.25">
      <c r="A129">
        <v>31007</v>
      </c>
      <c r="B129" t="s">
        <v>2758</v>
      </c>
      <c r="C129" t="s">
        <v>2764</v>
      </c>
      <c r="D129">
        <v>10</v>
      </c>
      <c r="O129" t="s">
        <v>2765</v>
      </c>
      <c r="P129" s="1" t="b">
        <f>NOT(OR(Table1[[#This Row],[State]]="Other Foreign Countries", Table1[[#This Row],[State]]="Unknown", Table1[[#This Row],[State]]="Puerto Rico all counties"))</f>
        <v>1</v>
      </c>
    </row>
    <row r="130" spans="1:16" x14ac:dyDescent="0.25">
      <c r="A130">
        <v>16005</v>
      </c>
      <c r="B130" t="s">
        <v>1032</v>
      </c>
      <c r="C130" t="s">
        <v>1036</v>
      </c>
      <c r="D130">
        <v>1890</v>
      </c>
      <c r="E130">
        <v>431</v>
      </c>
      <c r="F130">
        <v>230</v>
      </c>
      <c r="G130">
        <v>227</v>
      </c>
      <c r="H130">
        <v>572</v>
      </c>
      <c r="I130">
        <v>430</v>
      </c>
      <c r="J130">
        <v>567</v>
      </c>
      <c r="K130">
        <v>573</v>
      </c>
      <c r="L130">
        <v>750</v>
      </c>
      <c r="M130" s="1">
        <v>1719</v>
      </c>
      <c r="N130">
        <v>171</v>
      </c>
      <c r="O130" t="s">
        <v>1037</v>
      </c>
      <c r="P130" s="1" t="b">
        <f>NOT(OR(Table1[[#This Row],[State]]="Other Foreign Countries", Table1[[#This Row],[State]]="Unknown", Table1[[#This Row],[State]]="Puerto Rico all counties"))</f>
        <v>1</v>
      </c>
    </row>
    <row r="131" spans="1:16" x14ac:dyDescent="0.25">
      <c r="A131">
        <v>26013</v>
      </c>
      <c r="B131" t="s">
        <v>2099</v>
      </c>
      <c r="C131" t="s">
        <v>2112</v>
      </c>
      <c r="D131">
        <v>355</v>
      </c>
      <c r="E131">
        <v>99</v>
      </c>
      <c r="F131">
        <v>39</v>
      </c>
      <c r="G131">
        <v>41</v>
      </c>
      <c r="H131">
        <v>95</v>
      </c>
      <c r="I131">
        <v>81</v>
      </c>
      <c r="J131">
        <v>59</v>
      </c>
      <c r="K131">
        <v>121</v>
      </c>
      <c r="L131">
        <v>175</v>
      </c>
      <c r="M131">
        <v>332</v>
      </c>
      <c r="N131">
        <v>23</v>
      </c>
      <c r="O131" t="s">
        <v>2113</v>
      </c>
      <c r="P131" s="1" t="b">
        <f>NOT(OR(Table1[[#This Row],[State]]="Other Foreign Countries", Table1[[#This Row],[State]]="Unknown", Table1[[#This Row],[State]]="Puerto Rico all counties"))</f>
        <v>1</v>
      </c>
    </row>
    <row r="132" spans="1:16" x14ac:dyDescent="0.25">
      <c r="A132">
        <v>20007</v>
      </c>
      <c r="B132" t="s">
        <v>1543</v>
      </c>
      <c r="C132" t="s">
        <v>1549</v>
      </c>
      <c r="D132">
        <v>61</v>
      </c>
      <c r="F132">
        <v>16</v>
      </c>
      <c r="H132">
        <v>12</v>
      </c>
      <c r="I132">
        <v>13</v>
      </c>
      <c r="J132">
        <v>11</v>
      </c>
      <c r="K132">
        <v>12</v>
      </c>
      <c r="L132">
        <v>38</v>
      </c>
      <c r="O132" t="s">
        <v>1550</v>
      </c>
      <c r="P132" s="1" t="b">
        <f>NOT(OR(Table1[[#This Row],[State]]="Other Foreign Countries", Table1[[#This Row],[State]]="Unknown", Table1[[#This Row],[State]]="Puerto Rico all counties"))</f>
        <v>1</v>
      </c>
    </row>
    <row r="133" spans="1:16" x14ac:dyDescent="0.25">
      <c r="A133">
        <v>1005</v>
      </c>
      <c r="B133" t="s">
        <v>15</v>
      </c>
      <c r="C133" t="s">
        <v>20</v>
      </c>
      <c r="D133">
        <v>646</v>
      </c>
      <c r="E133">
        <v>102</v>
      </c>
      <c r="F133">
        <v>48</v>
      </c>
      <c r="G133">
        <v>75</v>
      </c>
      <c r="H133">
        <v>207</v>
      </c>
      <c r="I133">
        <v>214</v>
      </c>
      <c r="J133">
        <v>108</v>
      </c>
      <c r="K133">
        <v>240</v>
      </c>
      <c r="L133">
        <v>298</v>
      </c>
      <c r="M133">
        <v>564</v>
      </c>
      <c r="N133">
        <v>82</v>
      </c>
      <c r="O133" t="s">
        <v>21</v>
      </c>
      <c r="P133" s="1" t="b">
        <f>NOT(OR(Table1[[#This Row],[State]]="Other Foreign Countries", Table1[[#This Row],[State]]="Unknown", Table1[[#This Row],[State]]="Puerto Rico all counties"))</f>
        <v>1</v>
      </c>
    </row>
    <row r="134" spans="1:16" x14ac:dyDescent="0.25">
      <c r="A134">
        <v>54001</v>
      </c>
      <c r="B134" t="s">
        <v>4833</v>
      </c>
      <c r="C134" t="s">
        <v>20</v>
      </c>
      <c r="D134">
        <v>380</v>
      </c>
      <c r="E134">
        <v>80</v>
      </c>
      <c r="F134">
        <v>41</v>
      </c>
      <c r="G134">
        <v>45</v>
      </c>
      <c r="H134">
        <v>121</v>
      </c>
      <c r="I134">
        <v>93</v>
      </c>
      <c r="J134">
        <v>62</v>
      </c>
      <c r="K134">
        <v>142</v>
      </c>
      <c r="L134">
        <v>176</v>
      </c>
      <c r="M134">
        <v>350</v>
      </c>
      <c r="N134">
        <v>30</v>
      </c>
      <c r="O134" t="s">
        <v>4834</v>
      </c>
      <c r="P134" s="1" t="b">
        <f>NOT(OR(Table1[[#This Row],[State]]="Other Foreign Countries", Table1[[#This Row],[State]]="Unknown", Table1[[#This Row],[State]]="Puerto Rico all counties"))</f>
        <v>1</v>
      </c>
    </row>
    <row r="135" spans="1:16" x14ac:dyDescent="0.25">
      <c r="A135">
        <v>38003</v>
      </c>
      <c r="B135" t="s">
        <v>3286</v>
      </c>
      <c r="C135" t="s">
        <v>3288</v>
      </c>
      <c r="D135">
        <v>219</v>
      </c>
      <c r="E135">
        <v>53</v>
      </c>
      <c r="F135">
        <v>23</v>
      </c>
      <c r="G135">
        <v>30</v>
      </c>
      <c r="H135">
        <v>63</v>
      </c>
      <c r="I135">
        <v>50</v>
      </c>
      <c r="J135">
        <v>49</v>
      </c>
      <c r="K135">
        <v>55</v>
      </c>
      <c r="L135">
        <v>115</v>
      </c>
      <c r="M135">
        <v>200</v>
      </c>
      <c r="N135">
        <v>19</v>
      </c>
      <c r="O135" t="s">
        <v>3289</v>
      </c>
      <c r="P135" s="1" t="b">
        <f>NOT(OR(Table1[[#This Row],[State]]="Other Foreign Countries", Table1[[#This Row],[State]]="Unknown", Table1[[#This Row],[State]]="Puerto Rico all counties"))</f>
        <v>1</v>
      </c>
    </row>
    <row r="136" spans="1:16" x14ac:dyDescent="0.25">
      <c r="A136">
        <v>25001</v>
      </c>
      <c r="B136" t="s">
        <v>2073</v>
      </c>
      <c r="C136" t="s">
        <v>2074</v>
      </c>
      <c r="D136">
        <v>4155</v>
      </c>
      <c r="E136" s="1">
        <v>1296</v>
      </c>
      <c r="F136">
        <v>512</v>
      </c>
      <c r="G136">
        <v>536</v>
      </c>
      <c r="H136">
        <v>967</v>
      </c>
      <c r="I136">
        <v>844</v>
      </c>
      <c r="J136">
        <v>581</v>
      </c>
      <c r="K136">
        <v>942</v>
      </c>
      <c r="L136" s="1">
        <v>2632</v>
      </c>
      <c r="M136" s="1">
        <v>3870</v>
      </c>
      <c r="N136">
        <v>284</v>
      </c>
      <c r="O136" t="s">
        <v>2075</v>
      </c>
      <c r="P136" s="1" t="b">
        <f>NOT(OR(Table1[[#This Row],[State]]="Other Foreign Countries", Table1[[#This Row],[State]]="Unknown", Table1[[#This Row],[State]]="Puerto Rico all counties"))</f>
        <v>1</v>
      </c>
    </row>
    <row r="137" spans="1:16" x14ac:dyDescent="0.25">
      <c r="A137">
        <v>45011</v>
      </c>
      <c r="B137" t="s">
        <v>3772</v>
      </c>
      <c r="C137" t="s">
        <v>3782</v>
      </c>
      <c r="D137">
        <v>461</v>
      </c>
      <c r="E137">
        <v>82</v>
      </c>
      <c r="F137">
        <v>49</v>
      </c>
      <c r="G137">
        <v>71</v>
      </c>
      <c r="H137">
        <v>153</v>
      </c>
      <c r="I137">
        <v>106</v>
      </c>
      <c r="J137">
        <v>78</v>
      </c>
      <c r="K137">
        <v>181</v>
      </c>
      <c r="L137">
        <v>202</v>
      </c>
      <c r="M137">
        <v>414</v>
      </c>
      <c r="N137">
        <v>47</v>
      </c>
      <c r="O137" t="s">
        <v>3783</v>
      </c>
      <c r="P137" s="1" t="b">
        <f>NOT(OR(Table1[[#This Row],[State]]="Other Foreign Countries", Table1[[#This Row],[State]]="Unknown", Table1[[#This Row],[State]]="Puerto Rico all counties"))</f>
        <v>1</v>
      </c>
    </row>
    <row r="138" spans="1:16" x14ac:dyDescent="0.25">
      <c r="A138">
        <v>21009</v>
      </c>
      <c r="B138" t="s">
        <v>1716</v>
      </c>
      <c r="C138" t="s">
        <v>1722</v>
      </c>
      <c r="D138">
        <v>757</v>
      </c>
      <c r="E138">
        <v>127</v>
      </c>
      <c r="F138">
        <v>76</v>
      </c>
      <c r="G138">
        <v>95</v>
      </c>
      <c r="H138">
        <v>241</v>
      </c>
      <c r="I138">
        <v>218</v>
      </c>
      <c r="J138">
        <v>196</v>
      </c>
      <c r="K138">
        <v>252</v>
      </c>
      <c r="L138">
        <v>309</v>
      </c>
      <c r="M138">
        <v>692</v>
      </c>
      <c r="N138">
        <v>65</v>
      </c>
      <c r="O138" t="s">
        <v>1723</v>
      </c>
      <c r="P138" s="1" t="b">
        <f>NOT(OR(Table1[[#This Row],[State]]="Other Foreign Countries", Table1[[#This Row],[State]]="Unknown", Table1[[#This Row],[State]]="Puerto Rico all counties"))</f>
        <v>1</v>
      </c>
    </row>
    <row r="139" spans="1:16" x14ac:dyDescent="0.25">
      <c r="A139">
        <v>55005</v>
      </c>
      <c r="B139" t="s">
        <v>4906</v>
      </c>
      <c r="C139" t="s">
        <v>4909</v>
      </c>
      <c r="D139">
        <v>1093</v>
      </c>
      <c r="E139">
        <v>376</v>
      </c>
      <c r="F139">
        <v>126</v>
      </c>
      <c r="G139">
        <v>149</v>
      </c>
      <c r="H139">
        <v>259</v>
      </c>
      <c r="I139">
        <v>183</v>
      </c>
      <c r="J139">
        <v>210</v>
      </c>
      <c r="K139">
        <v>276</v>
      </c>
      <c r="L139">
        <v>607</v>
      </c>
      <c r="M139">
        <v>999</v>
      </c>
      <c r="N139">
        <v>92</v>
      </c>
      <c r="O139" t="s">
        <v>4910</v>
      </c>
      <c r="P139" s="1" t="b">
        <f>NOT(OR(Table1[[#This Row],[State]]="Other Foreign Countries", Table1[[#This Row],[State]]="Unknown", Table1[[#This Row],[State]]="Puerto Rico all counties"))</f>
        <v>1</v>
      </c>
    </row>
    <row r="140" spans="1:16" x14ac:dyDescent="0.25">
      <c r="A140">
        <v>13013</v>
      </c>
      <c r="B140" t="s">
        <v>754</v>
      </c>
      <c r="C140" t="s">
        <v>765</v>
      </c>
      <c r="D140">
        <v>1591</v>
      </c>
      <c r="E140">
        <v>291</v>
      </c>
      <c r="F140">
        <v>177</v>
      </c>
      <c r="G140">
        <v>182</v>
      </c>
      <c r="H140">
        <v>510</v>
      </c>
      <c r="I140">
        <v>431</v>
      </c>
      <c r="J140">
        <v>574</v>
      </c>
      <c r="K140">
        <v>521</v>
      </c>
      <c r="L140">
        <v>496</v>
      </c>
      <c r="M140" s="1">
        <v>1346</v>
      </c>
      <c r="N140">
        <v>245</v>
      </c>
      <c r="O140" t="s">
        <v>766</v>
      </c>
      <c r="P140" s="1" t="b">
        <f>NOT(OR(Table1[[#This Row],[State]]="Other Foreign Countries", Table1[[#This Row],[State]]="Unknown", Table1[[#This Row],[State]]="Puerto Rico all counties"))</f>
        <v>1</v>
      </c>
    </row>
    <row r="141" spans="1:16" x14ac:dyDescent="0.25">
      <c r="A141">
        <v>26015</v>
      </c>
      <c r="B141" t="s">
        <v>2099</v>
      </c>
      <c r="C141" t="s">
        <v>2114</v>
      </c>
      <c r="D141">
        <v>1125</v>
      </c>
      <c r="E141">
        <v>217</v>
      </c>
      <c r="F141">
        <v>126</v>
      </c>
      <c r="G141">
        <v>161</v>
      </c>
      <c r="H141">
        <v>319</v>
      </c>
      <c r="I141">
        <v>302</v>
      </c>
      <c r="J141">
        <v>338</v>
      </c>
      <c r="K141">
        <v>325</v>
      </c>
      <c r="L141">
        <v>462</v>
      </c>
      <c r="M141" s="1">
        <v>1022</v>
      </c>
      <c r="N141">
        <v>103</v>
      </c>
      <c r="O141" t="s">
        <v>2115</v>
      </c>
      <c r="P141" s="1" t="b">
        <f>NOT(OR(Table1[[#This Row],[State]]="Other Foreign Countries", Table1[[#This Row],[State]]="Unknown", Table1[[#This Row],[State]]="Puerto Rico all counties"))</f>
        <v>1</v>
      </c>
    </row>
    <row r="142" spans="1:16" x14ac:dyDescent="0.25">
      <c r="A142">
        <v>29009</v>
      </c>
      <c r="B142" t="s">
        <v>2510</v>
      </c>
      <c r="C142" t="s">
        <v>2114</v>
      </c>
      <c r="D142">
        <v>727</v>
      </c>
      <c r="E142">
        <v>170</v>
      </c>
      <c r="F142">
        <v>85</v>
      </c>
      <c r="G142">
        <v>116</v>
      </c>
      <c r="H142">
        <v>194</v>
      </c>
      <c r="I142">
        <v>162</v>
      </c>
      <c r="J142">
        <v>170</v>
      </c>
      <c r="K142">
        <v>217</v>
      </c>
      <c r="L142">
        <v>340</v>
      </c>
      <c r="M142">
        <v>677</v>
      </c>
      <c r="N142">
        <v>50</v>
      </c>
      <c r="O142" t="s">
        <v>2517</v>
      </c>
      <c r="P142" s="1" t="b">
        <f>NOT(OR(Table1[[#This Row],[State]]="Other Foreign Countries", Table1[[#This Row],[State]]="Unknown", Table1[[#This Row],[State]]="Puerto Rico all counties"))</f>
        <v>1</v>
      </c>
    </row>
    <row r="143" spans="1:16" x14ac:dyDescent="0.25">
      <c r="A143">
        <v>18005</v>
      </c>
      <c r="B143" t="s">
        <v>1266</v>
      </c>
      <c r="C143" t="s">
        <v>1270</v>
      </c>
      <c r="D143">
        <v>1465</v>
      </c>
      <c r="E143">
        <v>446</v>
      </c>
      <c r="F143">
        <v>191</v>
      </c>
      <c r="G143">
        <v>191</v>
      </c>
      <c r="H143">
        <v>334</v>
      </c>
      <c r="I143">
        <v>303</v>
      </c>
      <c r="J143">
        <v>372</v>
      </c>
      <c r="K143">
        <v>436</v>
      </c>
      <c r="L143">
        <v>657</v>
      </c>
      <c r="M143" s="1">
        <v>1346</v>
      </c>
      <c r="N143">
        <v>119</v>
      </c>
      <c r="O143" t="s">
        <v>1271</v>
      </c>
      <c r="P143" s="1" t="b">
        <f>NOT(OR(Table1[[#This Row],[State]]="Other Foreign Countries", Table1[[#This Row],[State]]="Unknown", Table1[[#This Row],[State]]="Puerto Rico all counties"))</f>
        <v>1</v>
      </c>
    </row>
    <row r="144" spans="1:16" x14ac:dyDescent="0.25">
      <c r="A144">
        <v>20009</v>
      </c>
      <c r="B144" t="s">
        <v>1543</v>
      </c>
      <c r="C144" t="s">
        <v>1551</v>
      </c>
      <c r="D144">
        <v>324</v>
      </c>
      <c r="E144">
        <v>75</v>
      </c>
      <c r="F144">
        <v>34</v>
      </c>
      <c r="G144">
        <v>42</v>
      </c>
      <c r="H144">
        <v>97</v>
      </c>
      <c r="I144">
        <v>76</v>
      </c>
      <c r="J144">
        <v>66</v>
      </c>
      <c r="K144">
        <v>91</v>
      </c>
      <c r="L144">
        <v>167</v>
      </c>
      <c r="M144">
        <v>301</v>
      </c>
      <c r="N144">
        <v>23</v>
      </c>
      <c r="O144" t="s">
        <v>1552</v>
      </c>
      <c r="P144" s="1" t="b">
        <f>NOT(OR(Table1[[#This Row],[State]]="Other Foreign Countries", Table1[[#This Row],[State]]="Unknown", Table1[[#This Row],[State]]="Puerto Rico all counties"))</f>
        <v>1</v>
      </c>
    </row>
    <row r="145" spans="1:16" x14ac:dyDescent="0.25">
      <c r="A145">
        <v>29011</v>
      </c>
      <c r="B145" t="s">
        <v>2510</v>
      </c>
      <c r="C145" t="s">
        <v>1551</v>
      </c>
      <c r="D145">
        <v>170</v>
      </c>
      <c r="E145">
        <v>43</v>
      </c>
      <c r="F145">
        <v>23</v>
      </c>
      <c r="G145">
        <v>25</v>
      </c>
      <c r="H145">
        <v>48</v>
      </c>
      <c r="I145">
        <v>31</v>
      </c>
      <c r="J145">
        <v>43</v>
      </c>
      <c r="K145">
        <v>43</v>
      </c>
      <c r="L145">
        <v>84</v>
      </c>
      <c r="M145">
        <v>159</v>
      </c>
      <c r="N145">
        <v>11</v>
      </c>
      <c r="O145" t="s">
        <v>2518</v>
      </c>
      <c r="P145" s="1" t="b">
        <f>NOT(OR(Table1[[#This Row],[State]]="Other Foreign Countries", Table1[[#This Row],[State]]="Unknown", Table1[[#This Row],[State]]="Puerto Rico all counties"))</f>
        <v>1</v>
      </c>
    </row>
    <row r="146" spans="1:16" x14ac:dyDescent="0.25">
      <c r="A146">
        <v>13015</v>
      </c>
      <c r="B146" t="s">
        <v>754</v>
      </c>
      <c r="C146" t="s">
        <v>767</v>
      </c>
      <c r="D146">
        <v>2277</v>
      </c>
      <c r="E146">
        <v>446</v>
      </c>
      <c r="F146">
        <v>223</v>
      </c>
      <c r="G146">
        <v>264</v>
      </c>
      <c r="H146">
        <v>685</v>
      </c>
      <c r="I146">
        <v>659</v>
      </c>
      <c r="J146">
        <v>750</v>
      </c>
      <c r="K146">
        <v>664</v>
      </c>
      <c r="L146">
        <v>863</v>
      </c>
      <c r="M146" s="1">
        <v>2012</v>
      </c>
      <c r="N146">
        <v>265</v>
      </c>
      <c r="O146" t="s">
        <v>768</v>
      </c>
      <c r="P146" s="1" t="b">
        <f>NOT(OR(Table1[[#This Row],[State]]="Other Foreign Countries", Table1[[#This Row],[State]]="Unknown", Table1[[#This Row],[State]]="Puerto Rico all counties"))</f>
        <v>1</v>
      </c>
    </row>
    <row r="147" spans="1:16" x14ac:dyDescent="0.25">
      <c r="A147">
        <v>48021</v>
      </c>
      <c r="B147" t="s">
        <v>2654</v>
      </c>
      <c r="C147" t="s">
        <v>4091</v>
      </c>
      <c r="D147">
        <v>2556</v>
      </c>
      <c r="E147">
        <v>464</v>
      </c>
      <c r="F147">
        <v>248</v>
      </c>
      <c r="G147">
        <v>295</v>
      </c>
      <c r="H147">
        <v>784</v>
      </c>
      <c r="I147">
        <v>765</v>
      </c>
      <c r="J147">
        <v>812</v>
      </c>
      <c r="K147">
        <v>828</v>
      </c>
      <c r="L147">
        <v>916</v>
      </c>
      <c r="M147" s="1">
        <v>2186</v>
      </c>
      <c r="N147">
        <v>369</v>
      </c>
      <c r="O147" t="s">
        <v>4092</v>
      </c>
      <c r="P147" s="1" t="b">
        <f>NOT(OR(Table1[[#This Row],[State]]="Other Foreign Countries", Table1[[#This Row],[State]]="Unknown", Table1[[#This Row],[State]]="Puerto Rico all counties"))</f>
        <v>1</v>
      </c>
    </row>
    <row r="148" spans="1:16" x14ac:dyDescent="0.25">
      <c r="A148">
        <v>29013</v>
      </c>
      <c r="B148" t="s">
        <v>2510</v>
      </c>
      <c r="C148" t="s">
        <v>2519</v>
      </c>
      <c r="D148">
        <v>267</v>
      </c>
      <c r="E148">
        <v>57</v>
      </c>
      <c r="F148">
        <v>41</v>
      </c>
      <c r="G148">
        <v>24</v>
      </c>
      <c r="H148">
        <v>83</v>
      </c>
      <c r="I148">
        <v>62</v>
      </c>
      <c r="J148">
        <v>76</v>
      </c>
      <c r="K148">
        <v>75</v>
      </c>
      <c r="L148">
        <v>116</v>
      </c>
      <c r="M148">
        <v>249</v>
      </c>
      <c r="N148">
        <v>18</v>
      </c>
      <c r="O148" t="s">
        <v>2520</v>
      </c>
      <c r="P148" s="1" t="b">
        <f>NOT(OR(Table1[[#This Row],[State]]="Other Foreign Countries", Table1[[#This Row],[State]]="Unknown", Table1[[#This Row],[State]]="Puerto Rico all counties"))</f>
        <v>1</v>
      </c>
    </row>
    <row r="149" spans="1:16" x14ac:dyDescent="0.25">
      <c r="A149">
        <v>21011</v>
      </c>
      <c r="B149" t="s">
        <v>1716</v>
      </c>
      <c r="C149" t="s">
        <v>1724</v>
      </c>
      <c r="D149">
        <v>187</v>
      </c>
      <c r="E149">
        <v>37</v>
      </c>
      <c r="F149">
        <v>28</v>
      </c>
      <c r="G149">
        <v>21</v>
      </c>
      <c r="H149">
        <v>58</v>
      </c>
      <c r="I149">
        <v>43</v>
      </c>
      <c r="J149">
        <v>32</v>
      </c>
      <c r="K149">
        <v>57</v>
      </c>
      <c r="L149">
        <v>98</v>
      </c>
      <c r="M149">
        <v>172</v>
      </c>
      <c r="N149">
        <v>15</v>
      </c>
      <c r="O149" t="s">
        <v>1725</v>
      </c>
      <c r="P149" s="1" t="b">
        <f>NOT(OR(Table1[[#This Row],[State]]="Other Foreign Countries", Table1[[#This Row],[State]]="Unknown", Table1[[#This Row],[State]]="Puerto Rico all counties"))</f>
        <v>1</v>
      </c>
    </row>
    <row r="150" spans="1:16" x14ac:dyDescent="0.25">
      <c r="A150">
        <v>51017</v>
      </c>
      <c r="B150" t="s">
        <v>4555</v>
      </c>
      <c r="C150" t="s">
        <v>1724</v>
      </c>
      <c r="D150">
        <v>81</v>
      </c>
      <c r="G150">
        <v>14</v>
      </c>
      <c r="H150">
        <v>20</v>
      </c>
      <c r="I150">
        <v>25</v>
      </c>
      <c r="J150">
        <v>12</v>
      </c>
      <c r="K150">
        <v>21</v>
      </c>
      <c r="L150">
        <v>48</v>
      </c>
      <c r="O150" t="s">
        <v>4571</v>
      </c>
      <c r="P150" s="1" t="b">
        <f>NOT(OR(Table1[[#This Row],[State]]="Other Foreign Countries", Table1[[#This Row],[State]]="Unknown", Table1[[#This Row],[State]]="Puerto Rico all counties"))</f>
        <v>1</v>
      </c>
    </row>
    <row r="151" spans="1:16" x14ac:dyDescent="0.25">
      <c r="A151">
        <v>5005</v>
      </c>
      <c r="B151" t="s">
        <v>242</v>
      </c>
      <c r="C151" t="s">
        <v>246</v>
      </c>
      <c r="D151">
        <v>1407</v>
      </c>
      <c r="E151">
        <v>223</v>
      </c>
      <c r="F151">
        <v>138</v>
      </c>
      <c r="G151">
        <v>158</v>
      </c>
      <c r="H151">
        <v>444</v>
      </c>
      <c r="I151">
        <v>444</v>
      </c>
      <c r="J151">
        <v>244</v>
      </c>
      <c r="K151">
        <v>419</v>
      </c>
      <c r="L151">
        <v>744</v>
      </c>
      <c r="M151" s="1">
        <v>1273</v>
      </c>
      <c r="N151">
        <v>134</v>
      </c>
      <c r="O151" t="s">
        <v>247</v>
      </c>
      <c r="P151" s="1" t="b">
        <f>NOT(OR(Table1[[#This Row],[State]]="Other Foreign Countries", Table1[[#This Row],[State]]="Unknown", Table1[[#This Row],[State]]="Puerto Rico all counties"))</f>
        <v>1</v>
      </c>
    </row>
    <row r="152" spans="1:16" x14ac:dyDescent="0.25">
      <c r="A152">
        <v>12005</v>
      </c>
      <c r="B152" t="s">
        <v>637</v>
      </c>
      <c r="C152" t="s">
        <v>642</v>
      </c>
      <c r="D152">
        <v>10325</v>
      </c>
      <c r="E152" s="1">
        <v>1911</v>
      </c>
      <c r="F152" s="1">
        <v>1063</v>
      </c>
      <c r="G152" s="1">
        <v>1120</v>
      </c>
      <c r="H152" s="1">
        <v>2872</v>
      </c>
      <c r="I152" s="1">
        <v>3359</v>
      </c>
      <c r="J152" s="1">
        <v>2378</v>
      </c>
      <c r="K152" s="1">
        <v>4180</v>
      </c>
      <c r="L152" s="1">
        <v>3767</v>
      </c>
      <c r="M152" s="1">
        <v>8811</v>
      </c>
      <c r="N152" s="1">
        <v>1514</v>
      </c>
      <c r="O152" t="s">
        <v>643</v>
      </c>
      <c r="P152" s="1" t="b">
        <f>NOT(OR(Table1[[#This Row],[State]]="Other Foreign Countries", Table1[[#This Row],[State]]="Unknown", Table1[[#This Row],[State]]="Puerto Rico all counties"))</f>
        <v>1</v>
      </c>
    </row>
    <row r="153" spans="1:16" x14ac:dyDescent="0.25">
      <c r="A153">
        <v>26017</v>
      </c>
      <c r="B153" t="s">
        <v>2099</v>
      </c>
      <c r="C153" t="s">
        <v>642</v>
      </c>
      <c r="D153">
        <v>2146</v>
      </c>
      <c r="E153">
        <v>546</v>
      </c>
      <c r="F153">
        <v>253</v>
      </c>
      <c r="G153">
        <v>252</v>
      </c>
      <c r="H153">
        <v>597</v>
      </c>
      <c r="I153">
        <v>498</v>
      </c>
      <c r="J153">
        <v>434</v>
      </c>
      <c r="K153">
        <v>645</v>
      </c>
      <c r="L153" s="1">
        <v>1067</v>
      </c>
      <c r="M153" s="1">
        <v>1959</v>
      </c>
      <c r="N153">
        <v>186</v>
      </c>
      <c r="O153" t="s">
        <v>2116</v>
      </c>
      <c r="P153" s="1" t="b">
        <f>NOT(OR(Table1[[#This Row],[State]]="Other Foreign Countries", Table1[[#This Row],[State]]="Unknown", Table1[[#This Row],[State]]="Puerto Rico all counties"))</f>
        <v>1</v>
      </c>
    </row>
    <row r="154" spans="1:16" x14ac:dyDescent="0.25">
      <c r="A154">
        <v>55007</v>
      </c>
      <c r="B154" t="s">
        <v>4906</v>
      </c>
      <c r="C154" t="s">
        <v>4911</v>
      </c>
      <c r="D154">
        <v>530</v>
      </c>
      <c r="E154">
        <v>172</v>
      </c>
      <c r="F154">
        <v>62</v>
      </c>
      <c r="G154">
        <v>54</v>
      </c>
      <c r="H154">
        <v>128</v>
      </c>
      <c r="I154">
        <v>114</v>
      </c>
      <c r="J154">
        <v>68</v>
      </c>
      <c r="K154">
        <v>127</v>
      </c>
      <c r="L154">
        <v>335</v>
      </c>
      <c r="M154">
        <v>495</v>
      </c>
      <c r="N154">
        <v>35</v>
      </c>
      <c r="O154" t="s">
        <v>4912</v>
      </c>
      <c r="P154" s="1" t="b">
        <f>NOT(OR(Table1[[#This Row],[State]]="Other Foreign Countries", Table1[[#This Row],[State]]="Unknown", Table1[[#This Row],[State]]="Puerto Rico all counties"))</f>
        <v>1</v>
      </c>
    </row>
    <row r="155" spans="1:16" x14ac:dyDescent="0.25">
      <c r="A155">
        <v>48023</v>
      </c>
      <c r="B155" t="s">
        <v>2654</v>
      </c>
      <c r="C155" t="s">
        <v>4093</v>
      </c>
      <c r="D155">
        <v>67</v>
      </c>
      <c r="E155">
        <v>15</v>
      </c>
      <c r="H155">
        <v>16</v>
      </c>
      <c r="I155">
        <v>16</v>
      </c>
      <c r="J155">
        <v>15</v>
      </c>
      <c r="K155">
        <v>16</v>
      </c>
      <c r="L155">
        <v>36</v>
      </c>
      <c r="O155" t="s">
        <v>4094</v>
      </c>
      <c r="P155" s="1" t="b">
        <f>NOT(OR(Table1[[#This Row],[State]]="Other Foreign Countries", Table1[[#This Row],[State]]="Unknown", Table1[[#This Row],[State]]="Puerto Rico all counties"))</f>
        <v>1</v>
      </c>
    </row>
    <row r="156" spans="1:16" x14ac:dyDescent="0.25">
      <c r="A156">
        <v>46005</v>
      </c>
      <c r="B156" t="s">
        <v>3846</v>
      </c>
      <c r="C156" t="s">
        <v>3849</v>
      </c>
      <c r="D156">
        <v>279</v>
      </c>
      <c r="E156">
        <v>114</v>
      </c>
      <c r="F156">
        <v>30</v>
      </c>
      <c r="G156">
        <v>26</v>
      </c>
      <c r="H156">
        <v>62</v>
      </c>
      <c r="I156">
        <v>47</v>
      </c>
      <c r="J156">
        <v>39</v>
      </c>
      <c r="K156">
        <v>76</v>
      </c>
      <c r="L156">
        <v>164</v>
      </c>
      <c r="M156">
        <v>259</v>
      </c>
      <c r="N156">
        <v>20</v>
      </c>
      <c r="O156" t="s">
        <v>3850</v>
      </c>
      <c r="P156" s="1" t="b">
        <f>NOT(OR(Table1[[#This Row],[State]]="Other Foreign Countries", Table1[[#This Row],[State]]="Unknown", Table1[[#This Row],[State]]="Puerto Rico all counties"))</f>
        <v>1</v>
      </c>
    </row>
    <row r="157" spans="1:16" x14ac:dyDescent="0.25">
      <c r="A157">
        <v>16007</v>
      </c>
      <c r="B157" t="s">
        <v>1032</v>
      </c>
      <c r="C157" t="s">
        <v>1038</v>
      </c>
      <c r="D157">
        <v>102</v>
      </c>
      <c r="E157">
        <v>27</v>
      </c>
      <c r="F157">
        <v>12</v>
      </c>
      <c r="G157">
        <v>10</v>
      </c>
      <c r="H157">
        <v>24</v>
      </c>
      <c r="I157">
        <v>29</v>
      </c>
      <c r="J157">
        <v>13</v>
      </c>
      <c r="K157">
        <v>30</v>
      </c>
      <c r="L157">
        <v>59</v>
      </c>
      <c r="O157" t="s">
        <v>1039</v>
      </c>
      <c r="P157" s="1" t="b">
        <f>NOT(OR(Table1[[#This Row],[State]]="Other Foreign Countries", Table1[[#This Row],[State]]="Unknown", Table1[[#This Row],[State]]="Puerto Rico all counties"))</f>
        <v>1</v>
      </c>
    </row>
    <row r="158" spans="1:16" x14ac:dyDescent="0.25">
      <c r="A158">
        <v>37013</v>
      </c>
      <c r="B158" t="s">
        <v>3121</v>
      </c>
      <c r="C158" t="s">
        <v>3133</v>
      </c>
      <c r="D158">
        <v>1306</v>
      </c>
      <c r="E158">
        <v>271</v>
      </c>
      <c r="F158">
        <v>137</v>
      </c>
      <c r="G158">
        <v>171</v>
      </c>
      <c r="H158">
        <v>362</v>
      </c>
      <c r="I158">
        <v>365</v>
      </c>
      <c r="J158">
        <v>208</v>
      </c>
      <c r="K158">
        <v>355</v>
      </c>
      <c r="L158">
        <v>743</v>
      </c>
      <c r="M158" s="1">
        <v>1180</v>
      </c>
      <c r="N158">
        <v>125</v>
      </c>
      <c r="O158" t="s">
        <v>3134</v>
      </c>
      <c r="P158" s="1" t="b">
        <f>NOT(OR(Table1[[#This Row],[State]]="Other Foreign Countries", Table1[[#This Row],[State]]="Unknown", Table1[[#This Row],[State]]="Puerto Rico all counties"))</f>
        <v>1</v>
      </c>
    </row>
    <row r="159" spans="1:16" x14ac:dyDescent="0.25">
      <c r="A159">
        <v>45013</v>
      </c>
      <c r="B159" t="s">
        <v>3772</v>
      </c>
      <c r="C159" t="s">
        <v>3133</v>
      </c>
      <c r="D159">
        <v>6801</v>
      </c>
      <c r="E159" s="1">
        <v>1148</v>
      </c>
      <c r="F159">
        <v>793</v>
      </c>
      <c r="G159">
        <v>816</v>
      </c>
      <c r="H159" s="1">
        <v>2057</v>
      </c>
      <c r="I159" s="1">
        <v>1987</v>
      </c>
      <c r="J159" s="1">
        <v>2045</v>
      </c>
      <c r="K159" s="1">
        <v>2191</v>
      </c>
      <c r="L159" s="1">
        <v>2565</v>
      </c>
      <c r="M159" s="1">
        <v>5793</v>
      </c>
      <c r="N159" s="1">
        <v>1008</v>
      </c>
      <c r="O159" t="s">
        <v>3784</v>
      </c>
      <c r="P159" s="1" t="b">
        <f>NOT(OR(Table1[[#This Row],[State]]="Other Foreign Countries", Table1[[#This Row],[State]]="Unknown", Table1[[#This Row],[State]]="Puerto Rico all counties"))</f>
        <v>1</v>
      </c>
    </row>
    <row r="160" spans="1:16" x14ac:dyDescent="0.25">
      <c r="A160">
        <v>22011</v>
      </c>
      <c r="B160" t="s">
        <v>1892</v>
      </c>
      <c r="C160" t="s">
        <v>1902</v>
      </c>
      <c r="D160">
        <v>1566</v>
      </c>
      <c r="E160">
        <v>188</v>
      </c>
      <c r="F160">
        <v>101</v>
      </c>
      <c r="G160">
        <v>157</v>
      </c>
      <c r="H160">
        <v>490</v>
      </c>
      <c r="I160">
        <v>630</v>
      </c>
      <c r="J160">
        <v>430</v>
      </c>
      <c r="K160">
        <v>601</v>
      </c>
      <c r="L160">
        <v>535</v>
      </c>
      <c r="M160" s="1">
        <v>1363</v>
      </c>
      <c r="N160">
        <v>203</v>
      </c>
      <c r="O160" t="s">
        <v>1903</v>
      </c>
      <c r="P160" s="1" t="b">
        <f>NOT(OR(Table1[[#This Row],[State]]="Other Foreign Countries", Table1[[#This Row],[State]]="Unknown", Table1[[#This Row],[State]]="Puerto Rico all counties"))</f>
        <v>1</v>
      </c>
    </row>
    <row r="161" spans="1:16" x14ac:dyDescent="0.25">
      <c r="A161">
        <v>40007</v>
      </c>
      <c r="B161" t="s">
        <v>3495</v>
      </c>
      <c r="C161" t="s">
        <v>3501</v>
      </c>
      <c r="D161">
        <v>58</v>
      </c>
      <c r="E161">
        <v>20</v>
      </c>
      <c r="H161">
        <v>17</v>
      </c>
      <c r="I161">
        <v>10</v>
      </c>
      <c r="L161">
        <v>34</v>
      </c>
      <c r="O161" t="s">
        <v>3502</v>
      </c>
      <c r="P161" s="1" t="b">
        <f>NOT(OR(Table1[[#This Row],[State]]="Other Foreign Countries", Table1[[#This Row],[State]]="Unknown", Table1[[#This Row],[State]]="Puerto Rico all counties"))</f>
        <v>1</v>
      </c>
    </row>
    <row r="162" spans="1:16" x14ac:dyDescent="0.25">
      <c r="A162">
        <v>42007</v>
      </c>
      <c r="B162" t="s">
        <v>3665</v>
      </c>
      <c r="C162" t="s">
        <v>3501</v>
      </c>
      <c r="D162">
        <v>2941</v>
      </c>
      <c r="E162">
        <v>696</v>
      </c>
      <c r="F162">
        <v>401</v>
      </c>
      <c r="G162">
        <v>412</v>
      </c>
      <c r="H162">
        <v>809</v>
      </c>
      <c r="I162">
        <v>623</v>
      </c>
      <c r="J162">
        <v>723</v>
      </c>
      <c r="K162">
        <v>891</v>
      </c>
      <c r="L162" s="1">
        <v>1327</v>
      </c>
      <c r="M162" s="1">
        <v>2671</v>
      </c>
      <c r="N162">
        <v>268</v>
      </c>
      <c r="O162" t="s">
        <v>3671</v>
      </c>
      <c r="P162" s="1" t="b">
        <f>NOT(OR(Table1[[#This Row],[State]]="Other Foreign Countries", Table1[[#This Row],[State]]="Unknown", Table1[[#This Row],[State]]="Puerto Rico all counties"))</f>
        <v>1</v>
      </c>
    </row>
    <row r="163" spans="1:16" x14ac:dyDescent="0.25">
      <c r="A163">
        <v>49001</v>
      </c>
      <c r="B163" t="s">
        <v>4486</v>
      </c>
      <c r="C163" t="s">
        <v>3501</v>
      </c>
      <c r="D163">
        <v>101</v>
      </c>
      <c r="E163">
        <v>30</v>
      </c>
      <c r="H163">
        <v>26</v>
      </c>
      <c r="I163">
        <v>27</v>
      </c>
      <c r="J163">
        <v>20</v>
      </c>
      <c r="K163">
        <v>21</v>
      </c>
      <c r="L163">
        <v>60</v>
      </c>
      <c r="O163" t="s">
        <v>4487</v>
      </c>
      <c r="P163" s="1" t="b">
        <f>NOT(OR(Table1[[#This Row],[State]]="Other Foreign Countries", Table1[[#This Row],[State]]="Unknown", Table1[[#This Row],[State]]="Puerto Rico all counties"))</f>
        <v>1</v>
      </c>
    </row>
    <row r="164" spans="1:16" x14ac:dyDescent="0.25">
      <c r="A164">
        <v>30001</v>
      </c>
      <c r="B164" t="s">
        <v>2665</v>
      </c>
      <c r="C164" t="s">
        <v>2666</v>
      </c>
      <c r="D164">
        <v>241</v>
      </c>
      <c r="E164">
        <v>71</v>
      </c>
      <c r="F164">
        <v>35</v>
      </c>
      <c r="G164">
        <v>22</v>
      </c>
      <c r="H164">
        <v>68</v>
      </c>
      <c r="I164">
        <v>45</v>
      </c>
      <c r="J164">
        <v>56</v>
      </c>
      <c r="K164">
        <v>73</v>
      </c>
      <c r="L164">
        <v>112</v>
      </c>
      <c r="M164">
        <v>216</v>
      </c>
      <c r="N164">
        <v>25</v>
      </c>
      <c r="O164" t="s">
        <v>2667</v>
      </c>
      <c r="P164" s="1" t="b">
        <f>NOT(OR(Table1[[#This Row],[State]]="Other Foreign Countries", Table1[[#This Row],[State]]="Unknown", Table1[[#This Row],[State]]="Puerto Rico all counties"))</f>
        <v>1</v>
      </c>
    </row>
    <row r="165" spans="1:16" x14ac:dyDescent="0.25">
      <c r="A165">
        <v>27005</v>
      </c>
      <c r="B165" t="s">
        <v>2245</v>
      </c>
      <c r="C165" t="s">
        <v>2250</v>
      </c>
      <c r="D165">
        <v>845</v>
      </c>
      <c r="E165">
        <v>269</v>
      </c>
      <c r="F165">
        <v>107</v>
      </c>
      <c r="G165">
        <v>90</v>
      </c>
      <c r="H165">
        <v>203</v>
      </c>
      <c r="I165">
        <v>176</v>
      </c>
      <c r="J165">
        <v>123</v>
      </c>
      <c r="K165">
        <v>211</v>
      </c>
      <c r="L165">
        <v>511</v>
      </c>
      <c r="M165">
        <v>779</v>
      </c>
      <c r="N165">
        <v>66</v>
      </c>
      <c r="O165" t="s">
        <v>2251</v>
      </c>
      <c r="P165" s="1" t="b">
        <f>NOT(OR(Table1[[#This Row],[State]]="Other Foreign Countries", Table1[[#This Row],[State]]="Unknown", Table1[[#This Row],[State]]="Puerto Rico all counties"))</f>
        <v>1</v>
      </c>
    </row>
    <row r="166" spans="1:16" x14ac:dyDescent="0.25">
      <c r="A166">
        <v>40009</v>
      </c>
      <c r="B166" t="s">
        <v>3495</v>
      </c>
      <c r="C166" t="s">
        <v>3503</v>
      </c>
      <c r="D166">
        <v>339</v>
      </c>
      <c r="E166">
        <v>73</v>
      </c>
      <c r="F166">
        <v>44</v>
      </c>
      <c r="G166">
        <v>33</v>
      </c>
      <c r="H166">
        <v>105</v>
      </c>
      <c r="I166">
        <v>84</v>
      </c>
      <c r="J166">
        <v>92</v>
      </c>
      <c r="K166">
        <v>97</v>
      </c>
      <c r="L166">
        <v>150</v>
      </c>
      <c r="M166">
        <v>313</v>
      </c>
      <c r="N166">
        <v>26</v>
      </c>
      <c r="O166" t="s">
        <v>3504</v>
      </c>
      <c r="P166" s="1" t="b">
        <f>NOT(OR(Table1[[#This Row],[State]]="Other Foreign Countries", Table1[[#This Row],[State]]="Unknown", Table1[[#This Row],[State]]="Puerto Rico all counties"))</f>
        <v>1</v>
      </c>
    </row>
    <row r="167" spans="1:16" x14ac:dyDescent="0.25">
      <c r="A167">
        <v>42009</v>
      </c>
      <c r="B167" t="s">
        <v>3665</v>
      </c>
      <c r="C167" t="s">
        <v>3672</v>
      </c>
      <c r="D167">
        <v>1010</v>
      </c>
      <c r="E167">
        <v>237</v>
      </c>
      <c r="F167">
        <v>133</v>
      </c>
      <c r="G167">
        <v>129</v>
      </c>
      <c r="H167">
        <v>263</v>
      </c>
      <c r="I167">
        <v>248</v>
      </c>
      <c r="J167">
        <v>199</v>
      </c>
      <c r="K167">
        <v>310</v>
      </c>
      <c r="L167">
        <v>501</v>
      </c>
      <c r="M167">
        <v>942</v>
      </c>
      <c r="N167">
        <v>68</v>
      </c>
      <c r="O167" t="s">
        <v>3673</v>
      </c>
      <c r="P167" s="1" t="b">
        <f>NOT(OR(Table1[[#This Row],[State]]="Other Foreign Countries", Table1[[#This Row],[State]]="Unknown", Table1[[#This Row],[State]]="Puerto Rico all counties"))</f>
        <v>1</v>
      </c>
    </row>
    <row r="168" spans="1:16" x14ac:dyDescent="0.25">
      <c r="A168">
        <v>47003</v>
      </c>
      <c r="B168" t="s">
        <v>3951</v>
      </c>
      <c r="C168" t="s">
        <v>3672</v>
      </c>
      <c r="D168">
        <v>990</v>
      </c>
      <c r="E168">
        <v>187</v>
      </c>
      <c r="F168">
        <v>91</v>
      </c>
      <c r="G168">
        <v>139</v>
      </c>
      <c r="H168">
        <v>293</v>
      </c>
      <c r="I168">
        <v>280</v>
      </c>
      <c r="J168">
        <v>275</v>
      </c>
      <c r="K168">
        <v>309</v>
      </c>
      <c r="L168">
        <v>406</v>
      </c>
      <c r="M168">
        <v>887</v>
      </c>
      <c r="N168">
        <v>103</v>
      </c>
      <c r="O168" t="s">
        <v>3953</v>
      </c>
      <c r="P168" s="1" t="b">
        <f>NOT(OR(Table1[[#This Row],[State]]="Other Foreign Countries", Table1[[#This Row],[State]]="Unknown", Table1[[#This Row],[State]]="Puerto Rico all counties"))</f>
        <v>1</v>
      </c>
    </row>
    <row r="169" spans="1:16" x14ac:dyDescent="0.25">
      <c r="A169">
        <v>51019</v>
      </c>
      <c r="B169" t="s">
        <v>4555</v>
      </c>
      <c r="C169" t="s">
        <v>3672</v>
      </c>
      <c r="D169">
        <v>1896</v>
      </c>
      <c r="E169">
        <v>409</v>
      </c>
      <c r="F169">
        <v>233</v>
      </c>
      <c r="G169">
        <v>248</v>
      </c>
      <c r="H169">
        <v>543</v>
      </c>
      <c r="I169">
        <v>463</v>
      </c>
      <c r="J169">
        <v>425</v>
      </c>
      <c r="K169">
        <v>637</v>
      </c>
      <c r="L169">
        <v>834</v>
      </c>
      <c r="M169" s="1">
        <v>1716</v>
      </c>
      <c r="N169">
        <v>179</v>
      </c>
      <c r="O169" t="s">
        <v>4572</v>
      </c>
      <c r="P169" s="1" t="b">
        <f>NOT(OR(Table1[[#This Row],[State]]="Other Foreign Countries", Table1[[#This Row],[State]]="Unknown", Table1[[#This Row],[State]]="Puerto Rico all counties"))</f>
        <v>1</v>
      </c>
    </row>
    <row r="170" spans="1:16" x14ac:dyDescent="0.25">
      <c r="A170">
        <v>48025</v>
      </c>
      <c r="B170" t="s">
        <v>2654</v>
      </c>
      <c r="C170" t="s">
        <v>4095</v>
      </c>
      <c r="D170">
        <v>644</v>
      </c>
      <c r="E170">
        <v>121</v>
      </c>
      <c r="F170">
        <v>58</v>
      </c>
      <c r="G170">
        <v>81</v>
      </c>
      <c r="H170">
        <v>217</v>
      </c>
      <c r="I170">
        <v>167</v>
      </c>
      <c r="J170">
        <v>155</v>
      </c>
      <c r="K170">
        <v>195</v>
      </c>
      <c r="L170">
        <v>294</v>
      </c>
      <c r="M170">
        <v>596</v>
      </c>
      <c r="N170">
        <v>48</v>
      </c>
      <c r="O170" t="s">
        <v>4096</v>
      </c>
      <c r="P170" s="1" t="b">
        <f>NOT(OR(Table1[[#This Row],[State]]="Other Foreign Countries", Table1[[#This Row],[State]]="Unknown", Table1[[#This Row],[State]]="Puerto Rico all counties"))</f>
        <v>1</v>
      </c>
    </row>
    <row r="171" spans="1:16" x14ac:dyDescent="0.25">
      <c r="A171">
        <v>33001</v>
      </c>
      <c r="B171" t="s">
        <v>2920</v>
      </c>
      <c r="C171" t="s">
        <v>2921</v>
      </c>
      <c r="D171">
        <v>1534</v>
      </c>
      <c r="E171">
        <v>357</v>
      </c>
      <c r="F171">
        <v>194</v>
      </c>
      <c r="G171">
        <v>207</v>
      </c>
      <c r="H171">
        <v>462</v>
      </c>
      <c r="I171">
        <v>314</v>
      </c>
      <c r="J171">
        <v>367</v>
      </c>
      <c r="K171">
        <v>435</v>
      </c>
      <c r="L171">
        <v>732</v>
      </c>
      <c r="M171" s="1">
        <v>1378</v>
      </c>
      <c r="N171">
        <v>155</v>
      </c>
      <c r="O171" t="s">
        <v>2922</v>
      </c>
      <c r="P171" s="1" t="b">
        <f>NOT(OR(Table1[[#This Row],[State]]="Other Foreign Countries", Table1[[#This Row],[State]]="Unknown", Table1[[#This Row],[State]]="Puerto Rico all counties"))</f>
        <v>1</v>
      </c>
    </row>
    <row r="172" spans="1:16" x14ac:dyDescent="0.25">
      <c r="A172">
        <v>21013</v>
      </c>
      <c r="B172" t="s">
        <v>1716</v>
      </c>
      <c r="C172" t="s">
        <v>1726</v>
      </c>
      <c r="D172">
        <v>354</v>
      </c>
      <c r="E172">
        <v>68</v>
      </c>
      <c r="F172">
        <v>32</v>
      </c>
      <c r="G172">
        <v>44</v>
      </c>
      <c r="H172">
        <v>97</v>
      </c>
      <c r="I172">
        <v>113</v>
      </c>
      <c r="J172">
        <v>82</v>
      </c>
      <c r="K172">
        <v>90</v>
      </c>
      <c r="L172">
        <v>182</v>
      </c>
      <c r="M172">
        <v>337</v>
      </c>
      <c r="N172">
        <v>17</v>
      </c>
      <c r="O172" t="s">
        <v>1727</v>
      </c>
      <c r="P172" s="1" t="b">
        <f>NOT(OR(Table1[[#This Row],[State]]="Other Foreign Countries", Table1[[#This Row],[State]]="Unknown", Table1[[#This Row],[State]]="Puerto Rico all counties"))</f>
        <v>1</v>
      </c>
    </row>
    <row r="173" spans="1:16" x14ac:dyDescent="0.25">
      <c r="A173">
        <v>48027</v>
      </c>
      <c r="B173" t="s">
        <v>2654</v>
      </c>
      <c r="C173" t="s">
        <v>1726</v>
      </c>
      <c r="D173">
        <v>39929</v>
      </c>
      <c r="E173" s="1">
        <v>3466</v>
      </c>
      <c r="F173" s="1">
        <v>2611</v>
      </c>
      <c r="G173" s="1">
        <v>3424</v>
      </c>
      <c r="H173" s="1">
        <v>12216</v>
      </c>
      <c r="I173" s="1">
        <v>18212</v>
      </c>
      <c r="J173" s="1">
        <v>14270</v>
      </c>
      <c r="K173" s="1">
        <v>17085</v>
      </c>
      <c r="L173" s="1">
        <v>8573</v>
      </c>
      <c r="M173" s="1">
        <v>30829</v>
      </c>
      <c r="N173" s="1">
        <v>9099</v>
      </c>
      <c r="O173" t="s">
        <v>4097</v>
      </c>
      <c r="P173" s="1" t="b">
        <f>NOT(OR(Table1[[#This Row],[State]]="Other Foreign Countries", Table1[[#This Row],[State]]="Unknown", Table1[[#This Row],[State]]="Puerto Rico all counties"))</f>
        <v>1</v>
      </c>
    </row>
    <row r="174" spans="1:16" x14ac:dyDescent="0.25">
      <c r="A174">
        <v>39013</v>
      </c>
      <c r="B174" t="s">
        <v>1343</v>
      </c>
      <c r="C174" t="s">
        <v>3381</v>
      </c>
      <c r="D174">
        <v>1356</v>
      </c>
      <c r="E174">
        <v>442</v>
      </c>
      <c r="F174">
        <v>202</v>
      </c>
      <c r="G174">
        <v>181</v>
      </c>
      <c r="H174">
        <v>298</v>
      </c>
      <c r="I174">
        <v>233</v>
      </c>
      <c r="J174">
        <v>205</v>
      </c>
      <c r="K174">
        <v>370</v>
      </c>
      <c r="L174">
        <v>781</v>
      </c>
      <c r="M174" s="1">
        <v>1275</v>
      </c>
      <c r="N174">
        <v>81</v>
      </c>
      <c r="O174" t="s">
        <v>3382</v>
      </c>
      <c r="P174" s="1" t="b">
        <f>NOT(OR(Table1[[#This Row],[State]]="Other Foreign Countries", Table1[[#This Row],[State]]="Unknown", Table1[[#This Row],[State]]="Puerto Rico all counties"))</f>
        <v>1</v>
      </c>
    </row>
    <row r="175" spans="1:16" x14ac:dyDescent="0.25">
      <c r="A175">
        <v>27007</v>
      </c>
      <c r="B175" t="s">
        <v>2245</v>
      </c>
      <c r="C175" t="s">
        <v>2252</v>
      </c>
      <c r="D175">
        <v>1074</v>
      </c>
      <c r="E175">
        <v>326</v>
      </c>
      <c r="F175">
        <v>112</v>
      </c>
      <c r="G175">
        <v>112</v>
      </c>
      <c r="H175">
        <v>308</v>
      </c>
      <c r="I175">
        <v>216</v>
      </c>
      <c r="J175">
        <v>205</v>
      </c>
      <c r="K175">
        <v>281</v>
      </c>
      <c r="L175">
        <v>588</v>
      </c>
      <c r="M175">
        <v>990</v>
      </c>
      <c r="N175">
        <v>84</v>
      </c>
      <c r="O175" t="s">
        <v>2253</v>
      </c>
      <c r="P175" s="1" t="b">
        <f>NOT(OR(Table1[[#This Row],[State]]="Other Foreign Countries", Table1[[#This Row],[State]]="Unknown", Table1[[#This Row],[State]]="Puerto Rico all counties"))</f>
        <v>1</v>
      </c>
    </row>
    <row r="176" spans="1:16" x14ac:dyDescent="0.25">
      <c r="A176">
        <v>13017</v>
      </c>
      <c r="B176" t="s">
        <v>754</v>
      </c>
      <c r="C176" t="s">
        <v>769</v>
      </c>
      <c r="D176">
        <v>323</v>
      </c>
      <c r="E176">
        <v>49</v>
      </c>
      <c r="F176">
        <v>24</v>
      </c>
      <c r="G176">
        <v>41</v>
      </c>
      <c r="H176">
        <v>108</v>
      </c>
      <c r="I176">
        <v>101</v>
      </c>
      <c r="J176">
        <v>70</v>
      </c>
      <c r="K176">
        <v>96</v>
      </c>
      <c r="L176">
        <v>157</v>
      </c>
      <c r="M176">
        <v>290</v>
      </c>
      <c r="N176">
        <v>33</v>
      </c>
      <c r="O176" t="s">
        <v>770</v>
      </c>
      <c r="P176" s="1" t="b">
        <f>NOT(OR(Table1[[#This Row],[State]]="Other Foreign Countries", Table1[[#This Row],[State]]="Unknown", Table1[[#This Row],[State]]="Puerto Rico all counties"))</f>
        <v>1</v>
      </c>
    </row>
    <row r="177" spans="1:16" x14ac:dyDescent="0.25">
      <c r="A177">
        <v>16009</v>
      </c>
      <c r="B177" t="s">
        <v>1032</v>
      </c>
      <c r="C177" t="s">
        <v>1040</v>
      </c>
      <c r="D177">
        <v>320</v>
      </c>
      <c r="E177">
        <v>88</v>
      </c>
      <c r="F177">
        <v>41</v>
      </c>
      <c r="G177">
        <v>31</v>
      </c>
      <c r="H177">
        <v>94</v>
      </c>
      <c r="I177">
        <v>66</v>
      </c>
      <c r="J177">
        <v>48</v>
      </c>
      <c r="K177">
        <v>98</v>
      </c>
      <c r="L177">
        <v>174</v>
      </c>
      <c r="M177">
        <v>287</v>
      </c>
      <c r="N177">
        <v>32</v>
      </c>
      <c r="O177" t="s">
        <v>1041</v>
      </c>
      <c r="P177" s="1" t="b">
        <f>NOT(OR(Table1[[#This Row],[State]]="Other Foreign Countries", Table1[[#This Row],[State]]="Unknown", Table1[[#This Row],[State]]="Puerto Rico all counties"))</f>
        <v>1</v>
      </c>
    </row>
    <row r="178" spans="1:16" x14ac:dyDescent="0.25">
      <c r="A178">
        <v>46007</v>
      </c>
      <c r="B178" t="s">
        <v>3846</v>
      </c>
      <c r="C178" t="s">
        <v>3851</v>
      </c>
      <c r="D178">
        <v>41</v>
      </c>
      <c r="H178">
        <v>11</v>
      </c>
      <c r="I178">
        <v>11</v>
      </c>
      <c r="J178">
        <v>12</v>
      </c>
      <c r="K178">
        <v>13</v>
      </c>
      <c r="L178">
        <v>16</v>
      </c>
      <c r="O178" t="s">
        <v>3852</v>
      </c>
      <c r="P178" s="1" t="b">
        <f>NOT(OR(Table1[[#This Row],[State]]="Other Foreign Countries", Table1[[#This Row],[State]]="Unknown", Table1[[#This Row],[State]]="Puerto Rico all counties"))</f>
        <v>1</v>
      </c>
    </row>
    <row r="179" spans="1:16" x14ac:dyDescent="0.25">
      <c r="A179">
        <v>50003</v>
      </c>
      <c r="B179" t="s">
        <v>4531</v>
      </c>
      <c r="C179" t="s">
        <v>4534</v>
      </c>
      <c r="D179">
        <v>518</v>
      </c>
      <c r="E179">
        <v>113</v>
      </c>
      <c r="F179">
        <v>53</v>
      </c>
      <c r="G179">
        <v>70</v>
      </c>
      <c r="H179">
        <v>160</v>
      </c>
      <c r="I179">
        <v>122</v>
      </c>
      <c r="J179">
        <v>100</v>
      </c>
      <c r="K179">
        <v>128</v>
      </c>
      <c r="L179">
        <v>290</v>
      </c>
      <c r="M179">
        <v>469</v>
      </c>
      <c r="N179">
        <v>48</v>
      </c>
      <c r="O179" t="s">
        <v>4535</v>
      </c>
      <c r="P179" s="1" t="b">
        <f>NOT(OR(Table1[[#This Row],[State]]="Other Foreign Countries", Table1[[#This Row],[State]]="Unknown", Table1[[#This Row],[State]]="Puerto Rico all counties"))</f>
        <v>1</v>
      </c>
    </row>
    <row r="180" spans="1:16" x14ac:dyDescent="0.25">
      <c r="A180">
        <v>38005</v>
      </c>
      <c r="B180" t="s">
        <v>3286</v>
      </c>
      <c r="C180" t="s">
        <v>3290</v>
      </c>
      <c r="D180">
        <v>79</v>
      </c>
      <c r="E180">
        <v>19</v>
      </c>
      <c r="F180">
        <v>10</v>
      </c>
      <c r="G180">
        <v>13</v>
      </c>
      <c r="H180">
        <v>23</v>
      </c>
      <c r="I180">
        <v>14</v>
      </c>
      <c r="J180">
        <v>13</v>
      </c>
      <c r="K180">
        <v>22</v>
      </c>
      <c r="L180">
        <v>44</v>
      </c>
      <c r="M180">
        <v>69</v>
      </c>
      <c r="N180">
        <v>10</v>
      </c>
      <c r="O180" t="s">
        <v>3291</v>
      </c>
      <c r="P180" s="1" t="b">
        <f>NOT(OR(Table1[[#This Row],[State]]="Other Foreign Countries", Table1[[#This Row],[State]]="Unknown", Table1[[#This Row],[State]]="Puerto Rico all counties"))</f>
        <v>1</v>
      </c>
    </row>
    <row r="181" spans="1:16" x14ac:dyDescent="0.25">
      <c r="A181">
        <v>8011</v>
      </c>
      <c r="B181" t="s">
        <v>489</v>
      </c>
      <c r="C181" t="s">
        <v>500</v>
      </c>
      <c r="D181">
        <v>136</v>
      </c>
      <c r="E181">
        <v>38</v>
      </c>
      <c r="F181">
        <v>11</v>
      </c>
      <c r="G181">
        <v>13</v>
      </c>
      <c r="H181">
        <v>36</v>
      </c>
      <c r="I181">
        <v>38</v>
      </c>
      <c r="J181">
        <v>11</v>
      </c>
      <c r="K181">
        <v>37</v>
      </c>
      <c r="L181">
        <v>88</v>
      </c>
      <c r="O181" t="s">
        <v>501</v>
      </c>
      <c r="P181" s="1" t="b">
        <f>NOT(OR(Table1[[#This Row],[State]]="Other Foreign Countries", Table1[[#This Row],[State]]="Unknown", Table1[[#This Row],[State]]="Puerto Rico all counties"))</f>
        <v>1</v>
      </c>
    </row>
    <row r="182" spans="1:16" x14ac:dyDescent="0.25">
      <c r="A182">
        <v>5007</v>
      </c>
      <c r="B182" t="s">
        <v>242</v>
      </c>
      <c r="C182" t="s">
        <v>248</v>
      </c>
      <c r="D182">
        <v>5517</v>
      </c>
      <c r="E182">
        <v>997</v>
      </c>
      <c r="F182">
        <v>563</v>
      </c>
      <c r="G182">
        <v>678</v>
      </c>
      <c r="H182" s="1">
        <v>1751</v>
      </c>
      <c r="I182" s="1">
        <v>1528</v>
      </c>
      <c r="J182" s="1">
        <v>1856</v>
      </c>
      <c r="K182" s="1">
        <v>1805</v>
      </c>
      <c r="L182" s="1">
        <v>1856</v>
      </c>
      <c r="M182" s="1">
        <v>4917</v>
      </c>
      <c r="N182">
        <v>600</v>
      </c>
      <c r="O182" t="s">
        <v>249</v>
      </c>
      <c r="P182" s="1" t="b">
        <f>NOT(OR(Table1[[#This Row],[State]]="Other Foreign Countries", Table1[[#This Row],[State]]="Unknown", Table1[[#This Row],[State]]="Puerto Rico all counties"))</f>
        <v>1</v>
      </c>
    </row>
    <row r="183" spans="1:16" x14ac:dyDescent="0.25">
      <c r="A183">
        <v>18007</v>
      </c>
      <c r="B183" t="s">
        <v>1266</v>
      </c>
      <c r="C183" t="s">
        <v>248</v>
      </c>
      <c r="D183">
        <v>127</v>
      </c>
      <c r="E183">
        <v>23</v>
      </c>
      <c r="F183">
        <v>21</v>
      </c>
      <c r="G183">
        <v>10</v>
      </c>
      <c r="H183">
        <v>50</v>
      </c>
      <c r="I183">
        <v>23</v>
      </c>
      <c r="J183">
        <v>46</v>
      </c>
      <c r="K183">
        <v>40</v>
      </c>
      <c r="L183">
        <v>41</v>
      </c>
      <c r="O183" t="s">
        <v>1272</v>
      </c>
      <c r="P183" s="1" t="b">
        <f>NOT(OR(Table1[[#This Row],[State]]="Other Foreign Countries", Table1[[#This Row],[State]]="Unknown", Table1[[#This Row],[State]]="Puerto Rico all counties"))</f>
        <v>1</v>
      </c>
    </row>
    <row r="184" spans="1:16" x14ac:dyDescent="0.25">
      <c r="A184">
        <v>19011</v>
      </c>
      <c r="B184" t="s">
        <v>1399</v>
      </c>
      <c r="C184" t="s">
        <v>248</v>
      </c>
      <c r="D184">
        <v>430</v>
      </c>
      <c r="E184">
        <v>105</v>
      </c>
      <c r="F184">
        <v>60</v>
      </c>
      <c r="G184">
        <v>51</v>
      </c>
      <c r="H184">
        <v>107</v>
      </c>
      <c r="I184">
        <v>107</v>
      </c>
      <c r="J184">
        <v>129</v>
      </c>
      <c r="K184">
        <v>124</v>
      </c>
      <c r="L184">
        <v>177</v>
      </c>
      <c r="M184">
        <v>388</v>
      </c>
      <c r="N184">
        <v>42</v>
      </c>
      <c r="O184" t="s">
        <v>1409</v>
      </c>
      <c r="P184" s="1" t="b">
        <f>NOT(OR(Table1[[#This Row],[State]]="Other Foreign Countries", Table1[[#This Row],[State]]="Unknown", Table1[[#This Row],[State]]="Puerto Rico all counties"))</f>
        <v>1</v>
      </c>
    </row>
    <row r="185" spans="1:16" x14ac:dyDescent="0.25">
      <c r="A185">
        <v>27009</v>
      </c>
      <c r="B185" t="s">
        <v>2245</v>
      </c>
      <c r="C185" t="s">
        <v>248</v>
      </c>
      <c r="D185">
        <v>1210</v>
      </c>
      <c r="E185">
        <v>545</v>
      </c>
      <c r="F185">
        <v>139</v>
      </c>
      <c r="G185">
        <v>119</v>
      </c>
      <c r="H185">
        <v>207</v>
      </c>
      <c r="I185">
        <v>200</v>
      </c>
      <c r="J185">
        <v>260</v>
      </c>
      <c r="K185">
        <v>289</v>
      </c>
      <c r="L185">
        <v>661</v>
      </c>
      <c r="M185" s="1">
        <v>1111</v>
      </c>
      <c r="N185">
        <v>99</v>
      </c>
      <c r="O185" t="s">
        <v>2254</v>
      </c>
      <c r="P185" s="1" t="b">
        <f>NOT(OR(Table1[[#This Row],[State]]="Other Foreign Countries", Table1[[#This Row],[State]]="Unknown", Table1[[#This Row],[State]]="Puerto Rico all counties"))</f>
        <v>1</v>
      </c>
    </row>
    <row r="186" spans="1:16" x14ac:dyDescent="0.25">
      <c r="A186">
        <v>28009</v>
      </c>
      <c r="B186" t="s">
        <v>322</v>
      </c>
      <c r="C186" t="s">
        <v>248</v>
      </c>
      <c r="D186">
        <v>104</v>
      </c>
      <c r="E186">
        <v>21</v>
      </c>
      <c r="F186">
        <v>11</v>
      </c>
      <c r="G186">
        <v>10</v>
      </c>
      <c r="H186">
        <v>31</v>
      </c>
      <c r="I186">
        <v>31</v>
      </c>
      <c r="J186">
        <v>30</v>
      </c>
      <c r="K186">
        <v>23</v>
      </c>
      <c r="L186">
        <v>51</v>
      </c>
      <c r="O186" t="s">
        <v>2401</v>
      </c>
      <c r="P186" s="1" t="b">
        <f>NOT(OR(Table1[[#This Row],[State]]="Other Foreign Countries", Table1[[#This Row],[State]]="Unknown", Table1[[#This Row],[State]]="Puerto Rico all counties"))</f>
        <v>1</v>
      </c>
    </row>
    <row r="187" spans="1:16" x14ac:dyDescent="0.25">
      <c r="A187">
        <v>29015</v>
      </c>
      <c r="B187" t="s">
        <v>2510</v>
      </c>
      <c r="C187" t="s">
        <v>248</v>
      </c>
      <c r="D187">
        <v>898</v>
      </c>
      <c r="E187">
        <v>263</v>
      </c>
      <c r="F187">
        <v>79</v>
      </c>
      <c r="G187">
        <v>99</v>
      </c>
      <c r="H187">
        <v>271</v>
      </c>
      <c r="I187">
        <v>186</v>
      </c>
      <c r="J187">
        <v>106</v>
      </c>
      <c r="K187">
        <v>283</v>
      </c>
      <c r="L187">
        <v>509</v>
      </c>
      <c r="M187">
        <v>822</v>
      </c>
      <c r="N187">
        <v>76</v>
      </c>
      <c r="O187" t="s">
        <v>2521</v>
      </c>
      <c r="P187" s="1" t="b">
        <f>NOT(OR(Table1[[#This Row],[State]]="Other Foreign Countries", Table1[[#This Row],[State]]="Unknown", Table1[[#This Row],[State]]="Puerto Rico all counties"))</f>
        <v>1</v>
      </c>
    </row>
    <row r="188" spans="1:16" x14ac:dyDescent="0.25">
      <c r="A188">
        <v>41003</v>
      </c>
      <c r="B188" t="s">
        <v>2607</v>
      </c>
      <c r="C188" t="s">
        <v>248</v>
      </c>
      <c r="D188">
        <v>1488</v>
      </c>
      <c r="E188">
        <v>344</v>
      </c>
      <c r="F188">
        <v>192</v>
      </c>
      <c r="G188">
        <v>202</v>
      </c>
      <c r="H188">
        <v>454</v>
      </c>
      <c r="I188">
        <v>296</v>
      </c>
      <c r="J188">
        <v>496</v>
      </c>
      <c r="K188">
        <v>397</v>
      </c>
      <c r="L188">
        <v>595</v>
      </c>
      <c r="M188" s="1">
        <v>1308</v>
      </c>
      <c r="N188">
        <v>180</v>
      </c>
      <c r="O188" t="s">
        <v>3614</v>
      </c>
      <c r="P188" s="1" t="b">
        <f>NOT(OR(Table1[[#This Row],[State]]="Other Foreign Countries", Table1[[#This Row],[State]]="Unknown", Table1[[#This Row],[State]]="Puerto Rico all counties"))</f>
        <v>1</v>
      </c>
    </row>
    <row r="189" spans="1:16" x14ac:dyDescent="0.25">
      <c r="A189">
        <v>47005</v>
      </c>
      <c r="B189" t="s">
        <v>3951</v>
      </c>
      <c r="C189" t="s">
        <v>248</v>
      </c>
      <c r="D189">
        <v>490</v>
      </c>
      <c r="E189">
        <v>76</v>
      </c>
      <c r="F189">
        <v>55</v>
      </c>
      <c r="G189">
        <v>62</v>
      </c>
      <c r="H189">
        <v>154</v>
      </c>
      <c r="I189">
        <v>143</v>
      </c>
      <c r="J189">
        <v>80</v>
      </c>
      <c r="K189">
        <v>181</v>
      </c>
      <c r="L189">
        <v>229</v>
      </c>
      <c r="M189">
        <v>439</v>
      </c>
      <c r="N189">
        <v>51</v>
      </c>
      <c r="O189" t="s">
        <v>3954</v>
      </c>
      <c r="P189" s="1" t="b">
        <f>NOT(OR(Table1[[#This Row],[State]]="Other Foreign Countries", Table1[[#This Row],[State]]="Unknown", Table1[[#This Row],[State]]="Puerto Rico all counties"))</f>
        <v>1</v>
      </c>
    </row>
    <row r="190" spans="1:16" x14ac:dyDescent="0.25">
      <c r="A190">
        <v>53005</v>
      </c>
      <c r="B190" t="s">
        <v>144</v>
      </c>
      <c r="C190" t="s">
        <v>248</v>
      </c>
      <c r="D190">
        <v>4160</v>
      </c>
      <c r="E190" s="1">
        <v>1063</v>
      </c>
      <c r="F190">
        <v>526</v>
      </c>
      <c r="G190">
        <v>540</v>
      </c>
      <c r="H190" s="1">
        <v>1156</v>
      </c>
      <c r="I190">
        <v>875</v>
      </c>
      <c r="J190" s="1">
        <v>1334</v>
      </c>
      <c r="K190" s="1">
        <v>1257</v>
      </c>
      <c r="L190" s="1">
        <v>1569</v>
      </c>
      <c r="M190" s="1">
        <v>3783</v>
      </c>
      <c r="N190">
        <v>375</v>
      </c>
      <c r="O190" t="s">
        <v>4775</v>
      </c>
      <c r="P190" s="1" t="b">
        <f>NOT(OR(Table1[[#This Row],[State]]="Other Foreign Countries", Table1[[#This Row],[State]]="Unknown", Table1[[#This Row],[State]]="Puerto Rico all counties"))</f>
        <v>1</v>
      </c>
    </row>
    <row r="191" spans="1:16" x14ac:dyDescent="0.25">
      <c r="A191">
        <v>26019</v>
      </c>
      <c r="B191" t="s">
        <v>2099</v>
      </c>
      <c r="C191" t="s">
        <v>2117</v>
      </c>
      <c r="D191">
        <v>487</v>
      </c>
      <c r="E191">
        <v>132</v>
      </c>
      <c r="F191">
        <v>60</v>
      </c>
      <c r="G191">
        <v>49</v>
      </c>
      <c r="H191">
        <v>142</v>
      </c>
      <c r="I191">
        <v>104</v>
      </c>
      <c r="J191">
        <v>85</v>
      </c>
      <c r="K191">
        <v>136</v>
      </c>
      <c r="L191">
        <v>266</v>
      </c>
      <c r="M191">
        <v>449</v>
      </c>
      <c r="N191">
        <v>38</v>
      </c>
      <c r="O191" t="s">
        <v>2118</v>
      </c>
      <c r="P191" s="1" t="b">
        <f>NOT(OR(Table1[[#This Row],[State]]="Other Foreign Countries", Table1[[#This Row],[State]]="Unknown", Table1[[#This Row],[State]]="Puerto Rico all counties"))</f>
        <v>1</v>
      </c>
    </row>
    <row r="192" spans="1:16" x14ac:dyDescent="0.25">
      <c r="A192">
        <v>34003</v>
      </c>
      <c r="B192" t="s">
        <v>2938</v>
      </c>
      <c r="C192" t="s">
        <v>2941</v>
      </c>
      <c r="D192">
        <v>4717</v>
      </c>
      <c r="E192" s="1">
        <v>1019</v>
      </c>
      <c r="F192">
        <v>458</v>
      </c>
      <c r="G192">
        <v>495</v>
      </c>
      <c r="H192" s="1">
        <v>1324</v>
      </c>
      <c r="I192" s="1">
        <v>1421</v>
      </c>
      <c r="J192" s="1">
        <v>1762</v>
      </c>
      <c r="K192" s="1">
        <v>1095</v>
      </c>
      <c r="L192" s="1">
        <v>1860</v>
      </c>
      <c r="M192" s="1">
        <v>4309</v>
      </c>
      <c r="N192">
        <v>407</v>
      </c>
      <c r="O192" t="s">
        <v>2942</v>
      </c>
      <c r="P192" s="1" t="b">
        <f>NOT(OR(Table1[[#This Row],[State]]="Other Foreign Countries", Table1[[#This Row],[State]]="Unknown", Table1[[#This Row],[State]]="Puerto Rico all counties"))</f>
        <v>1</v>
      </c>
    </row>
    <row r="193" spans="1:16" x14ac:dyDescent="0.25">
      <c r="A193">
        <v>45015</v>
      </c>
      <c r="B193" t="s">
        <v>3772</v>
      </c>
      <c r="C193" t="s">
        <v>3785</v>
      </c>
      <c r="D193">
        <v>12046</v>
      </c>
      <c r="E193" s="1">
        <v>1828</v>
      </c>
      <c r="F193" s="1">
        <v>1227</v>
      </c>
      <c r="G193" s="1">
        <v>1567</v>
      </c>
      <c r="H193" s="1">
        <v>3900</v>
      </c>
      <c r="I193" s="1">
        <v>3524</v>
      </c>
      <c r="J193" s="1">
        <v>4095</v>
      </c>
      <c r="K193" s="1">
        <v>4479</v>
      </c>
      <c r="L193" s="1">
        <v>3472</v>
      </c>
      <c r="M193" s="1">
        <v>10000</v>
      </c>
      <c r="N193" s="1">
        <v>2043</v>
      </c>
      <c r="O193" t="s">
        <v>3786</v>
      </c>
      <c r="P193" s="1" t="b">
        <f>NOT(OR(Table1[[#This Row],[State]]="Other Foreign Countries", Table1[[#This Row],[State]]="Unknown", Table1[[#This Row],[State]]="Puerto Rico all counties"))</f>
        <v>1</v>
      </c>
    </row>
    <row r="194" spans="1:16" x14ac:dyDescent="0.25">
      <c r="A194">
        <v>54003</v>
      </c>
      <c r="B194" t="s">
        <v>4833</v>
      </c>
      <c r="C194" t="s">
        <v>3785</v>
      </c>
      <c r="D194">
        <v>4350</v>
      </c>
      <c r="E194">
        <v>749</v>
      </c>
      <c r="F194">
        <v>446</v>
      </c>
      <c r="G194">
        <v>509</v>
      </c>
      <c r="H194" s="1">
        <v>1413</v>
      </c>
      <c r="I194" s="1">
        <v>1233</v>
      </c>
      <c r="J194" s="1">
        <v>1304</v>
      </c>
      <c r="K194" s="1">
        <v>1642</v>
      </c>
      <c r="L194" s="1">
        <v>1404</v>
      </c>
      <c r="M194" s="1">
        <v>3777</v>
      </c>
      <c r="N194">
        <v>572</v>
      </c>
      <c r="O194" t="s">
        <v>4835</v>
      </c>
      <c r="P194" s="1" t="b">
        <f>NOT(OR(Table1[[#This Row],[State]]="Other Foreign Countries", Table1[[#This Row],[State]]="Unknown", Table1[[#This Row],[State]]="Puerto Rico all counties"))</f>
        <v>1</v>
      </c>
    </row>
    <row r="195" spans="1:16" x14ac:dyDescent="0.25">
      <c r="A195">
        <v>42011</v>
      </c>
      <c r="B195" t="s">
        <v>3665</v>
      </c>
      <c r="C195" t="s">
        <v>3674</v>
      </c>
      <c r="D195">
        <v>4536</v>
      </c>
      <c r="E195">
        <v>954</v>
      </c>
      <c r="F195">
        <v>536</v>
      </c>
      <c r="G195">
        <v>593</v>
      </c>
      <c r="H195" s="1">
        <v>1314</v>
      </c>
      <c r="I195" s="1">
        <v>1139</v>
      </c>
      <c r="J195" s="1">
        <v>1336</v>
      </c>
      <c r="K195" s="1">
        <v>1293</v>
      </c>
      <c r="L195" s="1">
        <v>1907</v>
      </c>
      <c r="M195" s="1">
        <v>4117</v>
      </c>
      <c r="N195">
        <v>419</v>
      </c>
      <c r="O195" t="s">
        <v>3675</v>
      </c>
      <c r="P195" s="1" t="b">
        <f>NOT(OR(Table1[[#This Row],[State]]="Other Foreign Countries", Table1[[#This Row],[State]]="Unknown", Table1[[#This Row],[State]]="Puerto Rico all counties"))</f>
        <v>1</v>
      </c>
    </row>
    <row r="196" spans="1:16" x14ac:dyDescent="0.25">
      <c r="A196">
        <v>25003</v>
      </c>
      <c r="B196" t="s">
        <v>2073</v>
      </c>
      <c r="C196" t="s">
        <v>2076</v>
      </c>
      <c r="D196">
        <v>1588</v>
      </c>
      <c r="E196">
        <v>435</v>
      </c>
      <c r="F196">
        <v>195</v>
      </c>
      <c r="G196">
        <v>181</v>
      </c>
      <c r="H196">
        <v>424</v>
      </c>
      <c r="I196">
        <v>353</v>
      </c>
      <c r="J196">
        <v>312</v>
      </c>
      <c r="K196">
        <v>378</v>
      </c>
      <c r="L196">
        <v>898</v>
      </c>
      <c r="M196" s="1">
        <v>1471</v>
      </c>
      <c r="N196">
        <v>117</v>
      </c>
      <c r="O196" t="s">
        <v>2077</v>
      </c>
      <c r="P196" s="1" t="b">
        <f>NOT(OR(Table1[[#This Row],[State]]="Other Foreign Countries", Table1[[#This Row],[State]]="Unknown", Table1[[#This Row],[State]]="Puerto Rico all counties"))</f>
        <v>1</v>
      </c>
    </row>
    <row r="197" spans="1:16" x14ac:dyDescent="0.25">
      <c r="A197">
        <v>35001</v>
      </c>
      <c r="B197" t="s">
        <v>2971</v>
      </c>
      <c r="C197" t="s">
        <v>2972</v>
      </c>
      <c r="D197">
        <v>15993</v>
      </c>
      <c r="E197" s="1">
        <v>2895</v>
      </c>
      <c r="F197" s="1">
        <v>1575</v>
      </c>
      <c r="G197" s="1">
        <v>1806</v>
      </c>
      <c r="H197" s="1">
        <v>5306</v>
      </c>
      <c r="I197" s="1">
        <v>4411</v>
      </c>
      <c r="J197" s="1">
        <v>3980</v>
      </c>
      <c r="K197" s="1">
        <v>5487</v>
      </c>
      <c r="L197" s="1">
        <v>6526</v>
      </c>
      <c r="M197" s="1">
        <v>13879</v>
      </c>
      <c r="N197" s="1">
        <v>2114</v>
      </c>
      <c r="O197" t="s">
        <v>2973</v>
      </c>
      <c r="P197" s="1" t="b">
        <f>NOT(OR(Table1[[#This Row],[State]]="Other Foreign Countries", Table1[[#This Row],[State]]="Unknown", Table1[[#This Row],[State]]="Puerto Rico all counties"))</f>
        <v>1</v>
      </c>
    </row>
    <row r="198" spans="1:16" x14ac:dyDescent="0.25">
      <c r="A198">
        <v>13019</v>
      </c>
      <c r="B198" t="s">
        <v>754</v>
      </c>
      <c r="C198" t="s">
        <v>771</v>
      </c>
      <c r="D198">
        <v>498</v>
      </c>
      <c r="E198">
        <v>76</v>
      </c>
      <c r="F198">
        <v>53</v>
      </c>
      <c r="G198">
        <v>51</v>
      </c>
      <c r="H198">
        <v>180</v>
      </c>
      <c r="I198">
        <v>138</v>
      </c>
      <c r="J198">
        <v>146</v>
      </c>
      <c r="K198">
        <v>182</v>
      </c>
      <c r="L198">
        <v>170</v>
      </c>
      <c r="M198">
        <v>423</v>
      </c>
      <c r="N198">
        <v>75</v>
      </c>
      <c r="O198" t="s">
        <v>772</v>
      </c>
      <c r="P198" s="1" t="b">
        <f>NOT(OR(Table1[[#This Row],[State]]="Other Foreign Countries", Table1[[#This Row],[State]]="Unknown", Table1[[#This Row],[State]]="Puerto Rico all counties"))</f>
        <v>1</v>
      </c>
    </row>
    <row r="199" spans="1:16" x14ac:dyDescent="0.25">
      <c r="A199">
        <v>26021</v>
      </c>
      <c r="B199" t="s">
        <v>2099</v>
      </c>
      <c r="C199" t="s">
        <v>771</v>
      </c>
      <c r="D199">
        <v>2196</v>
      </c>
      <c r="E199">
        <v>476</v>
      </c>
      <c r="F199">
        <v>252</v>
      </c>
      <c r="G199">
        <v>282</v>
      </c>
      <c r="H199">
        <v>654</v>
      </c>
      <c r="I199">
        <v>532</v>
      </c>
      <c r="J199">
        <v>535</v>
      </c>
      <c r="K199">
        <v>609</v>
      </c>
      <c r="L199" s="1">
        <v>1052</v>
      </c>
      <c r="M199" s="1">
        <v>2011</v>
      </c>
      <c r="N199">
        <v>184</v>
      </c>
      <c r="O199" t="s">
        <v>2119</v>
      </c>
      <c r="P199" s="1" t="b">
        <f>NOT(OR(Table1[[#This Row],[State]]="Other Foreign Countries", Table1[[#This Row],[State]]="Unknown", Table1[[#This Row],[State]]="Puerto Rico all counties"))</f>
        <v>1</v>
      </c>
    </row>
    <row r="200" spans="1:16" x14ac:dyDescent="0.25">
      <c r="A200">
        <v>37015</v>
      </c>
      <c r="B200" t="s">
        <v>3121</v>
      </c>
      <c r="C200" t="s">
        <v>3135</v>
      </c>
      <c r="D200">
        <v>319</v>
      </c>
      <c r="E200">
        <v>64</v>
      </c>
      <c r="F200">
        <v>34</v>
      </c>
      <c r="G200">
        <v>34</v>
      </c>
      <c r="H200">
        <v>96</v>
      </c>
      <c r="I200">
        <v>91</v>
      </c>
      <c r="J200">
        <v>35</v>
      </c>
      <c r="K200">
        <v>113</v>
      </c>
      <c r="L200">
        <v>171</v>
      </c>
      <c r="M200">
        <v>293</v>
      </c>
      <c r="N200">
        <v>26</v>
      </c>
      <c r="O200" t="s">
        <v>3136</v>
      </c>
      <c r="P200" s="1" t="b">
        <f>NOT(OR(Table1[[#This Row],[State]]="Other Foreign Countries", Table1[[#This Row],[State]]="Unknown", Table1[[#This Row],[State]]="Puerto Rico all counties"))</f>
        <v>1</v>
      </c>
    </row>
    <row r="201" spans="1:16" x14ac:dyDescent="0.25">
      <c r="A201">
        <v>2050</v>
      </c>
      <c r="B201" t="s">
        <v>150</v>
      </c>
      <c r="C201" t="s">
        <v>157</v>
      </c>
      <c r="D201">
        <v>93</v>
      </c>
      <c r="E201">
        <v>33</v>
      </c>
      <c r="F201">
        <v>19</v>
      </c>
      <c r="G201">
        <v>10</v>
      </c>
      <c r="H201">
        <v>20</v>
      </c>
      <c r="I201">
        <v>11</v>
      </c>
      <c r="J201">
        <v>19</v>
      </c>
      <c r="K201">
        <v>49</v>
      </c>
      <c r="L201">
        <v>25</v>
      </c>
      <c r="M201">
        <v>82</v>
      </c>
      <c r="N201">
        <v>11</v>
      </c>
      <c r="O201" t="s">
        <v>158</v>
      </c>
      <c r="P201" s="1" t="b">
        <f>NOT(OR(Table1[[#This Row],[State]]="Other Foreign Countries", Table1[[#This Row],[State]]="Unknown", Table1[[#This Row],[State]]="Puerto Rico all counties"))</f>
        <v>1</v>
      </c>
    </row>
    <row r="202" spans="1:16" x14ac:dyDescent="0.25">
      <c r="A202">
        <v>48029</v>
      </c>
      <c r="B202" t="s">
        <v>2654</v>
      </c>
      <c r="C202" t="s">
        <v>4098</v>
      </c>
      <c r="D202">
        <v>95255</v>
      </c>
      <c r="E202" s="1">
        <v>12377</v>
      </c>
      <c r="F202" s="1">
        <v>7672</v>
      </c>
      <c r="G202" s="1">
        <v>8978</v>
      </c>
      <c r="H202" s="1">
        <v>28075</v>
      </c>
      <c r="I202" s="1">
        <v>38153</v>
      </c>
      <c r="J202" s="1">
        <v>30180</v>
      </c>
      <c r="K202" s="1">
        <v>37519</v>
      </c>
      <c r="L202" s="1">
        <v>27556</v>
      </c>
      <c r="M202" s="1">
        <v>76906</v>
      </c>
      <c r="N202" s="1">
        <v>18341</v>
      </c>
      <c r="O202" t="s">
        <v>4099</v>
      </c>
      <c r="P202" s="1" t="b">
        <f>NOT(OR(Table1[[#This Row],[State]]="Other Foreign Countries", Table1[[#This Row],[State]]="Unknown", Table1[[#This Row],[State]]="Puerto Rico all counties"))</f>
        <v>1</v>
      </c>
    </row>
    <row r="203" spans="1:16" x14ac:dyDescent="0.25">
      <c r="A203">
        <v>1007</v>
      </c>
      <c r="B203" t="s">
        <v>15</v>
      </c>
      <c r="C203" t="s">
        <v>22</v>
      </c>
      <c r="D203">
        <v>324</v>
      </c>
      <c r="E203">
        <v>52</v>
      </c>
      <c r="F203">
        <v>37</v>
      </c>
      <c r="G203">
        <v>37</v>
      </c>
      <c r="H203">
        <v>115</v>
      </c>
      <c r="I203">
        <v>83</v>
      </c>
      <c r="J203">
        <v>70</v>
      </c>
      <c r="K203">
        <v>118</v>
      </c>
      <c r="L203">
        <v>136</v>
      </c>
      <c r="M203">
        <v>298</v>
      </c>
      <c r="N203">
        <v>26</v>
      </c>
      <c r="O203" t="s">
        <v>23</v>
      </c>
      <c r="P203" s="1" t="b">
        <f>NOT(OR(Table1[[#This Row],[State]]="Other Foreign Countries", Table1[[#This Row],[State]]="Unknown", Table1[[#This Row],[State]]="Puerto Rico all counties"))</f>
        <v>1</v>
      </c>
    </row>
    <row r="204" spans="1:16" x14ac:dyDescent="0.25">
      <c r="A204">
        <v>13021</v>
      </c>
      <c r="B204" t="s">
        <v>754</v>
      </c>
      <c r="C204" t="s">
        <v>22</v>
      </c>
      <c r="D204">
        <v>4178</v>
      </c>
      <c r="E204">
        <v>749</v>
      </c>
      <c r="F204">
        <v>381</v>
      </c>
      <c r="G204">
        <v>448</v>
      </c>
      <c r="H204" s="1">
        <v>1399</v>
      </c>
      <c r="I204" s="1">
        <v>1201</v>
      </c>
      <c r="J204">
        <v>929</v>
      </c>
      <c r="K204" s="1">
        <v>1520</v>
      </c>
      <c r="L204" s="1">
        <v>1729</v>
      </c>
      <c r="M204" s="1">
        <v>3511</v>
      </c>
      <c r="N204">
        <v>667</v>
      </c>
      <c r="O204" t="s">
        <v>773</v>
      </c>
      <c r="P204" s="1" t="b">
        <f>NOT(OR(Table1[[#This Row],[State]]="Other Foreign Countries", Table1[[#This Row],[State]]="Unknown", Table1[[#This Row],[State]]="Puerto Rico all counties"))</f>
        <v>1</v>
      </c>
    </row>
    <row r="205" spans="1:16" x14ac:dyDescent="0.25">
      <c r="A205">
        <v>22013</v>
      </c>
      <c r="B205" t="s">
        <v>1892</v>
      </c>
      <c r="C205" t="s">
        <v>1904</v>
      </c>
      <c r="D205">
        <v>283</v>
      </c>
      <c r="E205">
        <v>46</v>
      </c>
      <c r="F205">
        <v>31</v>
      </c>
      <c r="G205">
        <v>34</v>
      </c>
      <c r="H205">
        <v>86</v>
      </c>
      <c r="I205">
        <v>86</v>
      </c>
      <c r="J205">
        <v>41</v>
      </c>
      <c r="K205">
        <v>104</v>
      </c>
      <c r="L205">
        <v>138</v>
      </c>
      <c r="M205">
        <v>247</v>
      </c>
      <c r="N205">
        <v>36</v>
      </c>
      <c r="O205" t="s">
        <v>1905</v>
      </c>
      <c r="P205" s="1" t="b">
        <f>NOT(OR(Table1[[#This Row],[State]]="Other Foreign Countries", Table1[[#This Row],[State]]="Unknown", Table1[[#This Row],[State]]="Puerto Rico all counties"))</f>
        <v>1</v>
      </c>
    </row>
    <row r="206" spans="1:16" x14ac:dyDescent="0.25">
      <c r="A206">
        <v>30003</v>
      </c>
      <c r="B206" t="s">
        <v>2665</v>
      </c>
      <c r="C206" t="s">
        <v>2668</v>
      </c>
      <c r="D206">
        <v>165</v>
      </c>
      <c r="E206">
        <v>35</v>
      </c>
      <c r="F206">
        <v>22</v>
      </c>
      <c r="G206">
        <v>22</v>
      </c>
      <c r="H206">
        <v>48</v>
      </c>
      <c r="I206">
        <v>38</v>
      </c>
      <c r="J206">
        <v>30</v>
      </c>
      <c r="K206">
        <v>60</v>
      </c>
      <c r="L206">
        <v>75</v>
      </c>
      <c r="M206">
        <v>147</v>
      </c>
      <c r="N206">
        <v>18</v>
      </c>
      <c r="O206" t="s">
        <v>2669</v>
      </c>
      <c r="P206" s="1" t="b">
        <f>NOT(OR(Table1[[#This Row],[State]]="Other Foreign Countries", Table1[[#This Row],[State]]="Unknown", Table1[[#This Row],[State]]="Puerto Rico all counties"))</f>
        <v>1</v>
      </c>
    </row>
    <row r="207" spans="1:16" x14ac:dyDescent="0.25">
      <c r="A207">
        <v>56003</v>
      </c>
      <c r="B207" t="s">
        <v>3117</v>
      </c>
      <c r="C207" t="s">
        <v>2668</v>
      </c>
      <c r="D207">
        <v>287</v>
      </c>
      <c r="E207">
        <v>80</v>
      </c>
      <c r="F207">
        <v>32</v>
      </c>
      <c r="G207">
        <v>27</v>
      </c>
      <c r="H207">
        <v>80</v>
      </c>
      <c r="I207">
        <v>68</v>
      </c>
      <c r="J207">
        <v>49</v>
      </c>
      <c r="K207">
        <v>105</v>
      </c>
      <c r="L207">
        <v>133</v>
      </c>
      <c r="M207">
        <v>262</v>
      </c>
      <c r="N207">
        <v>25</v>
      </c>
      <c r="O207" t="s">
        <v>5014</v>
      </c>
      <c r="P207" s="1" t="b">
        <f>NOT(OR(Table1[[#This Row],[State]]="Other Foreign Countries", Table1[[#This Row],[State]]="Unknown", Table1[[#This Row],[State]]="Puerto Rico all counties"))</f>
        <v>1</v>
      </c>
    </row>
    <row r="208" spans="1:16" x14ac:dyDescent="0.25">
      <c r="A208">
        <v>27011</v>
      </c>
      <c r="B208" t="s">
        <v>2245</v>
      </c>
      <c r="C208" t="s">
        <v>2255</v>
      </c>
      <c r="D208">
        <v>203</v>
      </c>
      <c r="E208">
        <v>95</v>
      </c>
      <c r="F208">
        <v>18</v>
      </c>
      <c r="G208">
        <v>27</v>
      </c>
      <c r="H208">
        <v>31</v>
      </c>
      <c r="I208">
        <v>32</v>
      </c>
      <c r="J208">
        <v>16</v>
      </c>
      <c r="K208">
        <v>39</v>
      </c>
      <c r="L208">
        <v>148</v>
      </c>
      <c r="O208" t="s">
        <v>2256</v>
      </c>
      <c r="P208" s="1" t="b">
        <f>NOT(OR(Table1[[#This Row],[State]]="Other Foreign Countries", Table1[[#This Row],[State]]="Unknown", Table1[[#This Row],[State]]="Puerto Rico all counties"))</f>
        <v>1</v>
      </c>
    </row>
    <row r="209" spans="1:16" x14ac:dyDescent="0.25">
      <c r="A209">
        <v>38007</v>
      </c>
      <c r="B209" t="s">
        <v>3286</v>
      </c>
      <c r="C209" t="s">
        <v>3292</v>
      </c>
      <c r="D209">
        <v>18</v>
      </c>
      <c r="O209" t="s">
        <v>3293</v>
      </c>
      <c r="P209" s="1" t="b">
        <f>NOT(OR(Table1[[#This Row],[State]]="Other Foreign Countries", Table1[[#This Row],[State]]="Unknown", Table1[[#This Row],[State]]="Puerto Rico all counties"))</f>
        <v>1</v>
      </c>
    </row>
    <row r="210" spans="1:16" x14ac:dyDescent="0.25">
      <c r="A210">
        <v>16011</v>
      </c>
      <c r="B210" t="s">
        <v>1032</v>
      </c>
      <c r="C210" t="s">
        <v>1042</v>
      </c>
      <c r="D210">
        <v>799</v>
      </c>
      <c r="E210">
        <v>174</v>
      </c>
      <c r="F210">
        <v>115</v>
      </c>
      <c r="G210">
        <v>93</v>
      </c>
      <c r="H210">
        <v>248</v>
      </c>
      <c r="I210">
        <v>169</v>
      </c>
      <c r="J210">
        <v>236</v>
      </c>
      <c r="K210">
        <v>244</v>
      </c>
      <c r="L210">
        <v>319</v>
      </c>
      <c r="M210">
        <v>730</v>
      </c>
      <c r="N210">
        <v>69</v>
      </c>
      <c r="O210" t="s">
        <v>1043</v>
      </c>
      <c r="P210" s="1" t="b">
        <f>NOT(OR(Table1[[#This Row],[State]]="Other Foreign Countries", Table1[[#This Row],[State]]="Unknown", Table1[[#This Row],[State]]="Puerto Rico all counties"))</f>
        <v>1</v>
      </c>
    </row>
    <row r="211" spans="1:16" x14ac:dyDescent="0.25">
      <c r="A211">
        <v>19013</v>
      </c>
      <c r="B211" t="s">
        <v>1399</v>
      </c>
      <c r="C211" t="s">
        <v>1410</v>
      </c>
      <c r="D211">
        <v>1789</v>
      </c>
      <c r="E211">
        <v>441</v>
      </c>
      <c r="F211">
        <v>244</v>
      </c>
      <c r="G211">
        <v>280</v>
      </c>
      <c r="H211">
        <v>468</v>
      </c>
      <c r="I211">
        <v>356</v>
      </c>
      <c r="J211">
        <v>415</v>
      </c>
      <c r="K211">
        <v>549</v>
      </c>
      <c r="L211">
        <v>825</v>
      </c>
      <c r="M211" s="1">
        <v>1617</v>
      </c>
      <c r="N211">
        <v>172</v>
      </c>
      <c r="O211" t="s">
        <v>1411</v>
      </c>
      <c r="P211" s="1" t="b">
        <f>NOT(OR(Table1[[#This Row],[State]]="Other Foreign Countries", Table1[[#This Row],[State]]="Unknown", Table1[[#This Row],[State]]="Puerto Rico all counties"))</f>
        <v>1</v>
      </c>
    </row>
    <row r="212" spans="1:16" x14ac:dyDescent="0.25">
      <c r="A212">
        <v>18009</v>
      </c>
      <c r="B212" t="s">
        <v>1266</v>
      </c>
      <c r="C212" t="s">
        <v>1273</v>
      </c>
      <c r="D212">
        <v>327</v>
      </c>
      <c r="E212">
        <v>102</v>
      </c>
      <c r="F212">
        <v>44</v>
      </c>
      <c r="G212">
        <v>42</v>
      </c>
      <c r="H212">
        <v>93</v>
      </c>
      <c r="I212">
        <v>46</v>
      </c>
      <c r="J212">
        <v>86</v>
      </c>
      <c r="K212">
        <v>91</v>
      </c>
      <c r="L212">
        <v>150</v>
      </c>
      <c r="M212">
        <v>307</v>
      </c>
      <c r="N212">
        <v>20</v>
      </c>
      <c r="O212" t="s">
        <v>1274</v>
      </c>
      <c r="P212" s="1" t="b">
        <f>NOT(OR(Table1[[#This Row],[State]]="Other Foreign Countries", Table1[[#This Row],[State]]="Unknown", Table1[[#This Row],[State]]="Puerto Rico all counties"))</f>
        <v>1</v>
      </c>
    </row>
    <row r="213" spans="1:16" x14ac:dyDescent="0.25">
      <c r="A213">
        <v>37017</v>
      </c>
      <c r="B213" t="s">
        <v>3121</v>
      </c>
      <c r="C213" t="s">
        <v>3137</v>
      </c>
      <c r="D213">
        <v>923</v>
      </c>
      <c r="E213">
        <v>121</v>
      </c>
      <c r="F213">
        <v>72</v>
      </c>
      <c r="G213">
        <v>86</v>
      </c>
      <c r="H213">
        <v>311</v>
      </c>
      <c r="I213">
        <v>333</v>
      </c>
      <c r="J213">
        <v>163</v>
      </c>
      <c r="K213">
        <v>318</v>
      </c>
      <c r="L213">
        <v>442</v>
      </c>
      <c r="M213">
        <v>822</v>
      </c>
      <c r="N213">
        <v>101</v>
      </c>
      <c r="O213" t="s">
        <v>3138</v>
      </c>
      <c r="P213" s="1" t="b">
        <f>NOT(OR(Table1[[#This Row],[State]]="Other Foreign Countries", Table1[[#This Row],[State]]="Unknown", Table1[[#This Row],[State]]="Puerto Rico all counties"))</f>
        <v>1</v>
      </c>
    </row>
    <row r="214" spans="1:16" x14ac:dyDescent="0.25">
      <c r="A214">
        <v>16013</v>
      </c>
      <c r="B214" t="s">
        <v>1032</v>
      </c>
      <c r="C214" t="s">
        <v>1044</v>
      </c>
      <c r="D214">
        <v>188</v>
      </c>
      <c r="E214">
        <v>50</v>
      </c>
      <c r="F214">
        <v>27</v>
      </c>
      <c r="G214">
        <v>22</v>
      </c>
      <c r="H214">
        <v>49</v>
      </c>
      <c r="I214">
        <v>40</v>
      </c>
      <c r="J214">
        <v>49</v>
      </c>
      <c r="K214">
        <v>51</v>
      </c>
      <c r="L214">
        <v>88</v>
      </c>
      <c r="M214">
        <v>174</v>
      </c>
      <c r="N214">
        <v>14</v>
      </c>
      <c r="O214" t="s">
        <v>1045</v>
      </c>
      <c r="P214" s="1" t="b">
        <f>NOT(OR(Table1[[#This Row],[State]]="Other Foreign Countries", Table1[[#This Row],[State]]="Unknown", Table1[[#This Row],[State]]="Puerto Rico all counties"))</f>
        <v>1</v>
      </c>
    </row>
    <row r="215" spans="1:16" x14ac:dyDescent="0.25">
      <c r="A215">
        <v>30005</v>
      </c>
      <c r="B215" t="s">
        <v>2665</v>
      </c>
      <c r="C215" t="s">
        <v>1044</v>
      </c>
      <c r="D215">
        <v>138</v>
      </c>
      <c r="E215">
        <v>33</v>
      </c>
      <c r="F215">
        <v>19</v>
      </c>
      <c r="G215">
        <v>20</v>
      </c>
      <c r="H215">
        <v>43</v>
      </c>
      <c r="I215">
        <v>23</v>
      </c>
      <c r="J215">
        <v>40</v>
      </c>
      <c r="K215">
        <v>34</v>
      </c>
      <c r="L215">
        <v>64</v>
      </c>
      <c r="M215">
        <v>123</v>
      </c>
      <c r="N215">
        <v>15</v>
      </c>
      <c r="O215" t="s">
        <v>2670</v>
      </c>
      <c r="P215" s="1" t="b">
        <f>NOT(OR(Table1[[#This Row],[State]]="Other Foreign Countries", Table1[[#This Row],[State]]="Unknown", Table1[[#This Row],[State]]="Puerto Rico all counties"))</f>
        <v>1</v>
      </c>
    </row>
    <row r="216" spans="1:16" x14ac:dyDescent="0.25">
      <c r="A216">
        <v>31009</v>
      </c>
      <c r="B216" t="s">
        <v>2758</v>
      </c>
      <c r="C216" t="s">
        <v>1044</v>
      </c>
      <c r="O216" t="s">
        <v>2766</v>
      </c>
      <c r="P216" s="1" t="b">
        <f>NOT(OR(Table1[[#This Row],[State]]="Other Foreign Countries", Table1[[#This Row],[State]]="Unknown", Table1[[#This Row],[State]]="Puerto Rico all counties"))</f>
        <v>1</v>
      </c>
    </row>
    <row r="217" spans="1:16" x14ac:dyDescent="0.25">
      <c r="A217">
        <v>40011</v>
      </c>
      <c r="B217" t="s">
        <v>3495</v>
      </c>
      <c r="C217" t="s">
        <v>1044</v>
      </c>
      <c r="D217">
        <v>184</v>
      </c>
      <c r="E217">
        <v>46</v>
      </c>
      <c r="F217">
        <v>17</v>
      </c>
      <c r="G217">
        <v>26</v>
      </c>
      <c r="H217">
        <v>53</v>
      </c>
      <c r="I217">
        <v>42</v>
      </c>
      <c r="J217">
        <v>36</v>
      </c>
      <c r="K217">
        <v>49</v>
      </c>
      <c r="L217">
        <v>99</v>
      </c>
      <c r="M217">
        <v>168</v>
      </c>
      <c r="N217">
        <v>15</v>
      </c>
      <c r="O217" t="s">
        <v>3505</v>
      </c>
      <c r="P217" s="1" t="b">
        <f>NOT(OR(Table1[[#This Row],[State]]="Other Foreign Countries", Table1[[#This Row],[State]]="Unknown", Table1[[#This Row],[State]]="Puerto Rico all counties"))</f>
        <v>1</v>
      </c>
    </row>
    <row r="218" spans="1:16" x14ac:dyDescent="0.25">
      <c r="A218">
        <v>42013</v>
      </c>
      <c r="B218" t="s">
        <v>3665</v>
      </c>
      <c r="C218" t="s">
        <v>3676</v>
      </c>
      <c r="D218">
        <v>2862</v>
      </c>
      <c r="E218">
        <v>659</v>
      </c>
      <c r="F218">
        <v>348</v>
      </c>
      <c r="G218">
        <v>365</v>
      </c>
      <c r="H218">
        <v>829</v>
      </c>
      <c r="I218">
        <v>661</v>
      </c>
      <c r="J218">
        <v>563</v>
      </c>
      <c r="K218">
        <v>894</v>
      </c>
      <c r="L218" s="1">
        <v>1405</v>
      </c>
      <c r="M218" s="1">
        <v>2629</v>
      </c>
      <c r="N218">
        <v>233</v>
      </c>
      <c r="O218" t="s">
        <v>3677</v>
      </c>
      <c r="P218" s="1" t="b">
        <f>NOT(OR(Table1[[#This Row],[State]]="Other Foreign Countries", Table1[[#This Row],[State]]="Unknown", Table1[[#This Row],[State]]="Puerto Rico all counties"))</f>
        <v>1</v>
      </c>
    </row>
    <row r="219" spans="1:16" x14ac:dyDescent="0.25">
      <c r="A219">
        <v>48031</v>
      </c>
      <c r="B219" t="s">
        <v>2654</v>
      </c>
      <c r="C219" t="s">
        <v>4100</v>
      </c>
      <c r="D219">
        <v>409</v>
      </c>
      <c r="E219">
        <v>82</v>
      </c>
      <c r="F219">
        <v>40</v>
      </c>
      <c r="G219">
        <v>41</v>
      </c>
      <c r="H219">
        <v>123</v>
      </c>
      <c r="I219">
        <v>123</v>
      </c>
      <c r="J219">
        <v>82</v>
      </c>
      <c r="K219">
        <v>142</v>
      </c>
      <c r="L219">
        <v>185</v>
      </c>
      <c r="M219">
        <v>352</v>
      </c>
      <c r="N219">
        <v>57</v>
      </c>
      <c r="O219" t="s">
        <v>4101</v>
      </c>
      <c r="P219" s="1" t="b">
        <f>NOT(OR(Table1[[#This Row],[State]]="Other Foreign Countries", Table1[[#This Row],[State]]="Unknown", Table1[[#This Row],[State]]="Puerto Rico all counties"))</f>
        <v>1</v>
      </c>
    </row>
    <row r="220" spans="1:16" x14ac:dyDescent="0.25">
      <c r="A220">
        <v>51021</v>
      </c>
      <c r="B220" t="s">
        <v>4555</v>
      </c>
      <c r="C220" t="s">
        <v>4573</v>
      </c>
      <c r="D220">
        <v>161</v>
      </c>
      <c r="E220">
        <v>24</v>
      </c>
      <c r="F220">
        <v>17</v>
      </c>
      <c r="G220">
        <v>18</v>
      </c>
      <c r="H220">
        <v>58</v>
      </c>
      <c r="I220">
        <v>44</v>
      </c>
      <c r="J220">
        <v>30</v>
      </c>
      <c r="K220">
        <v>49</v>
      </c>
      <c r="L220">
        <v>82</v>
      </c>
      <c r="M220">
        <v>150</v>
      </c>
      <c r="N220">
        <v>11</v>
      </c>
      <c r="O220" t="s">
        <v>4574</v>
      </c>
      <c r="P220" s="1" t="b">
        <f>NOT(OR(Table1[[#This Row],[State]]="Other Foreign Countries", Table1[[#This Row],[State]]="Unknown", Table1[[#This Row],[State]]="Puerto Rico all counties"))</f>
        <v>1</v>
      </c>
    </row>
    <row r="221" spans="1:16" x14ac:dyDescent="0.25">
      <c r="A221">
        <v>13023</v>
      </c>
      <c r="B221" t="s">
        <v>754</v>
      </c>
      <c r="C221" t="s">
        <v>774</v>
      </c>
      <c r="D221">
        <v>357</v>
      </c>
      <c r="E221">
        <v>60</v>
      </c>
      <c r="F221">
        <v>35</v>
      </c>
      <c r="G221">
        <v>28</v>
      </c>
      <c r="H221">
        <v>129</v>
      </c>
      <c r="I221">
        <v>105</v>
      </c>
      <c r="J221">
        <v>85</v>
      </c>
      <c r="K221">
        <v>137</v>
      </c>
      <c r="L221">
        <v>135</v>
      </c>
      <c r="M221">
        <v>315</v>
      </c>
      <c r="N221">
        <v>42</v>
      </c>
      <c r="O221" t="s">
        <v>775</v>
      </c>
      <c r="P221" s="1" t="b">
        <f>NOT(OR(Table1[[#This Row],[State]]="Other Foreign Countries", Table1[[#This Row],[State]]="Unknown", Table1[[#This Row],[State]]="Puerto Rico all counties"))</f>
        <v>1</v>
      </c>
    </row>
    <row r="222" spans="1:16" x14ac:dyDescent="0.25">
      <c r="A222">
        <v>47007</v>
      </c>
      <c r="B222" t="s">
        <v>3951</v>
      </c>
      <c r="C222" t="s">
        <v>3955</v>
      </c>
      <c r="D222">
        <v>325</v>
      </c>
      <c r="E222">
        <v>67</v>
      </c>
      <c r="F222">
        <v>29</v>
      </c>
      <c r="G222">
        <v>46</v>
      </c>
      <c r="H222">
        <v>87</v>
      </c>
      <c r="I222">
        <v>96</v>
      </c>
      <c r="J222">
        <v>65</v>
      </c>
      <c r="K222">
        <v>108</v>
      </c>
      <c r="L222">
        <v>152</v>
      </c>
      <c r="M222">
        <v>298</v>
      </c>
      <c r="N222">
        <v>27</v>
      </c>
      <c r="O222" t="s">
        <v>3956</v>
      </c>
      <c r="P222" s="1" t="b">
        <f>NOT(OR(Table1[[#This Row],[State]]="Other Foreign Countries", Table1[[#This Row],[State]]="Unknown", Table1[[#This Row],[State]]="Puerto Rico all counties"))</f>
        <v>1</v>
      </c>
    </row>
    <row r="223" spans="1:16" x14ac:dyDescent="0.25">
      <c r="A223">
        <v>1009</v>
      </c>
      <c r="B223" t="s">
        <v>15</v>
      </c>
      <c r="C223" t="s">
        <v>24</v>
      </c>
      <c r="D223">
        <v>1088</v>
      </c>
      <c r="E223">
        <v>182</v>
      </c>
      <c r="F223">
        <v>132</v>
      </c>
      <c r="G223">
        <v>146</v>
      </c>
      <c r="H223">
        <v>342</v>
      </c>
      <c r="I223">
        <v>286</v>
      </c>
      <c r="J223">
        <v>288</v>
      </c>
      <c r="K223">
        <v>326</v>
      </c>
      <c r="L223">
        <v>474</v>
      </c>
      <c r="M223" s="1">
        <v>1011</v>
      </c>
      <c r="N223">
        <v>77</v>
      </c>
      <c r="O223" t="s">
        <v>25</v>
      </c>
      <c r="P223" s="1" t="b">
        <f>NOT(OR(Table1[[#This Row],[State]]="Other Foreign Countries", Table1[[#This Row],[State]]="Unknown", Table1[[#This Row],[State]]="Puerto Rico all counties"))</f>
        <v>1</v>
      </c>
    </row>
    <row r="224" spans="1:16" x14ac:dyDescent="0.25">
      <c r="A224">
        <v>47009</v>
      </c>
      <c r="B224" t="s">
        <v>3951</v>
      </c>
      <c r="C224" t="s">
        <v>24</v>
      </c>
      <c r="D224">
        <v>4019</v>
      </c>
      <c r="E224" s="1">
        <v>1022</v>
      </c>
      <c r="F224">
        <v>445</v>
      </c>
      <c r="G224">
        <v>472</v>
      </c>
      <c r="H224" s="1">
        <v>1082</v>
      </c>
      <c r="I224">
        <v>998</v>
      </c>
      <c r="J224">
        <v>957</v>
      </c>
      <c r="K224" s="1">
        <v>1276</v>
      </c>
      <c r="L224" s="1">
        <v>1786</v>
      </c>
      <c r="M224" s="1">
        <v>3633</v>
      </c>
      <c r="N224">
        <v>386</v>
      </c>
      <c r="O224" t="s">
        <v>3957</v>
      </c>
      <c r="P224" s="1" t="b">
        <f>NOT(OR(Table1[[#This Row],[State]]="Other Foreign Countries", Table1[[#This Row],[State]]="Unknown", Table1[[#This Row],[State]]="Puerto Rico all counties"))</f>
        <v>1</v>
      </c>
    </row>
    <row r="225" spans="1:16" x14ac:dyDescent="0.25">
      <c r="A225">
        <v>27013</v>
      </c>
      <c r="B225" t="s">
        <v>2245</v>
      </c>
      <c r="C225" t="s">
        <v>2257</v>
      </c>
      <c r="D225">
        <v>1352</v>
      </c>
      <c r="E225">
        <v>543</v>
      </c>
      <c r="F225">
        <v>179</v>
      </c>
      <c r="G225">
        <v>134</v>
      </c>
      <c r="H225">
        <v>284</v>
      </c>
      <c r="I225">
        <v>212</v>
      </c>
      <c r="J225">
        <v>312</v>
      </c>
      <c r="K225">
        <v>303</v>
      </c>
      <c r="L225">
        <v>737</v>
      </c>
      <c r="M225" s="1">
        <v>1260</v>
      </c>
      <c r="N225">
        <v>91</v>
      </c>
      <c r="O225" t="s">
        <v>2258</v>
      </c>
      <c r="P225" s="1" t="b">
        <f>NOT(OR(Table1[[#This Row],[State]]="Other Foreign Countries", Table1[[#This Row],[State]]="Unknown", Table1[[#This Row],[State]]="Puerto Rico all counties"))</f>
        <v>1</v>
      </c>
    </row>
    <row r="226" spans="1:16" x14ac:dyDescent="0.25">
      <c r="A226">
        <v>16015</v>
      </c>
      <c r="B226" t="s">
        <v>1032</v>
      </c>
      <c r="C226" t="s">
        <v>1046</v>
      </c>
      <c r="D226">
        <v>393</v>
      </c>
      <c r="E226">
        <v>93</v>
      </c>
      <c r="F226">
        <v>50</v>
      </c>
      <c r="G226">
        <v>49</v>
      </c>
      <c r="H226">
        <v>106</v>
      </c>
      <c r="I226">
        <v>95</v>
      </c>
      <c r="J226">
        <v>80</v>
      </c>
      <c r="K226">
        <v>129</v>
      </c>
      <c r="L226">
        <v>184</v>
      </c>
      <c r="M226">
        <v>359</v>
      </c>
      <c r="N226">
        <v>34</v>
      </c>
      <c r="O226" t="s">
        <v>1047</v>
      </c>
      <c r="P226" s="1" t="b">
        <f>NOT(OR(Table1[[#This Row],[State]]="Other Foreign Countries", Table1[[#This Row],[State]]="Unknown", Table1[[#This Row],[State]]="Puerto Rico all counties"))</f>
        <v>1</v>
      </c>
    </row>
    <row r="227" spans="1:16" x14ac:dyDescent="0.25">
      <c r="A227">
        <v>28011</v>
      </c>
      <c r="B227" t="s">
        <v>322</v>
      </c>
      <c r="C227" t="s">
        <v>2402</v>
      </c>
      <c r="D227">
        <v>380</v>
      </c>
      <c r="E227">
        <v>60</v>
      </c>
      <c r="F227">
        <v>34</v>
      </c>
      <c r="G227">
        <v>40</v>
      </c>
      <c r="H227">
        <v>135</v>
      </c>
      <c r="I227">
        <v>111</v>
      </c>
      <c r="J227">
        <v>66</v>
      </c>
      <c r="K227">
        <v>149</v>
      </c>
      <c r="L227">
        <v>165</v>
      </c>
      <c r="M227">
        <v>347</v>
      </c>
      <c r="N227">
        <v>33</v>
      </c>
      <c r="O227" t="s">
        <v>2403</v>
      </c>
      <c r="P227" s="1" t="b">
        <f>NOT(OR(Table1[[#This Row],[State]]="Other Foreign Countries", Table1[[#This Row],[State]]="Unknown", Table1[[#This Row],[State]]="Puerto Rico all counties"))</f>
        <v>1</v>
      </c>
    </row>
    <row r="228" spans="1:16" x14ac:dyDescent="0.25">
      <c r="A228">
        <v>29017</v>
      </c>
      <c r="B228" t="s">
        <v>2510</v>
      </c>
      <c r="C228" t="s">
        <v>2522</v>
      </c>
      <c r="D228">
        <v>291</v>
      </c>
      <c r="E228">
        <v>55</v>
      </c>
      <c r="F228">
        <v>33</v>
      </c>
      <c r="G228">
        <v>39</v>
      </c>
      <c r="H228">
        <v>82</v>
      </c>
      <c r="I228">
        <v>82</v>
      </c>
      <c r="J228">
        <v>60</v>
      </c>
      <c r="K228">
        <v>87</v>
      </c>
      <c r="L228">
        <v>144</v>
      </c>
      <c r="M228">
        <v>268</v>
      </c>
      <c r="N228">
        <v>23</v>
      </c>
      <c r="O228" t="s">
        <v>2523</v>
      </c>
      <c r="P228" s="1" t="b">
        <f>NOT(OR(Table1[[#This Row],[State]]="Other Foreign Countries", Table1[[#This Row],[State]]="Unknown", Table1[[#This Row],[State]]="Puerto Rico all counties"))</f>
        <v>1</v>
      </c>
    </row>
    <row r="229" spans="1:16" x14ac:dyDescent="0.25">
      <c r="A229">
        <v>46009</v>
      </c>
      <c r="B229" t="s">
        <v>3846</v>
      </c>
      <c r="C229" t="s">
        <v>3853</v>
      </c>
      <c r="D229">
        <v>143</v>
      </c>
      <c r="E229">
        <v>49</v>
      </c>
      <c r="F229">
        <v>32</v>
      </c>
      <c r="G229">
        <v>18</v>
      </c>
      <c r="H229">
        <v>27</v>
      </c>
      <c r="I229">
        <v>17</v>
      </c>
      <c r="J229">
        <v>27</v>
      </c>
      <c r="K229">
        <v>38</v>
      </c>
      <c r="L229">
        <v>78</v>
      </c>
      <c r="O229" t="s">
        <v>3854</v>
      </c>
      <c r="P229" s="1" t="b">
        <f>NOT(OR(Table1[[#This Row],[State]]="Other Foreign Countries", Table1[[#This Row],[State]]="Unknown", Table1[[#This Row],[State]]="Puerto Rico all counties"))</f>
        <v>1</v>
      </c>
    </row>
    <row r="230" spans="1:16" x14ac:dyDescent="0.25">
      <c r="A230">
        <v>17005</v>
      </c>
      <c r="B230" t="s">
        <v>1109</v>
      </c>
      <c r="C230" t="s">
        <v>1113</v>
      </c>
      <c r="D230">
        <v>274</v>
      </c>
      <c r="E230">
        <v>47</v>
      </c>
      <c r="F230">
        <v>29</v>
      </c>
      <c r="G230">
        <v>20</v>
      </c>
      <c r="H230">
        <v>97</v>
      </c>
      <c r="I230">
        <v>81</v>
      </c>
      <c r="J230">
        <v>74</v>
      </c>
      <c r="K230">
        <v>81</v>
      </c>
      <c r="L230">
        <v>119</v>
      </c>
      <c r="M230">
        <v>252</v>
      </c>
      <c r="N230">
        <v>22</v>
      </c>
      <c r="O230" t="s">
        <v>1114</v>
      </c>
      <c r="P230" s="1" t="b">
        <f>NOT(OR(Table1[[#This Row],[State]]="Other Foreign Countries", Table1[[#This Row],[State]]="Unknown", Table1[[#This Row],[State]]="Puerto Rico all counties"))</f>
        <v>1</v>
      </c>
    </row>
    <row r="231" spans="1:16" x14ac:dyDescent="0.25">
      <c r="A231">
        <v>16017</v>
      </c>
      <c r="B231" t="s">
        <v>1032</v>
      </c>
      <c r="C231" t="s">
        <v>1048</v>
      </c>
      <c r="D231">
        <v>1672</v>
      </c>
      <c r="E231">
        <v>437</v>
      </c>
      <c r="F231">
        <v>211</v>
      </c>
      <c r="G231">
        <v>174</v>
      </c>
      <c r="H231">
        <v>460</v>
      </c>
      <c r="I231">
        <v>390</v>
      </c>
      <c r="J231">
        <v>349</v>
      </c>
      <c r="K231">
        <v>514</v>
      </c>
      <c r="L231">
        <v>809</v>
      </c>
      <c r="M231" s="1">
        <v>1520</v>
      </c>
      <c r="N231">
        <v>152</v>
      </c>
      <c r="O231" t="s">
        <v>1049</v>
      </c>
      <c r="P231" s="1" t="b">
        <f>NOT(OR(Table1[[#This Row],[State]]="Other Foreign Countries", Table1[[#This Row],[State]]="Unknown", Table1[[#This Row],[State]]="Puerto Rico all counties"))</f>
        <v>1</v>
      </c>
    </row>
    <row r="232" spans="1:16" x14ac:dyDescent="0.25">
      <c r="A232">
        <v>16019</v>
      </c>
      <c r="B232" t="s">
        <v>1032</v>
      </c>
      <c r="C232" t="s">
        <v>1050</v>
      </c>
      <c r="D232">
        <v>2301</v>
      </c>
      <c r="E232">
        <v>559</v>
      </c>
      <c r="F232">
        <v>264</v>
      </c>
      <c r="G232">
        <v>265</v>
      </c>
      <c r="H232">
        <v>664</v>
      </c>
      <c r="I232">
        <v>549</v>
      </c>
      <c r="J232">
        <v>769</v>
      </c>
      <c r="K232">
        <v>708</v>
      </c>
      <c r="L232">
        <v>824</v>
      </c>
      <c r="M232" s="1">
        <v>2093</v>
      </c>
      <c r="N232">
        <v>208</v>
      </c>
      <c r="O232" t="s">
        <v>1051</v>
      </c>
      <c r="P232" s="1" t="b">
        <f>NOT(OR(Table1[[#This Row],[State]]="Other Foreign Countries", Table1[[#This Row],[State]]="Unknown", Table1[[#This Row],[State]]="Puerto Rico all counties"))</f>
        <v>1</v>
      </c>
    </row>
    <row r="233" spans="1:16" x14ac:dyDescent="0.25">
      <c r="A233">
        <v>5009</v>
      </c>
      <c r="B233" t="s">
        <v>242</v>
      </c>
      <c r="C233" t="s">
        <v>250</v>
      </c>
      <c r="D233">
        <v>880</v>
      </c>
      <c r="E233">
        <v>141</v>
      </c>
      <c r="F233">
        <v>95</v>
      </c>
      <c r="G233">
        <v>90</v>
      </c>
      <c r="H233">
        <v>305</v>
      </c>
      <c r="I233">
        <v>249</v>
      </c>
      <c r="J233">
        <v>218</v>
      </c>
      <c r="K233">
        <v>279</v>
      </c>
      <c r="L233">
        <v>383</v>
      </c>
      <c r="M233">
        <v>815</v>
      </c>
      <c r="N233">
        <v>65</v>
      </c>
      <c r="O233" t="s">
        <v>251</v>
      </c>
      <c r="P233" s="1" t="b">
        <f>NOT(OR(Table1[[#This Row],[State]]="Other Foreign Countries", Table1[[#This Row],[State]]="Unknown", Table1[[#This Row],[State]]="Puerto Rico all counties"))</f>
        <v>1</v>
      </c>
    </row>
    <row r="234" spans="1:16" x14ac:dyDescent="0.25">
      <c r="A234">
        <v>17007</v>
      </c>
      <c r="B234" t="s">
        <v>1109</v>
      </c>
      <c r="C234" t="s">
        <v>250</v>
      </c>
      <c r="D234">
        <v>629</v>
      </c>
      <c r="E234">
        <v>123</v>
      </c>
      <c r="F234">
        <v>73</v>
      </c>
      <c r="G234">
        <v>67</v>
      </c>
      <c r="H234">
        <v>224</v>
      </c>
      <c r="I234">
        <v>142</v>
      </c>
      <c r="J234">
        <v>191</v>
      </c>
      <c r="K234">
        <v>174</v>
      </c>
      <c r="L234">
        <v>264</v>
      </c>
      <c r="M234">
        <v>577</v>
      </c>
      <c r="N234">
        <v>52</v>
      </c>
      <c r="O234" t="s">
        <v>1115</v>
      </c>
      <c r="P234" s="1" t="b">
        <f>NOT(OR(Table1[[#This Row],[State]]="Other Foreign Countries", Table1[[#This Row],[State]]="Unknown", Table1[[#This Row],[State]]="Puerto Rico all counties"))</f>
        <v>1</v>
      </c>
    </row>
    <row r="235" spans="1:16" x14ac:dyDescent="0.25">
      <c r="A235">
        <v>18011</v>
      </c>
      <c r="B235" t="s">
        <v>1266</v>
      </c>
      <c r="C235" t="s">
        <v>250</v>
      </c>
      <c r="D235">
        <v>1024</v>
      </c>
      <c r="E235">
        <v>277</v>
      </c>
      <c r="F235">
        <v>153</v>
      </c>
      <c r="G235">
        <v>146</v>
      </c>
      <c r="H235">
        <v>259</v>
      </c>
      <c r="I235">
        <v>189</v>
      </c>
      <c r="J235">
        <v>347</v>
      </c>
      <c r="K235">
        <v>320</v>
      </c>
      <c r="L235">
        <v>357</v>
      </c>
      <c r="M235">
        <v>933</v>
      </c>
      <c r="N235">
        <v>91</v>
      </c>
      <c r="O235" t="s">
        <v>1275</v>
      </c>
      <c r="P235" s="1" t="b">
        <f>NOT(OR(Table1[[#This Row],[State]]="Other Foreign Countries", Table1[[#This Row],[State]]="Unknown", Table1[[#This Row],[State]]="Puerto Rico all counties"))</f>
        <v>1</v>
      </c>
    </row>
    <row r="236" spans="1:16" x14ac:dyDescent="0.25">
      <c r="A236">
        <v>19015</v>
      </c>
      <c r="B236" t="s">
        <v>1399</v>
      </c>
      <c r="C236" t="s">
        <v>250</v>
      </c>
      <c r="D236">
        <v>627</v>
      </c>
      <c r="E236">
        <v>184</v>
      </c>
      <c r="F236">
        <v>76</v>
      </c>
      <c r="G236">
        <v>82</v>
      </c>
      <c r="H236">
        <v>151</v>
      </c>
      <c r="I236">
        <v>134</v>
      </c>
      <c r="J236">
        <v>142</v>
      </c>
      <c r="K236">
        <v>198</v>
      </c>
      <c r="L236">
        <v>287</v>
      </c>
      <c r="M236">
        <v>583</v>
      </c>
      <c r="N236">
        <v>44</v>
      </c>
      <c r="O236" t="s">
        <v>1412</v>
      </c>
      <c r="P236" s="1" t="b">
        <f>NOT(OR(Table1[[#This Row],[State]]="Other Foreign Countries", Table1[[#This Row],[State]]="Unknown", Table1[[#This Row],[State]]="Puerto Rico all counties"))</f>
        <v>1</v>
      </c>
    </row>
    <row r="237" spans="1:16" x14ac:dyDescent="0.25">
      <c r="A237">
        <v>21015</v>
      </c>
      <c r="B237" t="s">
        <v>1716</v>
      </c>
      <c r="C237" t="s">
        <v>250</v>
      </c>
      <c r="D237">
        <v>2522</v>
      </c>
      <c r="E237">
        <v>594</v>
      </c>
      <c r="F237">
        <v>331</v>
      </c>
      <c r="G237">
        <v>356</v>
      </c>
      <c r="H237">
        <v>699</v>
      </c>
      <c r="I237">
        <v>542</v>
      </c>
      <c r="J237">
        <v>814</v>
      </c>
      <c r="K237">
        <v>803</v>
      </c>
      <c r="L237">
        <v>905</v>
      </c>
      <c r="M237" s="1">
        <v>2281</v>
      </c>
      <c r="N237">
        <v>241</v>
      </c>
      <c r="O237" t="s">
        <v>1728</v>
      </c>
      <c r="P237" s="1" t="b">
        <f>NOT(OR(Table1[[#This Row],[State]]="Other Foreign Countries", Table1[[#This Row],[State]]="Unknown", Table1[[#This Row],[State]]="Puerto Rico all counties"))</f>
        <v>1</v>
      </c>
    </row>
    <row r="238" spans="1:16" x14ac:dyDescent="0.25">
      <c r="A238">
        <v>29019</v>
      </c>
      <c r="B238" t="s">
        <v>2510</v>
      </c>
      <c r="C238" t="s">
        <v>250</v>
      </c>
      <c r="D238">
        <v>3771</v>
      </c>
      <c r="E238" s="1">
        <v>1055</v>
      </c>
      <c r="F238">
        <v>486</v>
      </c>
      <c r="G238">
        <v>422</v>
      </c>
      <c r="H238" s="1">
        <v>1070</v>
      </c>
      <c r="I238">
        <v>738</v>
      </c>
      <c r="J238" s="1">
        <v>1093</v>
      </c>
      <c r="K238" s="1">
        <v>1174</v>
      </c>
      <c r="L238" s="1">
        <v>1504</v>
      </c>
      <c r="M238" s="1">
        <v>3322</v>
      </c>
      <c r="N238">
        <v>449</v>
      </c>
      <c r="O238" t="s">
        <v>2524</v>
      </c>
      <c r="P238" s="1" t="b">
        <f>NOT(OR(Table1[[#This Row],[State]]="Other Foreign Countries", Table1[[#This Row],[State]]="Unknown", Table1[[#This Row],[State]]="Puerto Rico all counties"))</f>
        <v>1</v>
      </c>
    </row>
    <row r="239" spans="1:16" x14ac:dyDescent="0.25">
      <c r="A239">
        <v>31011</v>
      </c>
      <c r="B239" t="s">
        <v>2758</v>
      </c>
      <c r="C239" t="s">
        <v>250</v>
      </c>
      <c r="D239">
        <v>150</v>
      </c>
      <c r="E239">
        <v>71</v>
      </c>
      <c r="F239">
        <v>17</v>
      </c>
      <c r="G239">
        <v>17</v>
      </c>
      <c r="H239">
        <v>25</v>
      </c>
      <c r="I239">
        <v>20</v>
      </c>
      <c r="J239">
        <v>15</v>
      </c>
      <c r="K239">
        <v>24</v>
      </c>
      <c r="L239">
        <v>111</v>
      </c>
      <c r="O239" t="s">
        <v>2767</v>
      </c>
      <c r="P239" s="1" t="b">
        <f>NOT(OR(Table1[[#This Row],[State]]="Other Foreign Countries", Table1[[#This Row],[State]]="Unknown", Table1[[#This Row],[State]]="Puerto Rico all counties"))</f>
        <v>1</v>
      </c>
    </row>
    <row r="240" spans="1:16" x14ac:dyDescent="0.25">
      <c r="A240">
        <v>54005</v>
      </c>
      <c r="B240" t="s">
        <v>4833</v>
      </c>
      <c r="C240" t="s">
        <v>250</v>
      </c>
      <c r="D240">
        <v>406</v>
      </c>
      <c r="E240">
        <v>66</v>
      </c>
      <c r="F240">
        <v>46</v>
      </c>
      <c r="G240">
        <v>48</v>
      </c>
      <c r="H240">
        <v>134</v>
      </c>
      <c r="I240">
        <v>112</v>
      </c>
      <c r="J240">
        <v>60</v>
      </c>
      <c r="K240">
        <v>118</v>
      </c>
      <c r="L240">
        <v>228</v>
      </c>
      <c r="M240">
        <v>395</v>
      </c>
      <c r="N240">
        <v>11</v>
      </c>
      <c r="O240" t="s">
        <v>4836</v>
      </c>
      <c r="P240" s="1" t="b">
        <f>NOT(OR(Table1[[#This Row],[State]]="Other Foreign Countries", Table1[[#This Row],[State]]="Unknown", Table1[[#This Row],[State]]="Puerto Rico all counties"))</f>
        <v>1</v>
      </c>
    </row>
    <row r="241" spans="1:16" x14ac:dyDescent="0.25">
      <c r="A241">
        <v>48033</v>
      </c>
      <c r="B241" t="s">
        <v>2654</v>
      </c>
      <c r="C241" t="s">
        <v>4102</v>
      </c>
      <c r="O241" t="s">
        <v>4103</v>
      </c>
      <c r="P241" s="1" t="b">
        <f>NOT(OR(Table1[[#This Row],[State]]="Other Foreign Countries", Table1[[#This Row],[State]]="Unknown", Table1[[#This Row],[State]]="Puerto Rico all counties"))</f>
        <v>1</v>
      </c>
    </row>
    <row r="242" spans="1:16" x14ac:dyDescent="0.25">
      <c r="A242">
        <v>48035</v>
      </c>
      <c r="B242" t="s">
        <v>2654</v>
      </c>
      <c r="C242" t="s">
        <v>4104</v>
      </c>
      <c r="D242">
        <v>524</v>
      </c>
      <c r="E242">
        <v>118</v>
      </c>
      <c r="F242">
        <v>44</v>
      </c>
      <c r="G242">
        <v>41</v>
      </c>
      <c r="H242">
        <v>169</v>
      </c>
      <c r="I242">
        <v>152</v>
      </c>
      <c r="J242">
        <v>124</v>
      </c>
      <c r="K242">
        <v>127</v>
      </c>
      <c r="L242">
        <v>273</v>
      </c>
      <c r="M242">
        <v>470</v>
      </c>
      <c r="N242">
        <v>54</v>
      </c>
      <c r="O242" t="s">
        <v>4105</v>
      </c>
      <c r="P242" s="1" t="b">
        <f>NOT(OR(Table1[[#This Row],[State]]="Other Foreign Countries", Table1[[#This Row],[State]]="Unknown", Table1[[#This Row],[State]]="Puerto Rico all counties"))</f>
        <v>1</v>
      </c>
    </row>
    <row r="243" spans="1:16" x14ac:dyDescent="0.25">
      <c r="A243">
        <v>22015</v>
      </c>
      <c r="B243" t="s">
        <v>1892</v>
      </c>
      <c r="C243" t="s">
        <v>1906</v>
      </c>
      <c r="D243">
        <v>5963</v>
      </c>
      <c r="E243">
        <v>806</v>
      </c>
      <c r="F243">
        <v>517</v>
      </c>
      <c r="G243">
        <v>717</v>
      </c>
      <c r="H243" s="1">
        <v>1871</v>
      </c>
      <c r="I243" s="1">
        <v>2052</v>
      </c>
      <c r="J243" s="1">
        <v>1593</v>
      </c>
      <c r="K243" s="1">
        <v>2585</v>
      </c>
      <c r="L243" s="1">
        <v>1784</v>
      </c>
      <c r="M243" s="1">
        <v>4956</v>
      </c>
      <c r="N243" s="1">
        <v>1006</v>
      </c>
      <c r="O243" t="s">
        <v>1907</v>
      </c>
      <c r="P243" s="1" t="b">
        <f>NOT(OR(Table1[[#This Row],[State]]="Other Foreign Countries", Table1[[#This Row],[State]]="Unknown", Table1[[#This Row],[State]]="Puerto Rico all counties"))</f>
        <v>1</v>
      </c>
    </row>
    <row r="244" spans="1:16" x14ac:dyDescent="0.25">
      <c r="A244">
        <v>51023</v>
      </c>
      <c r="B244" t="s">
        <v>4555</v>
      </c>
      <c r="C244" t="s">
        <v>4575</v>
      </c>
      <c r="D244">
        <v>925</v>
      </c>
      <c r="E244">
        <v>204</v>
      </c>
      <c r="F244">
        <v>95</v>
      </c>
      <c r="G244">
        <v>116</v>
      </c>
      <c r="H244">
        <v>260</v>
      </c>
      <c r="I244">
        <v>250</v>
      </c>
      <c r="J244">
        <v>207</v>
      </c>
      <c r="K244">
        <v>330</v>
      </c>
      <c r="L244">
        <v>388</v>
      </c>
      <c r="M244">
        <v>829</v>
      </c>
      <c r="N244">
        <v>94</v>
      </c>
      <c r="O244" t="s">
        <v>4576</v>
      </c>
      <c r="P244" s="1" t="b">
        <f>NOT(OR(Table1[[#This Row],[State]]="Other Foreign Countries", Table1[[#This Row],[State]]="Unknown", Table1[[#This Row],[State]]="Puerto Rico all counties"))</f>
        <v>1</v>
      </c>
    </row>
    <row r="245" spans="1:16" x14ac:dyDescent="0.25">
      <c r="A245">
        <v>38009</v>
      </c>
      <c r="B245" t="s">
        <v>3286</v>
      </c>
      <c r="C245" t="s">
        <v>3294</v>
      </c>
      <c r="D245">
        <v>166</v>
      </c>
      <c r="E245">
        <v>39</v>
      </c>
      <c r="F245">
        <v>25</v>
      </c>
      <c r="G245">
        <v>22</v>
      </c>
      <c r="H245">
        <v>53</v>
      </c>
      <c r="I245">
        <v>27</v>
      </c>
      <c r="J245">
        <v>38</v>
      </c>
      <c r="K245">
        <v>58</v>
      </c>
      <c r="L245">
        <v>70</v>
      </c>
      <c r="M245">
        <v>151</v>
      </c>
      <c r="N245">
        <v>15</v>
      </c>
      <c r="O245" t="s">
        <v>3295</v>
      </c>
      <c r="P245" s="1" t="b">
        <f>NOT(OR(Table1[[#This Row],[State]]="Other Foreign Countries", Table1[[#This Row],[State]]="Unknown", Table1[[#This Row],[State]]="Puerto Rico all counties"))</f>
        <v>1</v>
      </c>
    </row>
    <row r="246" spans="1:16" x14ac:dyDescent="0.25">
      <c r="A246">
        <v>8013</v>
      </c>
      <c r="B246" t="s">
        <v>489</v>
      </c>
      <c r="C246" t="s">
        <v>502</v>
      </c>
      <c r="D246">
        <v>3009</v>
      </c>
      <c r="E246">
        <v>725</v>
      </c>
      <c r="F246">
        <v>437</v>
      </c>
      <c r="G246">
        <v>411</v>
      </c>
      <c r="H246">
        <v>824</v>
      </c>
      <c r="I246">
        <v>612</v>
      </c>
      <c r="J246" s="1">
        <v>1197</v>
      </c>
      <c r="K246">
        <v>785</v>
      </c>
      <c r="L246" s="1">
        <v>1027</v>
      </c>
      <c r="M246" s="1">
        <v>2612</v>
      </c>
      <c r="N246">
        <v>396</v>
      </c>
      <c r="O246" t="s">
        <v>503</v>
      </c>
      <c r="P246" s="1" t="b">
        <f>NOT(OR(Table1[[#This Row],[State]]="Other Foreign Countries", Table1[[#This Row],[State]]="Unknown", Table1[[#This Row],[State]]="Puerto Rico all counties"))</f>
        <v>1</v>
      </c>
    </row>
    <row r="247" spans="1:16" x14ac:dyDescent="0.25">
      <c r="A247">
        <v>16021</v>
      </c>
      <c r="B247" t="s">
        <v>1032</v>
      </c>
      <c r="C247" t="s">
        <v>1052</v>
      </c>
      <c r="D247">
        <v>485</v>
      </c>
      <c r="E247">
        <v>115</v>
      </c>
      <c r="F247">
        <v>60</v>
      </c>
      <c r="G247">
        <v>64</v>
      </c>
      <c r="H247">
        <v>133</v>
      </c>
      <c r="I247">
        <v>113</v>
      </c>
      <c r="J247">
        <v>95</v>
      </c>
      <c r="K247">
        <v>163</v>
      </c>
      <c r="L247">
        <v>227</v>
      </c>
      <c r="M247">
        <v>448</v>
      </c>
      <c r="N247">
        <v>37</v>
      </c>
      <c r="O247" t="s">
        <v>1053</v>
      </c>
      <c r="P247" s="1" t="b">
        <f>NOT(OR(Table1[[#This Row],[State]]="Other Foreign Countries", Table1[[#This Row],[State]]="Unknown", Table1[[#This Row],[State]]="Puerto Rico all counties"))</f>
        <v>1</v>
      </c>
    </row>
    <row r="248" spans="1:16" x14ac:dyDescent="0.25">
      <c r="A248">
        <v>20011</v>
      </c>
      <c r="B248" t="s">
        <v>1543</v>
      </c>
      <c r="C248" t="s">
        <v>1553</v>
      </c>
      <c r="D248">
        <v>198</v>
      </c>
      <c r="E248">
        <v>45</v>
      </c>
      <c r="F248">
        <v>29</v>
      </c>
      <c r="G248">
        <v>29</v>
      </c>
      <c r="H248">
        <v>57</v>
      </c>
      <c r="I248">
        <v>38</v>
      </c>
      <c r="J248">
        <v>39</v>
      </c>
      <c r="K248">
        <v>69</v>
      </c>
      <c r="L248">
        <v>90</v>
      </c>
      <c r="M248">
        <v>184</v>
      </c>
      <c r="N248">
        <v>14</v>
      </c>
      <c r="O248" t="s">
        <v>1554</v>
      </c>
      <c r="P248" s="1" t="b">
        <f>NOT(OR(Table1[[#This Row],[State]]="Other Foreign Countries", Table1[[#This Row],[State]]="Unknown", Table1[[#This Row],[State]]="Puerto Rico all counties"))</f>
        <v>1</v>
      </c>
    </row>
    <row r="249" spans="1:16" x14ac:dyDescent="0.25">
      <c r="A249">
        <v>21017</v>
      </c>
      <c r="B249" t="s">
        <v>1716</v>
      </c>
      <c r="C249" t="s">
        <v>1553</v>
      </c>
      <c r="D249">
        <v>330</v>
      </c>
      <c r="E249">
        <v>74</v>
      </c>
      <c r="F249">
        <v>37</v>
      </c>
      <c r="G249">
        <v>40</v>
      </c>
      <c r="H249">
        <v>96</v>
      </c>
      <c r="I249">
        <v>83</v>
      </c>
      <c r="J249">
        <v>82</v>
      </c>
      <c r="K249">
        <v>112</v>
      </c>
      <c r="L249">
        <v>136</v>
      </c>
      <c r="M249">
        <v>299</v>
      </c>
      <c r="N249">
        <v>31</v>
      </c>
      <c r="O249" t="s">
        <v>1729</v>
      </c>
      <c r="P249" s="1" t="b">
        <f>NOT(OR(Table1[[#This Row],[State]]="Other Foreign Countries", Table1[[#This Row],[State]]="Unknown", Table1[[#This Row],[State]]="Puerto Rico all counties"))</f>
        <v>1</v>
      </c>
    </row>
    <row r="250" spans="1:16" x14ac:dyDescent="0.25">
      <c r="A250">
        <v>48037</v>
      </c>
      <c r="B250" t="s">
        <v>2654</v>
      </c>
      <c r="C250" t="s">
        <v>4106</v>
      </c>
      <c r="D250">
        <v>2727</v>
      </c>
      <c r="E250">
        <v>413</v>
      </c>
      <c r="F250">
        <v>280</v>
      </c>
      <c r="G250">
        <v>324</v>
      </c>
      <c r="H250">
        <v>854</v>
      </c>
      <c r="I250">
        <v>856</v>
      </c>
      <c r="J250">
        <v>660</v>
      </c>
      <c r="K250" s="1">
        <v>1030</v>
      </c>
      <c r="L250" s="1">
        <v>1037</v>
      </c>
      <c r="M250" s="1">
        <v>2402</v>
      </c>
      <c r="N250">
        <v>325</v>
      </c>
      <c r="O250" t="s">
        <v>4107</v>
      </c>
      <c r="P250" s="1" t="b">
        <f>NOT(OR(Table1[[#This Row],[State]]="Other Foreign Countries", Table1[[#This Row],[State]]="Unknown", Table1[[#This Row],[State]]="Puerto Rico all counties"))</f>
        <v>1</v>
      </c>
    </row>
    <row r="251" spans="1:16" x14ac:dyDescent="0.25">
      <c r="A251">
        <v>38011</v>
      </c>
      <c r="B251" t="s">
        <v>3286</v>
      </c>
      <c r="C251" t="s">
        <v>3296</v>
      </c>
      <c r="D251">
        <v>63</v>
      </c>
      <c r="E251">
        <v>20</v>
      </c>
      <c r="H251">
        <v>15</v>
      </c>
      <c r="I251">
        <v>11</v>
      </c>
      <c r="J251">
        <v>11</v>
      </c>
      <c r="K251">
        <v>17</v>
      </c>
      <c r="L251">
        <v>35</v>
      </c>
      <c r="O251" t="s">
        <v>3297</v>
      </c>
      <c r="P251" s="1" t="b">
        <f>NOT(OR(Table1[[#This Row],[State]]="Other Foreign Countries", Table1[[#This Row],[State]]="Unknown", Table1[[#This Row],[State]]="Puerto Rico all counties"))</f>
        <v>1</v>
      </c>
    </row>
    <row r="252" spans="1:16" x14ac:dyDescent="0.25">
      <c r="A252">
        <v>31013</v>
      </c>
      <c r="B252" t="s">
        <v>2758</v>
      </c>
      <c r="C252" t="s">
        <v>2768</v>
      </c>
      <c r="D252">
        <v>279</v>
      </c>
      <c r="E252">
        <v>66</v>
      </c>
      <c r="F252">
        <v>51</v>
      </c>
      <c r="G252">
        <v>35</v>
      </c>
      <c r="H252">
        <v>66</v>
      </c>
      <c r="I252">
        <v>61</v>
      </c>
      <c r="J252">
        <v>67</v>
      </c>
      <c r="K252">
        <v>82</v>
      </c>
      <c r="L252">
        <v>130</v>
      </c>
      <c r="M252">
        <v>255</v>
      </c>
      <c r="N252">
        <v>24</v>
      </c>
      <c r="O252" t="s">
        <v>2769</v>
      </c>
      <c r="P252" s="1" t="b">
        <f>NOT(OR(Table1[[#This Row],[State]]="Other Foreign Countries", Table1[[#This Row],[State]]="Unknown", Table1[[#This Row],[State]]="Puerto Rico all counties"))</f>
        <v>1</v>
      </c>
    </row>
    <row r="253" spans="1:16" x14ac:dyDescent="0.25">
      <c r="A253">
        <v>49003</v>
      </c>
      <c r="B253" t="s">
        <v>4486</v>
      </c>
      <c r="C253" t="s">
        <v>4488</v>
      </c>
      <c r="D253">
        <v>941</v>
      </c>
      <c r="E253">
        <v>161</v>
      </c>
      <c r="F253">
        <v>100</v>
      </c>
      <c r="G253">
        <v>122</v>
      </c>
      <c r="H253">
        <v>311</v>
      </c>
      <c r="I253">
        <v>247</v>
      </c>
      <c r="J253">
        <v>313</v>
      </c>
      <c r="K253">
        <v>321</v>
      </c>
      <c r="L253">
        <v>307</v>
      </c>
      <c r="M253">
        <v>856</v>
      </c>
      <c r="N253">
        <v>84</v>
      </c>
      <c r="O253" t="s">
        <v>4489</v>
      </c>
      <c r="P253" s="1" t="b">
        <f>NOT(OR(Table1[[#This Row],[State]]="Other Foreign Countries", Table1[[#This Row],[State]]="Unknown", Table1[[#This Row],[State]]="Puerto Rico all counties"))</f>
        <v>1</v>
      </c>
    </row>
    <row r="254" spans="1:16" x14ac:dyDescent="0.25">
      <c r="A254">
        <v>21019</v>
      </c>
      <c r="B254" t="s">
        <v>1716</v>
      </c>
      <c r="C254" t="s">
        <v>1730</v>
      </c>
      <c r="D254">
        <v>1013</v>
      </c>
      <c r="E254">
        <v>237</v>
      </c>
      <c r="F254">
        <v>92</v>
      </c>
      <c r="G254">
        <v>116</v>
      </c>
      <c r="H254">
        <v>294</v>
      </c>
      <c r="I254">
        <v>274</v>
      </c>
      <c r="J254">
        <v>197</v>
      </c>
      <c r="K254">
        <v>363</v>
      </c>
      <c r="L254">
        <v>453</v>
      </c>
      <c r="M254">
        <v>947</v>
      </c>
      <c r="N254">
        <v>66</v>
      </c>
      <c r="O254" t="s">
        <v>1731</v>
      </c>
      <c r="P254" s="1" t="b">
        <f>NOT(OR(Table1[[#This Row],[State]]="Other Foreign Countries", Table1[[#This Row],[State]]="Unknown", Table1[[#This Row],[State]]="Puerto Rico all counties"))</f>
        <v>1</v>
      </c>
    </row>
    <row r="255" spans="1:16" x14ac:dyDescent="0.25">
      <c r="A255">
        <v>31015</v>
      </c>
      <c r="B255" t="s">
        <v>2758</v>
      </c>
      <c r="C255" t="s">
        <v>1730</v>
      </c>
      <c r="D255">
        <v>60</v>
      </c>
      <c r="E255">
        <v>25</v>
      </c>
      <c r="H255">
        <v>12</v>
      </c>
      <c r="L255">
        <v>40</v>
      </c>
      <c r="O255" t="s">
        <v>2770</v>
      </c>
      <c r="P255" s="1" t="b">
        <f>NOT(OR(Table1[[#This Row],[State]]="Other Foreign Countries", Table1[[#This Row],[State]]="Unknown", Table1[[#This Row],[State]]="Puerto Rico all counties"))</f>
        <v>1</v>
      </c>
    </row>
    <row r="256" spans="1:16" x14ac:dyDescent="0.25">
      <c r="A256">
        <v>21021</v>
      </c>
      <c r="B256" t="s">
        <v>1716</v>
      </c>
      <c r="C256" t="s">
        <v>1732</v>
      </c>
      <c r="D256">
        <v>501</v>
      </c>
      <c r="E256">
        <v>108</v>
      </c>
      <c r="F256">
        <v>55</v>
      </c>
      <c r="G256">
        <v>52</v>
      </c>
      <c r="H256">
        <v>165</v>
      </c>
      <c r="I256">
        <v>121</v>
      </c>
      <c r="J256">
        <v>127</v>
      </c>
      <c r="K256">
        <v>176</v>
      </c>
      <c r="L256">
        <v>198</v>
      </c>
      <c r="M256">
        <v>457</v>
      </c>
      <c r="N256">
        <v>44</v>
      </c>
      <c r="O256" t="s">
        <v>1733</v>
      </c>
      <c r="P256" s="1" t="b">
        <f>NOT(OR(Table1[[#This Row],[State]]="Other Foreign Countries", Table1[[#This Row],[State]]="Unknown", Table1[[#This Row],[State]]="Puerto Rico all counties"))</f>
        <v>1</v>
      </c>
    </row>
    <row r="257" spans="1:16" x14ac:dyDescent="0.25">
      <c r="A257">
        <v>21023</v>
      </c>
      <c r="B257" t="s">
        <v>1716</v>
      </c>
      <c r="C257" t="s">
        <v>1734</v>
      </c>
      <c r="D257">
        <v>144</v>
      </c>
      <c r="E257">
        <v>38</v>
      </c>
      <c r="F257">
        <v>21</v>
      </c>
      <c r="G257">
        <v>14</v>
      </c>
      <c r="H257">
        <v>37</v>
      </c>
      <c r="I257">
        <v>34</v>
      </c>
      <c r="J257">
        <v>26</v>
      </c>
      <c r="K257">
        <v>43</v>
      </c>
      <c r="L257">
        <v>75</v>
      </c>
      <c r="O257" t="s">
        <v>1735</v>
      </c>
      <c r="P257" s="1" t="b">
        <f>NOT(OR(Table1[[#This Row],[State]]="Other Foreign Countries", Table1[[#This Row],[State]]="Unknown", Table1[[#This Row],[State]]="Puerto Rico all counties"))</f>
        <v>1</v>
      </c>
    </row>
    <row r="258" spans="1:16" x14ac:dyDescent="0.25">
      <c r="A258">
        <v>12007</v>
      </c>
      <c r="B258" t="s">
        <v>637</v>
      </c>
      <c r="C258" t="s">
        <v>644</v>
      </c>
      <c r="D258">
        <v>891</v>
      </c>
      <c r="E258">
        <v>183</v>
      </c>
      <c r="F258">
        <v>92</v>
      </c>
      <c r="G258">
        <v>109</v>
      </c>
      <c r="H258">
        <v>249</v>
      </c>
      <c r="I258">
        <v>258</v>
      </c>
      <c r="J258">
        <v>197</v>
      </c>
      <c r="K258">
        <v>321</v>
      </c>
      <c r="L258">
        <v>373</v>
      </c>
      <c r="M258">
        <v>805</v>
      </c>
      <c r="N258">
        <v>86</v>
      </c>
      <c r="O258" t="s">
        <v>645</v>
      </c>
      <c r="P258" s="1" t="b">
        <f>NOT(OR(Table1[[#This Row],[State]]="Other Foreign Countries", Table1[[#This Row],[State]]="Unknown", Table1[[#This Row],[State]]="Puerto Rico all counties"))</f>
        <v>1</v>
      </c>
    </row>
    <row r="259" spans="1:16" x14ac:dyDescent="0.25">
      <c r="A259">
        <v>42015</v>
      </c>
      <c r="B259" t="s">
        <v>3665</v>
      </c>
      <c r="C259" t="s">
        <v>644</v>
      </c>
      <c r="D259">
        <v>1172</v>
      </c>
      <c r="E259">
        <v>253</v>
      </c>
      <c r="F259">
        <v>147</v>
      </c>
      <c r="G259">
        <v>132</v>
      </c>
      <c r="H259">
        <v>349</v>
      </c>
      <c r="I259">
        <v>291</v>
      </c>
      <c r="J259">
        <v>297</v>
      </c>
      <c r="K259">
        <v>370</v>
      </c>
      <c r="L259">
        <v>505</v>
      </c>
      <c r="M259" s="1">
        <v>1061</v>
      </c>
      <c r="N259">
        <v>111</v>
      </c>
      <c r="O259" t="s">
        <v>3678</v>
      </c>
      <c r="P259" s="1" t="b">
        <f>NOT(OR(Table1[[#This Row],[State]]="Other Foreign Countries", Table1[[#This Row],[State]]="Unknown", Table1[[#This Row],[State]]="Puerto Rico all counties"))</f>
        <v>1</v>
      </c>
    </row>
    <row r="260" spans="1:16" x14ac:dyDescent="0.25">
      <c r="A260">
        <v>5011</v>
      </c>
      <c r="B260" t="s">
        <v>242</v>
      </c>
      <c r="C260" t="s">
        <v>252</v>
      </c>
      <c r="D260">
        <v>140</v>
      </c>
      <c r="E260">
        <v>15</v>
      </c>
      <c r="F260">
        <v>15</v>
      </c>
      <c r="G260">
        <v>12</v>
      </c>
      <c r="H260">
        <v>53</v>
      </c>
      <c r="I260">
        <v>45</v>
      </c>
      <c r="J260">
        <v>18</v>
      </c>
      <c r="K260">
        <v>54</v>
      </c>
      <c r="L260">
        <v>68</v>
      </c>
      <c r="M260">
        <v>128</v>
      </c>
      <c r="N260">
        <v>12</v>
      </c>
      <c r="O260" t="s">
        <v>253</v>
      </c>
      <c r="P260" s="1" t="b">
        <f>NOT(OR(Table1[[#This Row],[State]]="Other Foreign Countries", Table1[[#This Row],[State]]="Unknown", Table1[[#This Row],[State]]="Puerto Rico all counties"))</f>
        <v>1</v>
      </c>
    </row>
    <row r="261" spans="1:16" x14ac:dyDescent="0.25">
      <c r="A261">
        <v>47011</v>
      </c>
      <c r="B261" t="s">
        <v>3951</v>
      </c>
      <c r="C261" t="s">
        <v>252</v>
      </c>
      <c r="D261">
        <v>2263</v>
      </c>
      <c r="E261">
        <v>474</v>
      </c>
      <c r="F261">
        <v>232</v>
      </c>
      <c r="G261">
        <v>268</v>
      </c>
      <c r="H261">
        <v>687</v>
      </c>
      <c r="I261">
        <v>602</v>
      </c>
      <c r="J261">
        <v>613</v>
      </c>
      <c r="K261">
        <v>741</v>
      </c>
      <c r="L261">
        <v>909</v>
      </c>
      <c r="M261" s="1">
        <v>2064</v>
      </c>
      <c r="N261">
        <v>199</v>
      </c>
      <c r="O261" t="s">
        <v>3958</v>
      </c>
      <c r="P261" s="1" t="b">
        <f>NOT(OR(Table1[[#This Row],[State]]="Other Foreign Countries", Table1[[#This Row],[State]]="Unknown", Table1[[#This Row],[State]]="Puerto Rico all counties"))</f>
        <v>1</v>
      </c>
    </row>
    <row r="262" spans="1:16" x14ac:dyDescent="0.25">
      <c r="A262">
        <v>26023</v>
      </c>
      <c r="B262" t="s">
        <v>2099</v>
      </c>
      <c r="C262" t="s">
        <v>2120</v>
      </c>
      <c r="D262">
        <v>651</v>
      </c>
      <c r="E262">
        <v>124</v>
      </c>
      <c r="F262">
        <v>67</v>
      </c>
      <c r="G262">
        <v>83</v>
      </c>
      <c r="H262">
        <v>224</v>
      </c>
      <c r="I262">
        <v>153</v>
      </c>
      <c r="J262">
        <v>159</v>
      </c>
      <c r="K262">
        <v>177</v>
      </c>
      <c r="L262">
        <v>315</v>
      </c>
      <c r="M262">
        <v>585</v>
      </c>
      <c r="N262">
        <v>66</v>
      </c>
      <c r="O262" t="s">
        <v>2121</v>
      </c>
      <c r="P262" s="1" t="b">
        <f>NOT(OR(Table1[[#This Row],[State]]="Other Foreign Countries", Table1[[#This Row],[State]]="Unknown", Table1[[#This Row],[State]]="Puerto Rico all counties"))</f>
        <v>1</v>
      </c>
    </row>
    <row r="263" spans="1:16" x14ac:dyDescent="0.25">
      <c r="A263">
        <v>13025</v>
      </c>
      <c r="B263" t="s">
        <v>754</v>
      </c>
      <c r="C263" t="s">
        <v>776</v>
      </c>
      <c r="D263">
        <v>443</v>
      </c>
      <c r="E263">
        <v>87</v>
      </c>
      <c r="F263">
        <v>51</v>
      </c>
      <c r="G263">
        <v>44</v>
      </c>
      <c r="H263">
        <v>158</v>
      </c>
      <c r="I263">
        <v>103</v>
      </c>
      <c r="J263">
        <v>121</v>
      </c>
      <c r="K263">
        <v>153</v>
      </c>
      <c r="L263">
        <v>169</v>
      </c>
      <c r="M263">
        <v>406</v>
      </c>
      <c r="N263">
        <v>37</v>
      </c>
      <c r="O263" t="s">
        <v>777</v>
      </c>
      <c r="P263" s="1" t="b">
        <f>NOT(OR(Table1[[#This Row],[State]]="Other Foreign Countries", Table1[[#This Row],[State]]="Unknown", Table1[[#This Row],[State]]="Puerto Rico all counties"))</f>
        <v>1</v>
      </c>
    </row>
    <row r="264" spans="1:16" x14ac:dyDescent="0.25">
      <c r="A264">
        <v>54007</v>
      </c>
      <c r="B264" t="s">
        <v>4833</v>
      </c>
      <c r="C264" t="s">
        <v>4837</v>
      </c>
      <c r="D264">
        <v>414</v>
      </c>
      <c r="E264">
        <v>94</v>
      </c>
      <c r="F264">
        <v>35</v>
      </c>
      <c r="G264">
        <v>47</v>
      </c>
      <c r="H264">
        <v>108</v>
      </c>
      <c r="I264">
        <v>130</v>
      </c>
      <c r="J264">
        <v>62</v>
      </c>
      <c r="K264">
        <v>140</v>
      </c>
      <c r="L264">
        <v>212</v>
      </c>
      <c r="M264">
        <v>383</v>
      </c>
      <c r="N264">
        <v>31</v>
      </c>
      <c r="O264" t="s">
        <v>4838</v>
      </c>
      <c r="P264" s="1" t="b">
        <f>NOT(OR(Table1[[#This Row],[State]]="Other Foreign Countries", Table1[[#This Row],[State]]="Unknown", Table1[[#This Row],[State]]="Puerto Rico all counties"))</f>
        <v>1</v>
      </c>
    </row>
    <row r="265" spans="1:16" x14ac:dyDescent="0.25">
      <c r="A265">
        <v>48039</v>
      </c>
      <c r="B265" t="s">
        <v>2654</v>
      </c>
      <c r="C265" t="s">
        <v>4108</v>
      </c>
      <c r="D265">
        <v>9156</v>
      </c>
      <c r="E265" s="1">
        <v>1422</v>
      </c>
      <c r="F265">
        <v>809</v>
      </c>
      <c r="G265">
        <v>949</v>
      </c>
      <c r="H265" s="1">
        <v>2780</v>
      </c>
      <c r="I265" s="1">
        <v>3196</v>
      </c>
      <c r="J265" s="1">
        <v>3298</v>
      </c>
      <c r="K265" s="1">
        <v>3300</v>
      </c>
      <c r="L265" s="1">
        <v>2558</v>
      </c>
      <c r="M265" s="1">
        <v>7729</v>
      </c>
      <c r="N265" s="1">
        <v>1426</v>
      </c>
      <c r="O265" t="s">
        <v>4109</v>
      </c>
      <c r="P265" s="1" t="b">
        <f>NOT(OR(Table1[[#This Row],[State]]="Other Foreign Countries", Table1[[#This Row],[State]]="Unknown", Table1[[#This Row],[State]]="Puerto Rico all counties"))</f>
        <v>1</v>
      </c>
    </row>
    <row r="266" spans="1:16" x14ac:dyDescent="0.25">
      <c r="A266">
        <v>48041</v>
      </c>
      <c r="B266" t="s">
        <v>2654</v>
      </c>
      <c r="C266" t="s">
        <v>4110</v>
      </c>
      <c r="D266">
        <v>3706</v>
      </c>
      <c r="E266">
        <v>616</v>
      </c>
      <c r="F266">
        <v>365</v>
      </c>
      <c r="G266">
        <v>430</v>
      </c>
      <c r="H266" s="1">
        <v>1183</v>
      </c>
      <c r="I266" s="1">
        <v>1112</v>
      </c>
      <c r="J266" s="1">
        <v>1509</v>
      </c>
      <c r="K266" s="1">
        <v>1106</v>
      </c>
      <c r="L266" s="1">
        <v>1091</v>
      </c>
      <c r="M266" s="1">
        <v>3250</v>
      </c>
      <c r="N266">
        <v>455</v>
      </c>
      <c r="O266" t="s">
        <v>4111</v>
      </c>
      <c r="P266" s="1" t="b">
        <f>NOT(OR(Table1[[#This Row],[State]]="Other Foreign Countries", Table1[[#This Row],[State]]="Unknown", Table1[[#This Row],[State]]="Puerto Rico all counties"))</f>
        <v>1</v>
      </c>
    </row>
    <row r="267" spans="1:16" x14ac:dyDescent="0.25">
      <c r="A267">
        <v>21025</v>
      </c>
      <c r="B267" t="s">
        <v>1716</v>
      </c>
      <c r="C267" t="s">
        <v>1736</v>
      </c>
      <c r="D267">
        <v>151</v>
      </c>
      <c r="E267">
        <v>29</v>
      </c>
      <c r="F267">
        <v>11</v>
      </c>
      <c r="G267">
        <v>13</v>
      </c>
      <c r="H267">
        <v>46</v>
      </c>
      <c r="I267">
        <v>52</v>
      </c>
      <c r="J267">
        <v>31</v>
      </c>
      <c r="K267">
        <v>41</v>
      </c>
      <c r="L267">
        <v>79</v>
      </c>
      <c r="O267" t="s">
        <v>1737</v>
      </c>
      <c r="P267" s="1" t="b">
        <f>NOT(OR(Table1[[#This Row],[State]]="Other Foreign Countries", Table1[[#This Row],[State]]="Unknown", Table1[[#This Row],[State]]="Puerto Rico all counties"))</f>
        <v>1</v>
      </c>
    </row>
    <row r="268" spans="1:16" x14ac:dyDescent="0.25">
      <c r="A268">
        <v>21027</v>
      </c>
      <c r="B268" t="s">
        <v>1716</v>
      </c>
      <c r="C268" t="s">
        <v>1738</v>
      </c>
      <c r="D268">
        <v>557</v>
      </c>
      <c r="E268">
        <v>80</v>
      </c>
      <c r="F268">
        <v>69</v>
      </c>
      <c r="G268">
        <v>77</v>
      </c>
      <c r="H268">
        <v>177</v>
      </c>
      <c r="I268">
        <v>154</v>
      </c>
      <c r="J268">
        <v>107</v>
      </c>
      <c r="K268">
        <v>206</v>
      </c>
      <c r="L268">
        <v>244</v>
      </c>
      <c r="M268">
        <v>505</v>
      </c>
      <c r="N268">
        <v>52</v>
      </c>
      <c r="O268" t="s">
        <v>1739</v>
      </c>
      <c r="P268" s="1" t="b">
        <f>NOT(OR(Table1[[#This Row],[State]]="Other Foreign Countries", Table1[[#This Row],[State]]="Unknown", Table1[[#This Row],[State]]="Puerto Rico all counties"))</f>
        <v>1</v>
      </c>
    </row>
    <row r="269" spans="1:16" x14ac:dyDescent="0.25">
      <c r="A269">
        <v>19017</v>
      </c>
      <c r="B269" t="s">
        <v>1399</v>
      </c>
      <c r="C269" t="s">
        <v>1413</v>
      </c>
      <c r="D269">
        <v>402</v>
      </c>
      <c r="E269">
        <v>83</v>
      </c>
      <c r="F269">
        <v>49</v>
      </c>
      <c r="G269">
        <v>49</v>
      </c>
      <c r="H269">
        <v>110</v>
      </c>
      <c r="I269">
        <v>111</v>
      </c>
      <c r="J269">
        <v>102</v>
      </c>
      <c r="K269">
        <v>120</v>
      </c>
      <c r="L269">
        <v>180</v>
      </c>
      <c r="M269">
        <v>380</v>
      </c>
      <c r="N269">
        <v>22</v>
      </c>
      <c r="O269" t="s">
        <v>1414</v>
      </c>
      <c r="P269" s="1" t="b">
        <f>NOT(OR(Table1[[#This Row],[State]]="Other Foreign Countries", Table1[[#This Row],[State]]="Unknown", Table1[[#This Row],[State]]="Puerto Rico all counties"))</f>
        <v>1</v>
      </c>
    </row>
    <row r="270" spans="1:16" x14ac:dyDescent="0.25">
      <c r="A270">
        <v>12009</v>
      </c>
      <c r="B270" t="s">
        <v>637</v>
      </c>
      <c r="C270" t="s">
        <v>646</v>
      </c>
      <c r="D270">
        <v>29014</v>
      </c>
      <c r="E270" s="1">
        <v>5240</v>
      </c>
      <c r="F270" s="1">
        <v>2806</v>
      </c>
      <c r="G270" s="1">
        <v>3196</v>
      </c>
      <c r="H270" s="1">
        <v>8600</v>
      </c>
      <c r="I270" s="1">
        <v>9172</v>
      </c>
      <c r="J270" s="1">
        <v>6905</v>
      </c>
      <c r="K270" s="1">
        <v>10593</v>
      </c>
      <c r="L270" s="1">
        <v>11516</v>
      </c>
      <c r="M270" s="1">
        <v>25088</v>
      </c>
      <c r="N270" s="1">
        <v>3924</v>
      </c>
      <c r="O270" t="s">
        <v>647</v>
      </c>
      <c r="P270" s="1" t="b">
        <f>NOT(OR(Table1[[#This Row],[State]]="Other Foreign Countries", Table1[[#This Row],[State]]="Unknown", Table1[[#This Row],[State]]="Puerto Rico all counties"))</f>
        <v>1</v>
      </c>
    </row>
    <row r="271" spans="1:16" x14ac:dyDescent="0.25">
      <c r="A271">
        <v>48043</v>
      </c>
      <c r="B271" t="s">
        <v>2654</v>
      </c>
      <c r="C271" t="s">
        <v>4112</v>
      </c>
      <c r="D271">
        <v>238</v>
      </c>
      <c r="E271">
        <v>49</v>
      </c>
      <c r="F271">
        <v>24</v>
      </c>
      <c r="G271">
        <v>31</v>
      </c>
      <c r="H271">
        <v>78</v>
      </c>
      <c r="I271">
        <v>56</v>
      </c>
      <c r="J271">
        <v>69</v>
      </c>
      <c r="K271">
        <v>76</v>
      </c>
      <c r="L271">
        <v>93</v>
      </c>
      <c r="M271">
        <v>214</v>
      </c>
      <c r="N271">
        <v>24</v>
      </c>
      <c r="O271" t="s">
        <v>4113</v>
      </c>
      <c r="P271" s="1" t="b">
        <f>NOT(OR(Table1[[#This Row],[State]]="Other Foreign Countries", Table1[[#This Row],[State]]="Unknown", Table1[[#This Row],[State]]="Puerto Rico all counties"))</f>
        <v>1</v>
      </c>
    </row>
    <row r="272" spans="1:16" x14ac:dyDescent="0.25">
      <c r="A272">
        <v>48045</v>
      </c>
      <c r="B272" t="s">
        <v>2654</v>
      </c>
      <c r="C272" t="s">
        <v>4114</v>
      </c>
      <c r="D272">
        <v>25</v>
      </c>
      <c r="L272">
        <v>15</v>
      </c>
      <c r="O272" t="s">
        <v>4115</v>
      </c>
      <c r="P272" s="1" t="b">
        <f>NOT(OR(Table1[[#This Row],[State]]="Other Foreign Countries", Table1[[#This Row],[State]]="Unknown", Table1[[#This Row],[State]]="Puerto Rico all counties"))</f>
        <v>1</v>
      </c>
    </row>
    <row r="273" spans="1:16" x14ac:dyDescent="0.25">
      <c r="A273">
        <v>25005</v>
      </c>
      <c r="B273" t="s">
        <v>2073</v>
      </c>
      <c r="C273" t="s">
        <v>2078</v>
      </c>
      <c r="D273">
        <v>7767</v>
      </c>
      <c r="E273" s="1">
        <v>1977</v>
      </c>
      <c r="F273">
        <v>875</v>
      </c>
      <c r="G273">
        <v>984</v>
      </c>
      <c r="H273" s="1">
        <v>2280</v>
      </c>
      <c r="I273" s="1">
        <v>1651</v>
      </c>
      <c r="J273" s="1">
        <v>2076</v>
      </c>
      <c r="K273" s="1">
        <v>2126</v>
      </c>
      <c r="L273" s="1">
        <v>3565</v>
      </c>
      <c r="M273" s="1">
        <v>7148</v>
      </c>
      <c r="N273">
        <v>619</v>
      </c>
      <c r="O273" t="s">
        <v>2079</v>
      </c>
      <c r="P273" s="1" t="b">
        <f>NOT(OR(Table1[[#This Row],[State]]="Other Foreign Countries", Table1[[#This Row],[State]]="Unknown", Table1[[#This Row],[State]]="Puerto Rico all counties"))</f>
        <v>1</v>
      </c>
    </row>
    <row r="274" spans="1:16" x14ac:dyDescent="0.25">
      <c r="A274">
        <v>44001</v>
      </c>
      <c r="B274" t="s">
        <v>3764</v>
      </c>
      <c r="C274" t="s">
        <v>2078</v>
      </c>
      <c r="D274">
        <v>767</v>
      </c>
      <c r="E274">
        <v>209</v>
      </c>
      <c r="F274">
        <v>97</v>
      </c>
      <c r="G274">
        <v>82</v>
      </c>
      <c r="H274">
        <v>201</v>
      </c>
      <c r="I274">
        <v>178</v>
      </c>
      <c r="J274">
        <v>163</v>
      </c>
      <c r="K274">
        <v>216</v>
      </c>
      <c r="L274">
        <v>388</v>
      </c>
      <c r="M274">
        <v>697</v>
      </c>
      <c r="N274">
        <v>70</v>
      </c>
      <c r="O274" t="s">
        <v>3765</v>
      </c>
      <c r="P274" s="1" t="b">
        <f>NOT(OR(Table1[[#This Row],[State]]="Other Foreign Countries", Table1[[#This Row],[State]]="Unknown", Table1[[#This Row],[State]]="Puerto Rico all counties"))</f>
        <v>1</v>
      </c>
    </row>
    <row r="275" spans="1:16" x14ac:dyDescent="0.25">
      <c r="A275">
        <v>2060</v>
      </c>
      <c r="B275" t="s">
        <v>150</v>
      </c>
      <c r="C275" t="s">
        <v>159</v>
      </c>
      <c r="D275">
        <v>22</v>
      </c>
      <c r="L275">
        <v>11</v>
      </c>
      <c r="O275" t="s">
        <v>160</v>
      </c>
      <c r="P275" s="1" t="b">
        <f>NOT(OR(Table1[[#This Row],[State]]="Other Foreign Countries", Table1[[#This Row],[State]]="Unknown", Table1[[#This Row],[State]]="Puerto Rico all counties"))</f>
        <v>1</v>
      </c>
    </row>
    <row r="276" spans="1:16" x14ac:dyDescent="0.25">
      <c r="A276">
        <v>51520</v>
      </c>
      <c r="B276" t="s">
        <v>4555</v>
      </c>
      <c r="C276" t="s">
        <v>4698</v>
      </c>
      <c r="D276">
        <v>334</v>
      </c>
      <c r="E276">
        <v>70</v>
      </c>
      <c r="F276">
        <v>33</v>
      </c>
      <c r="G276">
        <v>44</v>
      </c>
      <c r="H276">
        <v>109</v>
      </c>
      <c r="I276">
        <v>78</v>
      </c>
      <c r="J276">
        <v>77</v>
      </c>
      <c r="K276">
        <v>93</v>
      </c>
      <c r="L276">
        <v>164</v>
      </c>
      <c r="M276">
        <v>309</v>
      </c>
      <c r="N276">
        <v>25</v>
      </c>
      <c r="O276" t="s">
        <v>4699</v>
      </c>
      <c r="P276" s="1" t="b">
        <f>NOT(OR(Table1[[#This Row],[State]]="Other Foreign Countries", Table1[[#This Row],[State]]="Unknown", Table1[[#This Row],[State]]="Puerto Rico all counties"))</f>
        <v>1</v>
      </c>
    </row>
    <row r="277" spans="1:16" x14ac:dyDescent="0.25">
      <c r="A277">
        <v>30007</v>
      </c>
      <c r="B277" t="s">
        <v>2665</v>
      </c>
      <c r="C277" t="s">
        <v>2671</v>
      </c>
      <c r="D277">
        <v>353</v>
      </c>
      <c r="E277">
        <v>74</v>
      </c>
      <c r="F277">
        <v>46</v>
      </c>
      <c r="G277">
        <v>34</v>
      </c>
      <c r="H277">
        <v>104</v>
      </c>
      <c r="I277">
        <v>95</v>
      </c>
      <c r="J277">
        <v>89</v>
      </c>
      <c r="K277">
        <v>119</v>
      </c>
      <c r="L277">
        <v>145</v>
      </c>
      <c r="M277">
        <v>319</v>
      </c>
      <c r="N277">
        <v>34</v>
      </c>
      <c r="O277" t="s">
        <v>2672</v>
      </c>
      <c r="P277" s="1" t="b">
        <f>NOT(OR(Table1[[#This Row],[State]]="Other Foreign Countries", Table1[[#This Row],[State]]="Unknown", Table1[[#This Row],[State]]="Puerto Rico all counties"))</f>
        <v>1</v>
      </c>
    </row>
    <row r="278" spans="1:16" x14ac:dyDescent="0.25">
      <c r="A278">
        <v>36005</v>
      </c>
      <c r="B278" t="s">
        <v>3029</v>
      </c>
      <c r="C278" t="s">
        <v>3033</v>
      </c>
      <c r="D278">
        <v>5778</v>
      </c>
      <c r="E278">
        <v>997</v>
      </c>
      <c r="F278">
        <v>502</v>
      </c>
      <c r="G278">
        <v>605</v>
      </c>
      <c r="H278" s="1">
        <v>1817</v>
      </c>
      <c r="I278" s="1">
        <v>1857</v>
      </c>
      <c r="J278" s="1">
        <v>2152</v>
      </c>
      <c r="K278" s="1">
        <v>1642</v>
      </c>
      <c r="L278" s="1">
        <v>1984</v>
      </c>
      <c r="M278" s="1">
        <v>4973</v>
      </c>
      <c r="N278">
        <v>805</v>
      </c>
      <c r="O278" t="s">
        <v>3034</v>
      </c>
      <c r="P278" s="1" t="b">
        <f>NOT(OR(Table1[[#This Row],[State]]="Other Foreign Countries", Table1[[#This Row],[State]]="Unknown", Table1[[#This Row],[State]]="Puerto Rico all counties"))</f>
        <v>1</v>
      </c>
    </row>
    <row r="279" spans="1:16" x14ac:dyDescent="0.25">
      <c r="A279">
        <v>54009</v>
      </c>
      <c r="B279" t="s">
        <v>4833</v>
      </c>
      <c r="C279" t="s">
        <v>4839</v>
      </c>
      <c r="D279">
        <v>385</v>
      </c>
      <c r="E279">
        <v>90</v>
      </c>
      <c r="F279">
        <v>49</v>
      </c>
      <c r="G279">
        <v>48</v>
      </c>
      <c r="H279">
        <v>101</v>
      </c>
      <c r="I279">
        <v>97</v>
      </c>
      <c r="J279">
        <v>63</v>
      </c>
      <c r="K279">
        <v>128</v>
      </c>
      <c r="L279">
        <v>194</v>
      </c>
      <c r="M279">
        <v>355</v>
      </c>
      <c r="N279">
        <v>30</v>
      </c>
      <c r="O279" t="s">
        <v>4840</v>
      </c>
      <c r="P279" s="1" t="b">
        <f>NOT(OR(Table1[[#This Row],[State]]="Other Foreign Countries", Table1[[#This Row],[State]]="Unknown", Table1[[#This Row],[State]]="Puerto Rico all counties"))</f>
        <v>1</v>
      </c>
    </row>
    <row r="280" spans="1:16" x14ac:dyDescent="0.25">
      <c r="A280">
        <v>46011</v>
      </c>
      <c r="B280" t="s">
        <v>3846</v>
      </c>
      <c r="C280" t="s">
        <v>3855</v>
      </c>
      <c r="D280">
        <v>613</v>
      </c>
      <c r="E280">
        <v>204</v>
      </c>
      <c r="F280">
        <v>78</v>
      </c>
      <c r="G280">
        <v>82</v>
      </c>
      <c r="H280">
        <v>147</v>
      </c>
      <c r="I280">
        <v>102</v>
      </c>
      <c r="J280">
        <v>172</v>
      </c>
      <c r="K280">
        <v>177</v>
      </c>
      <c r="L280">
        <v>264</v>
      </c>
      <c r="M280">
        <v>557</v>
      </c>
      <c r="N280">
        <v>56</v>
      </c>
      <c r="O280" t="s">
        <v>3856</v>
      </c>
      <c r="P280" s="1" t="b">
        <f>NOT(OR(Table1[[#This Row],[State]]="Other Foreign Countries", Table1[[#This Row],[State]]="Unknown", Table1[[#This Row],[State]]="Puerto Rico all counties"))</f>
        <v>1</v>
      </c>
    </row>
    <row r="281" spans="1:16" x14ac:dyDescent="0.25">
      <c r="A281">
        <v>13027</v>
      </c>
      <c r="B281" t="s">
        <v>754</v>
      </c>
      <c r="C281" t="s">
        <v>778</v>
      </c>
      <c r="D281">
        <v>425</v>
      </c>
      <c r="E281">
        <v>74</v>
      </c>
      <c r="F281">
        <v>46</v>
      </c>
      <c r="G281">
        <v>55</v>
      </c>
      <c r="H281">
        <v>130</v>
      </c>
      <c r="I281">
        <v>120</v>
      </c>
      <c r="J281">
        <v>94</v>
      </c>
      <c r="K281">
        <v>123</v>
      </c>
      <c r="L281">
        <v>208</v>
      </c>
      <c r="M281">
        <v>372</v>
      </c>
      <c r="N281">
        <v>53</v>
      </c>
      <c r="O281" t="s">
        <v>779</v>
      </c>
      <c r="P281" s="1" t="b">
        <f>NOT(OR(Table1[[#This Row],[State]]="Other Foreign Countries", Table1[[#This Row],[State]]="Unknown", Table1[[#This Row],[State]]="Puerto Rico all counties"))</f>
        <v>1</v>
      </c>
    </row>
    <row r="282" spans="1:16" x14ac:dyDescent="0.25">
      <c r="A282">
        <v>48047</v>
      </c>
      <c r="B282" t="s">
        <v>2654</v>
      </c>
      <c r="C282" t="s">
        <v>778</v>
      </c>
      <c r="D282">
        <v>128</v>
      </c>
      <c r="E282">
        <v>32</v>
      </c>
      <c r="H282">
        <v>34</v>
      </c>
      <c r="I282">
        <v>33</v>
      </c>
      <c r="J282">
        <v>18</v>
      </c>
      <c r="K282">
        <v>35</v>
      </c>
      <c r="L282">
        <v>75</v>
      </c>
      <c r="O282" t="s">
        <v>4116</v>
      </c>
      <c r="P282" s="1" t="b">
        <f>NOT(OR(Table1[[#This Row],[State]]="Other Foreign Countries", Table1[[#This Row],[State]]="Unknown", Table1[[#This Row],[State]]="Puerto Rico all counties"))</f>
        <v>1</v>
      </c>
    </row>
    <row r="283" spans="1:16" x14ac:dyDescent="0.25">
      <c r="A283">
        <v>36007</v>
      </c>
      <c r="B283" t="s">
        <v>3029</v>
      </c>
      <c r="C283" t="s">
        <v>3035</v>
      </c>
      <c r="D283">
        <v>2044</v>
      </c>
      <c r="E283">
        <v>444</v>
      </c>
      <c r="F283">
        <v>268</v>
      </c>
      <c r="G283">
        <v>292</v>
      </c>
      <c r="H283">
        <v>587</v>
      </c>
      <c r="I283">
        <v>453</v>
      </c>
      <c r="J283">
        <v>562</v>
      </c>
      <c r="K283">
        <v>527</v>
      </c>
      <c r="L283">
        <v>955</v>
      </c>
      <c r="M283" s="1">
        <v>1865</v>
      </c>
      <c r="N283">
        <v>179</v>
      </c>
      <c r="O283" t="s">
        <v>3036</v>
      </c>
      <c r="P283" s="1" t="b">
        <f>NOT(OR(Table1[[#This Row],[State]]="Other Foreign Countries", Table1[[#This Row],[State]]="Unknown", Table1[[#This Row],[State]]="Puerto Rico all counties"))</f>
        <v>1</v>
      </c>
    </row>
    <row r="284" spans="1:16" x14ac:dyDescent="0.25">
      <c r="A284">
        <v>8014</v>
      </c>
      <c r="B284" t="s">
        <v>489</v>
      </c>
      <c r="C284" t="s">
        <v>504</v>
      </c>
      <c r="D284">
        <v>1178</v>
      </c>
      <c r="E284">
        <v>253</v>
      </c>
      <c r="F284">
        <v>164</v>
      </c>
      <c r="G284">
        <v>163</v>
      </c>
      <c r="H284">
        <v>350</v>
      </c>
      <c r="I284">
        <v>248</v>
      </c>
      <c r="J284">
        <v>542</v>
      </c>
      <c r="K284">
        <v>298</v>
      </c>
      <c r="L284">
        <v>338</v>
      </c>
      <c r="M284" s="1">
        <v>1047</v>
      </c>
      <c r="N284">
        <v>130</v>
      </c>
      <c r="O284" t="s">
        <v>505</v>
      </c>
      <c r="P284" s="1" t="b">
        <f>NOT(OR(Table1[[#This Row],[State]]="Other Foreign Countries", Table1[[#This Row],[State]]="Unknown", Table1[[#This Row],[State]]="Puerto Rico all counties"))</f>
        <v>1</v>
      </c>
    </row>
    <row r="285" spans="1:16" x14ac:dyDescent="0.25">
      <c r="A285">
        <v>12011</v>
      </c>
      <c r="B285" t="s">
        <v>637</v>
      </c>
      <c r="C285" t="s">
        <v>648</v>
      </c>
      <c r="D285">
        <v>21025</v>
      </c>
      <c r="E285" s="1">
        <v>3755</v>
      </c>
      <c r="F285" s="1">
        <v>2044</v>
      </c>
      <c r="G285" s="1">
        <v>2223</v>
      </c>
      <c r="H285" s="1">
        <v>6388</v>
      </c>
      <c r="I285" s="1">
        <v>6615</v>
      </c>
      <c r="J285" s="1">
        <v>6942</v>
      </c>
      <c r="K285" s="1">
        <v>7408</v>
      </c>
      <c r="L285" s="1">
        <v>6675</v>
      </c>
      <c r="M285" s="1">
        <v>18035</v>
      </c>
      <c r="N285" s="1">
        <v>2984</v>
      </c>
      <c r="O285" t="s">
        <v>649</v>
      </c>
      <c r="P285" s="1" t="b">
        <f>NOT(OR(Table1[[#This Row],[State]]="Other Foreign Countries", Table1[[#This Row],[State]]="Unknown", Table1[[#This Row],[State]]="Puerto Rico all counties"))</f>
        <v>1</v>
      </c>
    </row>
    <row r="286" spans="1:16" x14ac:dyDescent="0.25">
      <c r="A286">
        <v>17009</v>
      </c>
      <c r="B286" t="s">
        <v>1109</v>
      </c>
      <c r="C286" t="s">
        <v>1116</v>
      </c>
      <c r="D286">
        <v>81</v>
      </c>
      <c r="E286">
        <v>19</v>
      </c>
      <c r="H286">
        <v>24</v>
      </c>
      <c r="I286">
        <v>24</v>
      </c>
      <c r="J286">
        <v>17</v>
      </c>
      <c r="K286">
        <v>33</v>
      </c>
      <c r="L286">
        <v>31</v>
      </c>
      <c r="O286" t="s">
        <v>1117</v>
      </c>
      <c r="P286" s="1" t="b">
        <f>NOT(OR(Table1[[#This Row],[State]]="Other Foreign Countries", Table1[[#This Row],[State]]="Unknown", Table1[[#This Row],[State]]="Puerto Rico all counties"))</f>
        <v>1</v>
      </c>
    </row>
    <row r="287" spans="1:16" x14ac:dyDescent="0.25">
      <c r="A287">
        <v>18013</v>
      </c>
      <c r="B287" t="s">
        <v>1266</v>
      </c>
      <c r="C287" t="s">
        <v>1116</v>
      </c>
      <c r="D287">
        <v>478</v>
      </c>
      <c r="E287">
        <v>154</v>
      </c>
      <c r="F287">
        <v>53</v>
      </c>
      <c r="G287">
        <v>49</v>
      </c>
      <c r="H287">
        <v>124</v>
      </c>
      <c r="I287">
        <v>98</v>
      </c>
      <c r="J287">
        <v>79</v>
      </c>
      <c r="K287">
        <v>152</v>
      </c>
      <c r="L287">
        <v>247</v>
      </c>
      <c r="M287">
        <v>441</v>
      </c>
      <c r="N287">
        <v>37</v>
      </c>
      <c r="O287" t="s">
        <v>1276</v>
      </c>
      <c r="P287" s="1" t="b">
        <f>NOT(OR(Table1[[#This Row],[State]]="Other Foreign Countries", Table1[[#This Row],[State]]="Unknown", Table1[[#This Row],[State]]="Puerto Rico all counties"))</f>
        <v>1</v>
      </c>
    </row>
    <row r="288" spans="1:16" x14ac:dyDescent="0.25">
      <c r="A288">
        <v>20013</v>
      </c>
      <c r="B288" t="s">
        <v>1543</v>
      </c>
      <c r="C288" t="s">
        <v>1116</v>
      </c>
      <c r="D288">
        <v>167</v>
      </c>
      <c r="E288">
        <v>40</v>
      </c>
      <c r="F288">
        <v>15</v>
      </c>
      <c r="G288">
        <v>15</v>
      </c>
      <c r="H288">
        <v>54</v>
      </c>
      <c r="I288">
        <v>43</v>
      </c>
      <c r="J288">
        <v>36</v>
      </c>
      <c r="K288">
        <v>48</v>
      </c>
      <c r="L288">
        <v>83</v>
      </c>
      <c r="O288" t="s">
        <v>1555</v>
      </c>
      <c r="P288" s="1" t="b">
        <f>NOT(OR(Table1[[#This Row],[State]]="Other Foreign Countries", Table1[[#This Row],[State]]="Unknown", Table1[[#This Row],[State]]="Puerto Rico all counties"))</f>
        <v>1</v>
      </c>
    </row>
    <row r="289" spans="1:16" x14ac:dyDescent="0.25">
      <c r="A289">
        <v>27015</v>
      </c>
      <c r="B289" t="s">
        <v>2245</v>
      </c>
      <c r="C289" t="s">
        <v>1116</v>
      </c>
      <c r="D289">
        <v>628</v>
      </c>
      <c r="E289">
        <v>292</v>
      </c>
      <c r="F289">
        <v>77</v>
      </c>
      <c r="G289">
        <v>65</v>
      </c>
      <c r="H289">
        <v>105</v>
      </c>
      <c r="I289">
        <v>89</v>
      </c>
      <c r="J289">
        <v>116</v>
      </c>
      <c r="K289">
        <v>117</v>
      </c>
      <c r="L289">
        <v>395</v>
      </c>
      <c r="M289">
        <v>589</v>
      </c>
      <c r="N289">
        <v>38</v>
      </c>
      <c r="O289" t="s">
        <v>2259</v>
      </c>
      <c r="P289" s="1" t="b">
        <f>NOT(OR(Table1[[#This Row],[State]]="Other Foreign Countries", Table1[[#This Row],[State]]="Unknown", Table1[[#This Row],[State]]="Puerto Rico all counties"))</f>
        <v>1</v>
      </c>
    </row>
    <row r="290" spans="1:16" x14ac:dyDescent="0.25">
      <c r="A290">
        <v>31017</v>
      </c>
      <c r="B290" t="s">
        <v>2758</v>
      </c>
      <c r="C290" t="s">
        <v>1116</v>
      </c>
      <c r="D290">
        <v>66</v>
      </c>
      <c r="E290">
        <v>21</v>
      </c>
      <c r="F290">
        <v>10</v>
      </c>
      <c r="G290">
        <v>11</v>
      </c>
      <c r="H290">
        <v>12</v>
      </c>
      <c r="I290">
        <v>12</v>
      </c>
      <c r="L290">
        <v>45</v>
      </c>
      <c r="O290" t="s">
        <v>2771</v>
      </c>
      <c r="P290" s="1" t="b">
        <f>NOT(OR(Table1[[#This Row],[State]]="Other Foreign Countries", Table1[[#This Row],[State]]="Unknown", Table1[[#This Row],[State]]="Puerto Rico all counties"))</f>
        <v>1</v>
      </c>
    </row>
    <row r="291" spans="1:16" x14ac:dyDescent="0.25">
      <c r="A291">
        <v>39015</v>
      </c>
      <c r="B291" t="s">
        <v>1343</v>
      </c>
      <c r="C291" t="s">
        <v>1116</v>
      </c>
      <c r="D291">
        <v>988</v>
      </c>
      <c r="E291">
        <v>244</v>
      </c>
      <c r="F291">
        <v>124</v>
      </c>
      <c r="G291">
        <v>114</v>
      </c>
      <c r="H291">
        <v>293</v>
      </c>
      <c r="I291">
        <v>213</v>
      </c>
      <c r="J291">
        <v>238</v>
      </c>
      <c r="K291">
        <v>244</v>
      </c>
      <c r="L291">
        <v>506</v>
      </c>
      <c r="M291">
        <v>919</v>
      </c>
      <c r="N291">
        <v>69</v>
      </c>
      <c r="O291" t="s">
        <v>3383</v>
      </c>
      <c r="P291" s="1" t="b">
        <f>NOT(OR(Table1[[#This Row],[State]]="Other Foreign Countries", Table1[[#This Row],[State]]="Unknown", Table1[[#This Row],[State]]="Puerto Rico all counties"))</f>
        <v>1</v>
      </c>
    </row>
    <row r="292" spans="1:16" x14ac:dyDescent="0.25">
      <c r="A292">
        <v>46013</v>
      </c>
      <c r="B292" t="s">
        <v>3846</v>
      </c>
      <c r="C292" t="s">
        <v>1116</v>
      </c>
      <c r="D292">
        <v>719</v>
      </c>
      <c r="E292">
        <v>213</v>
      </c>
      <c r="F292">
        <v>112</v>
      </c>
      <c r="G292">
        <v>101</v>
      </c>
      <c r="H292">
        <v>171</v>
      </c>
      <c r="I292">
        <v>122</v>
      </c>
      <c r="J292">
        <v>170</v>
      </c>
      <c r="K292">
        <v>230</v>
      </c>
      <c r="L292">
        <v>319</v>
      </c>
      <c r="M292">
        <v>659</v>
      </c>
      <c r="N292">
        <v>60</v>
      </c>
      <c r="O292" t="s">
        <v>3857</v>
      </c>
      <c r="P292" s="1" t="b">
        <f>NOT(OR(Table1[[#This Row],[State]]="Other Foreign Countries", Table1[[#This Row],[State]]="Unknown", Table1[[#This Row],[State]]="Puerto Rico all counties"))</f>
        <v>1</v>
      </c>
    </row>
    <row r="293" spans="1:16" x14ac:dyDescent="0.25">
      <c r="A293">
        <v>48049</v>
      </c>
      <c r="B293" t="s">
        <v>2654</v>
      </c>
      <c r="C293" t="s">
        <v>1116</v>
      </c>
      <c r="D293">
        <v>922</v>
      </c>
      <c r="E293">
        <v>166</v>
      </c>
      <c r="F293">
        <v>116</v>
      </c>
      <c r="G293">
        <v>120</v>
      </c>
      <c r="H293">
        <v>288</v>
      </c>
      <c r="I293">
        <v>232</v>
      </c>
      <c r="J293">
        <v>254</v>
      </c>
      <c r="K293">
        <v>300</v>
      </c>
      <c r="L293">
        <v>368</v>
      </c>
      <c r="M293">
        <v>839</v>
      </c>
      <c r="N293">
        <v>83</v>
      </c>
      <c r="O293" t="s">
        <v>4117</v>
      </c>
      <c r="P293" s="1" t="b">
        <f>NOT(OR(Table1[[#This Row],[State]]="Other Foreign Countries", Table1[[#This Row],[State]]="Unknown", Table1[[#This Row],[State]]="Puerto Rico all counties"))</f>
        <v>1</v>
      </c>
    </row>
    <row r="294" spans="1:16" x14ac:dyDescent="0.25">
      <c r="A294">
        <v>55009</v>
      </c>
      <c r="B294" t="s">
        <v>4906</v>
      </c>
      <c r="C294" t="s">
        <v>1116</v>
      </c>
      <c r="D294">
        <v>4325</v>
      </c>
      <c r="E294" s="1">
        <v>1008</v>
      </c>
      <c r="F294">
        <v>619</v>
      </c>
      <c r="G294">
        <v>586</v>
      </c>
      <c r="H294" s="1">
        <v>1275</v>
      </c>
      <c r="I294">
        <v>837</v>
      </c>
      <c r="J294" s="1">
        <v>1339</v>
      </c>
      <c r="K294" s="1">
        <v>1262</v>
      </c>
      <c r="L294" s="1">
        <v>1724</v>
      </c>
      <c r="M294" s="1">
        <v>3852</v>
      </c>
      <c r="N294">
        <v>473</v>
      </c>
      <c r="O294" t="s">
        <v>4913</v>
      </c>
      <c r="P294" s="1" t="b">
        <f>NOT(OR(Table1[[#This Row],[State]]="Other Foreign Countries", Table1[[#This Row],[State]]="Unknown", Table1[[#This Row],[State]]="Puerto Rico all counties"))</f>
        <v>1</v>
      </c>
    </row>
    <row r="295" spans="1:16" x14ac:dyDescent="0.25">
      <c r="A295">
        <v>46015</v>
      </c>
      <c r="B295" t="s">
        <v>3846</v>
      </c>
      <c r="C295" t="s">
        <v>3858</v>
      </c>
      <c r="D295">
        <v>102</v>
      </c>
      <c r="E295">
        <v>33</v>
      </c>
      <c r="F295">
        <v>20</v>
      </c>
      <c r="G295">
        <v>14</v>
      </c>
      <c r="H295">
        <v>23</v>
      </c>
      <c r="I295">
        <v>12</v>
      </c>
      <c r="J295">
        <v>17</v>
      </c>
      <c r="K295">
        <v>37</v>
      </c>
      <c r="L295">
        <v>48</v>
      </c>
      <c r="M295">
        <v>91</v>
      </c>
      <c r="N295">
        <v>11</v>
      </c>
      <c r="O295" t="s">
        <v>3859</v>
      </c>
      <c r="P295" s="1" t="b">
        <f>NOT(OR(Table1[[#This Row],[State]]="Other Foreign Countries", Table1[[#This Row],[State]]="Unknown", Table1[[#This Row],[State]]="Puerto Rico all counties"))</f>
        <v>1</v>
      </c>
    </row>
    <row r="296" spans="1:16" x14ac:dyDescent="0.25">
      <c r="A296">
        <v>37019</v>
      </c>
      <c r="B296" t="s">
        <v>3121</v>
      </c>
      <c r="C296" t="s">
        <v>3139</v>
      </c>
      <c r="D296">
        <v>5928</v>
      </c>
      <c r="E296" s="1">
        <v>1034</v>
      </c>
      <c r="F296">
        <v>589</v>
      </c>
      <c r="G296">
        <v>727</v>
      </c>
      <c r="H296" s="1">
        <v>1808</v>
      </c>
      <c r="I296" s="1">
        <v>1770</v>
      </c>
      <c r="J296" s="1">
        <v>1248</v>
      </c>
      <c r="K296" s="1">
        <v>1711</v>
      </c>
      <c r="L296" s="1">
        <v>2968</v>
      </c>
      <c r="M296" s="1">
        <v>5359</v>
      </c>
      <c r="N296">
        <v>569</v>
      </c>
      <c r="O296" t="s">
        <v>3140</v>
      </c>
      <c r="P296" s="1" t="b">
        <f>NOT(OR(Table1[[#This Row],[State]]="Other Foreign Countries", Table1[[#This Row],[State]]="Unknown", Table1[[#This Row],[State]]="Puerto Rico all counties"))</f>
        <v>1</v>
      </c>
    </row>
    <row r="297" spans="1:16" x14ac:dyDescent="0.25">
      <c r="A297">
        <v>51025</v>
      </c>
      <c r="B297" t="s">
        <v>4555</v>
      </c>
      <c r="C297" t="s">
        <v>3139</v>
      </c>
      <c r="D297">
        <v>318</v>
      </c>
      <c r="E297">
        <v>55</v>
      </c>
      <c r="F297">
        <v>41</v>
      </c>
      <c r="G297">
        <v>40</v>
      </c>
      <c r="H297">
        <v>92</v>
      </c>
      <c r="I297">
        <v>90</v>
      </c>
      <c r="J297">
        <v>48</v>
      </c>
      <c r="K297">
        <v>101</v>
      </c>
      <c r="L297">
        <v>169</v>
      </c>
      <c r="M297">
        <v>280</v>
      </c>
      <c r="N297">
        <v>38</v>
      </c>
      <c r="O297" t="s">
        <v>4577</v>
      </c>
      <c r="P297" s="1" t="b">
        <f>NOT(OR(Table1[[#This Row],[State]]="Other Foreign Countries", Table1[[#This Row],[State]]="Unknown", Table1[[#This Row],[State]]="Puerto Rico all counties"))</f>
        <v>1</v>
      </c>
    </row>
    <row r="298" spans="1:16" x14ac:dyDescent="0.25">
      <c r="A298">
        <v>13029</v>
      </c>
      <c r="B298" t="s">
        <v>754</v>
      </c>
      <c r="C298" t="s">
        <v>780</v>
      </c>
      <c r="D298">
        <v>3301</v>
      </c>
      <c r="E298">
        <v>326</v>
      </c>
      <c r="F298">
        <v>224</v>
      </c>
      <c r="G298">
        <v>298</v>
      </c>
      <c r="H298">
        <v>984</v>
      </c>
      <c r="I298" s="1">
        <v>1469</v>
      </c>
      <c r="J298" s="1">
        <v>1280</v>
      </c>
      <c r="K298" s="1">
        <v>1524</v>
      </c>
      <c r="L298">
        <v>497</v>
      </c>
      <c r="M298" s="1">
        <v>2696</v>
      </c>
      <c r="N298">
        <v>605</v>
      </c>
      <c r="O298" t="s">
        <v>781</v>
      </c>
      <c r="P298" s="1" t="b">
        <f>NOT(OR(Table1[[#This Row],[State]]="Other Foreign Countries", Table1[[#This Row],[State]]="Unknown", Table1[[#This Row],[State]]="Puerto Rico all counties"))</f>
        <v>1</v>
      </c>
    </row>
    <row r="299" spans="1:16" x14ac:dyDescent="0.25">
      <c r="A299">
        <v>40013</v>
      </c>
      <c r="B299" t="s">
        <v>3495</v>
      </c>
      <c r="C299" t="s">
        <v>780</v>
      </c>
      <c r="D299">
        <v>1308</v>
      </c>
      <c r="E299">
        <v>252</v>
      </c>
      <c r="F299">
        <v>150</v>
      </c>
      <c r="G299">
        <v>157</v>
      </c>
      <c r="H299">
        <v>405</v>
      </c>
      <c r="I299">
        <v>344</v>
      </c>
      <c r="J299">
        <v>336</v>
      </c>
      <c r="K299">
        <v>362</v>
      </c>
      <c r="L299">
        <v>610</v>
      </c>
      <c r="M299" s="1">
        <v>1200</v>
      </c>
      <c r="N299">
        <v>108</v>
      </c>
      <c r="O299" t="s">
        <v>3506</v>
      </c>
      <c r="P299" s="1" t="b">
        <f>NOT(OR(Table1[[#This Row],[State]]="Other Foreign Countries", Table1[[#This Row],[State]]="Unknown", Table1[[#This Row],[State]]="Puerto Rico all counties"))</f>
        <v>1</v>
      </c>
    </row>
    <row r="300" spans="1:16" x14ac:dyDescent="0.25">
      <c r="A300">
        <v>19019</v>
      </c>
      <c r="B300" t="s">
        <v>1399</v>
      </c>
      <c r="C300" t="s">
        <v>1415</v>
      </c>
      <c r="D300">
        <v>294</v>
      </c>
      <c r="E300">
        <v>59</v>
      </c>
      <c r="F300">
        <v>41</v>
      </c>
      <c r="G300">
        <v>37</v>
      </c>
      <c r="H300">
        <v>78</v>
      </c>
      <c r="I300">
        <v>79</v>
      </c>
      <c r="J300">
        <v>71</v>
      </c>
      <c r="K300">
        <v>87</v>
      </c>
      <c r="L300">
        <v>136</v>
      </c>
      <c r="M300">
        <v>274</v>
      </c>
      <c r="N300">
        <v>20</v>
      </c>
      <c r="O300" t="s">
        <v>1416</v>
      </c>
      <c r="P300" s="1" t="b">
        <f>NOT(OR(Table1[[#This Row],[State]]="Other Foreign Countries", Table1[[#This Row],[State]]="Unknown", Table1[[#This Row],[State]]="Puerto Rico all counties"))</f>
        <v>1</v>
      </c>
    </row>
    <row r="301" spans="1:16" x14ac:dyDescent="0.25">
      <c r="A301">
        <v>29021</v>
      </c>
      <c r="B301" t="s">
        <v>2510</v>
      </c>
      <c r="C301" t="s">
        <v>1415</v>
      </c>
      <c r="D301">
        <v>1480</v>
      </c>
      <c r="E301">
        <v>413</v>
      </c>
      <c r="F301">
        <v>177</v>
      </c>
      <c r="G301">
        <v>187</v>
      </c>
      <c r="H301">
        <v>431</v>
      </c>
      <c r="I301">
        <v>272</v>
      </c>
      <c r="J301">
        <v>321</v>
      </c>
      <c r="K301">
        <v>478</v>
      </c>
      <c r="L301">
        <v>681</v>
      </c>
      <c r="M301" s="1">
        <v>1357</v>
      </c>
      <c r="N301">
        <v>123</v>
      </c>
      <c r="O301" t="s">
        <v>2525</v>
      </c>
      <c r="P301" s="1" t="b">
        <f>NOT(OR(Table1[[#This Row],[State]]="Other Foreign Countries", Table1[[#This Row],[State]]="Unknown", Table1[[#This Row],[State]]="Puerto Rico all counties"))</f>
        <v>1</v>
      </c>
    </row>
    <row r="302" spans="1:16" x14ac:dyDescent="0.25">
      <c r="A302">
        <v>51027</v>
      </c>
      <c r="B302" t="s">
        <v>4555</v>
      </c>
      <c r="C302" t="s">
        <v>1415</v>
      </c>
      <c r="D302">
        <v>232</v>
      </c>
      <c r="E302">
        <v>34</v>
      </c>
      <c r="F302">
        <v>18</v>
      </c>
      <c r="G302">
        <v>31</v>
      </c>
      <c r="H302">
        <v>94</v>
      </c>
      <c r="I302">
        <v>55</v>
      </c>
      <c r="J302">
        <v>34</v>
      </c>
      <c r="K302">
        <v>57</v>
      </c>
      <c r="L302">
        <v>141</v>
      </c>
      <c r="O302" t="s">
        <v>4578</v>
      </c>
      <c r="P302" s="1" t="b">
        <f>NOT(OR(Table1[[#This Row],[State]]="Other Foreign Countries", Table1[[#This Row],[State]]="Unknown", Table1[[#This Row],[State]]="Puerto Rico all counties"))</f>
        <v>1</v>
      </c>
    </row>
    <row r="303" spans="1:16" x14ac:dyDescent="0.25">
      <c r="A303">
        <v>51029</v>
      </c>
      <c r="B303" t="s">
        <v>4555</v>
      </c>
      <c r="C303" t="s">
        <v>4579</v>
      </c>
      <c r="D303">
        <v>322</v>
      </c>
      <c r="E303">
        <v>63</v>
      </c>
      <c r="F303">
        <v>33</v>
      </c>
      <c r="G303">
        <v>44</v>
      </c>
      <c r="H303">
        <v>97</v>
      </c>
      <c r="I303">
        <v>85</v>
      </c>
      <c r="J303">
        <v>80</v>
      </c>
      <c r="K303">
        <v>104</v>
      </c>
      <c r="L303">
        <v>138</v>
      </c>
      <c r="M303">
        <v>293</v>
      </c>
      <c r="N303">
        <v>29</v>
      </c>
      <c r="O303" t="s">
        <v>4580</v>
      </c>
      <c r="P303" s="1" t="b">
        <f>NOT(OR(Table1[[#This Row],[State]]="Other Foreign Countries", Table1[[#This Row],[State]]="Unknown", Table1[[#This Row],[State]]="Puerto Rico all counties"))</f>
        <v>1</v>
      </c>
    </row>
    <row r="304" spans="1:16" x14ac:dyDescent="0.25">
      <c r="A304">
        <v>42017</v>
      </c>
      <c r="B304" t="s">
        <v>3665</v>
      </c>
      <c r="C304" t="s">
        <v>3679</v>
      </c>
      <c r="D304">
        <v>6156</v>
      </c>
      <c r="E304" s="1">
        <v>1264</v>
      </c>
      <c r="F304">
        <v>664</v>
      </c>
      <c r="G304">
        <v>736</v>
      </c>
      <c r="H304" s="1">
        <v>1891</v>
      </c>
      <c r="I304" s="1">
        <v>1601</v>
      </c>
      <c r="J304" s="1">
        <v>1698</v>
      </c>
      <c r="K304" s="1">
        <v>1658</v>
      </c>
      <c r="L304" s="1">
        <v>2800</v>
      </c>
      <c r="M304" s="1">
        <v>5642</v>
      </c>
      <c r="N304">
        <v>511</v>
      </c>
      <c r="O304" t="s">
        <v>3680</v>
      </c>
      <c r="P304" s="1" t="b">
        <f>NOT(OR(Table1[[#This Row],[State]]="Other Foreign Countries", Table1[[#This Row],[State]]="Unknown", Table1[[#This Row],[State]]="Puerto Rico all counties"))</f>
        <v>1</v>
      </c>
    </row>
    <row r="305" spans="1:16" x14ac:dyDescent="0.25">
      <c r="A305">
        <v>19021</v>
      </c>
      <c r="B305" t="s">
        <v>1399</v>
      </c>
      <c r="C305" t="s">
        <v>1417</v>
      </c>
      <c r="D305">
        <v>262</v>
      </c>
      <c r="E305">
        <v>67</v>
      </c>
      <c r="F305">
        <v>37</v>
      </c>
      <c r="G305">
        <v>45</v>
      </c>
      <c r="H305">
        <v>53</v>
      </c>
      <c r="I305">
        <v>60</v>
      </c>
      <c r="J305">
        <v>42</v>
      </c>
      <c r="K305">
        <v>59</v>
      </c>
      <c r="L305">
        <v>161</v>
      </c>
      <c r="M305">
        <v>248</v>
      </c>
      <c r="N305">
        <v>14</v>
      </c>
      <c r="O305" t="s">
        <v>1418</v>
      </c>
      <c r="P305" s="1" t="b">
        <f>NOT(OR(Table1[[#This Row],[State]]="Other Foreign Countries", Table1[[#This Row],[State]]="Unknown", Table1[[#This Row],[State]]="Puerto Rico all counties"))</f>
        <v>1</v>
      </c>
    </row>
    <row r="306" spans="1:16" x14ac:dyDescent="0.25">
      <c r="A306">
        <v>51530</v>
      </c>
      <c r="B306" t="s">
        <v>4555</v>
      </c>
      <c r="C306" t="s">
        <v>4700</v>
      </c>
      <c r="D306">
        <v>86</v>
      </c>
      <c r="E306">
        <v>21</v>
      </c>
      <c r="F306">
        <v>18</v>
      </c>
      <c r="G306">
        <v>10</v>
      </c>
      <c r="H306">
        <v>18</v>
      </c>
      <c r="I306">
        <v>19</v>
      </c>
      <c r="J306">
        <v>13</v>
      </c>
      <c r="K306">
        <v>16</v>
      </c>
      <c r="L306">
        <v>57</v>
      </c>
      <c r="O306" t="s">
        <v>4701</v>
      </c>
      <c r="P306" s="1" t="b">
        <f>NOT(OR(Table1[[#This Row],[State]]="Other Foreign Countries", Table1[[#This Row],[State]]="Unknown", Table1[[#This Row],[State]]="Puerto Rico all counties"))</f>
        <v>1</v>
      </c>
    </row>
    <row r="307" spans="1:16" x14ac:dyDescent="0.25">
      <c r="A307">
        <v>31019</v>
      </c>
      <c r="B307" t="s">
        <v>2758</v>
      </c>
      <c r="C307" t="s">
        <v>2772</v>
      </c>
      <c r="D307">
        <v>1155</v>
      </c>
      <c r="E307">
        <v>398</v>
      </c>
      <c r="F307">
        <v>148</v>
      </c>
      <c r="G307">
        <v>123</v>
      </c>
      <c r="H307">
        <v>261</v>
      </c>
      <c r="I307">
        <v>225</v>
      </c>
      <c r="J307">
        <v>235</v>
      </c>
      <c r="K307">
        <v>257</v>
      </c>
      <c r="L307">
        <v>663</v>
      </c>
      <c r="M307" s="1">
        <v>1093</v>
      </c>
      <c r="N307">
        <v>62</v>
      </c>
      <c r="O307" t="s">
        <v>2773</v>
      </c>
      <c r="P307" s="1" t="b">
        <f>NOT(OR(Table1[[#This Row],[State]]="Other Foreign Countries", Table1[[#This Row],[State]]="Unknown", Table1[[#This Row],[State]]="Puerto Rico all counties"))</f>
        <v>1</v>
      </c>
    </row>
    <row r="308" spans="1:16" x14ac:dyDescent="0.25">
      <c r="A308">
        <v>46017</v>
      </c>
      <c r="B308" t="s">
        <v>3846</v>
      </c>
      <c r="C308" t="s">
        <v>2772</v>
      </c>
      <c r="D308">
        <v>17</v>
      </c>
      <c r="O308" t="s">
        <v>3860</v>
      </c>
      <c r="P308" s="1" t="b">
        <f>NOT(OR(Table1[[#This Row],[State]]="Other Foreign Countries", Table1[[#This Row],[State]]="Unknown", Table1[[#This Row],[State]]="Puerto Rico all counties"))</f>
        <v>1</v>
      </c>
    </row>
    <row r="309" spans="1:16" x14ac:dyDescent="0.25">
      <c r="A309">
        <v>55011</v>
      </c>
      <c r="B309" t="s">
        <v>4906</v>
      </c>
      <c r="C309" t="s">
        <v>2772</v>
      </c>
      <c r="D309">
        <v>374</v>
      </c>
      <c r="E309">
        <v>101</v>
      </c>
      <c r="F309">
        <v>40</v>
      </c>
      <c r="G309">
        <v>37</v>
      </c>
      <c r="H309">
        <v>96</v>
      </c>
      <c r="I309">
        <v>100</v>
      </c>
      <c r="J309">
        <v>63</v>
      </c>
      <c r="K309">
        <v>92</v>
      </c>
      <c r="L309">
        <v>219</v>
      </c>
      <c r="M309">
        <v>344</v>
      </c>
      <c r="N309">
        <v>30</v>
      </c>
      <c r="O309" t="s">
        <v>4914</v>
      </c>
      <c r="P309" s="1" t="b">
        <f>NOT(OR(Table1[[#This Row],[State]]="Other Foreign Countries", Table1[[#This Row],[State]]="Unknown", Table1[[#This Row],[State]]="Puerto Rico all counties"))</f>
        <v>1</v>
      </c>
    </row>
    <row r="310" spans="1:16" x14ac:dyDescent="0.25">
      <c r="A310">
        <v>21029</v>
      </c>
      <c r="B310" t="s">
        <v>1716</v>
      </c>
      <c r="C310" t="s">
        <v>1740</v>
      </c>
      <c r="D310">
        <v>1779</v>
      </c>
      <c r="E310">
        <v>448</v>
      </c>
      <c r="F310">
        <v>244</v>
      </c>
      <c r="G310">
        <v>232</v>
      </c>
      <c r="H310">
        <v>477</v>
      </c>
      <c r="I310">
        <v>378</v>
      </c>
      <c r="J310">
        <v>396</v>
      </c>
      <c r="K310">
        <v>708</v>
      </c>
      <c r="L310">
        <v>675</v>
      </c>
      <c r="M310" s="1">
        <v>1628</v>
      </c>
      <c r="N310">
        <v>150</v>
      </c>
      <c r="O310" t="s">
        <v>1741</v>
      </c>
      <c r="P310" s="1" t="b">
        <f>NOT(OR(Table1[[#This Row],[State]]="Other Foreign Countries", Table1[[#This Row],[State]]="Unknown", Table1[[#This Row],[State]]="Puerto Rico all counties"))</f>
        <v>1</v>
      </c>
    </row>
    <row r="311" spans="1:16" x14ac:dyDescent="0.25">
      <c r="A311">
        <v>13031</v>
      </c>
      <c r="B311" t="s">
        <v>754</v>
      </c>
      <c r="C311" t="s">
        <v>782</v>
      </c>
      <c r="D311">
        <v>1650</v>
      </c>
      <c r="E311">
        <v>207</v>
      </c>
      <c r="F311">
        <v>166</v>
      </c>
      <c r="G311">
        <v>198</v>
      </c>
      <c r="H311">
        <v>606</v>
      </c>
      <c r="I311">
        <v>473</v>
      </c>
      <c r="J311">
        <v>589</v>
      </c>
      <c r="K311">
        <v>604</v>
      </c>
      <c r="L311">
        <v>457</v>
      </c>
      <c r="M311" s="1">
        <v>1396</v>
      </c>
      <c r="N311">
        <v>254</v>
      </c>
      <c r="O311" t="s">
        <v>783</v>
      </c>
      <c r="P311" s="1" t="b">
        <f>NOT(OR(Table1[[#This Row],[State]]="Other Foreign Countries", Table1[[#This Row],[State]]="Unknown", Table1[[#This Row],[State]]="Puerto Rico all counties"))</f>
        <v>1</v>
      </c>
    </row>
    <row r="312" spans="1:16" x14ac:dyDescent="0.25">
      <c r="A312">
        <v>1011</v>
      </c>
      <c r="B312" t="s">
        <v>15</v>
      </c>
      <c r="C312" t="s">
        <v>26</v>
      </c>
      <c r="D312">
        <v>223</v>
      </c>
      <c r="E312">
        <v>36</v>
      </c>
      <c r="F312">
        <v>21</v>
      </c>
      <c r="G312">
        <v>32</v>
      </c>
      <c r="H312">
        <v>58</v>
      </c>
      <c r="I312">
        <v>76</v>
      </c>
      <c r="J312">
        <v>51</v>
      </c>
      <c r="K312">
        <v>73</v>
      </c>
      <c r="L312">
        <v>99</v>
      </c>
      <c r="M312">
        <v>190</v>
      </c>
      <c r="N312">
        <v>33</v>
      </c>
      <c r="O312" t="s">
        <v>27</v>
      </c>
      <c r="P312" s="1" t="b">
        <f>NOT(OR(Table1[[#This Row],[State]]="Other Foreign Countries", Table1[[#This Row],[State]]="Unknown", Table1[[#This Row],[State]]="Puerto Rico all counties"))</f>
        <v>1</v>
      </c>
    </row>
    <row r="313" spans="1:16" x14ac:dyDescent="0.25">
      <c r="A313">
        <v>37021</v>
      </c>
      <c r="B313" t="s">
        <v>3121</v>
      </c>
      <c r="C313" t="s">
        <v>3141</v>
      </c>
      <c r="D313">
        <v>5088</v>
      </c>
      <c r="E313" s="1">
        <v>1169</v>
      </c>
      <c r="F313">
        <v>582</v>
      </c>
      <c r="G313">
        <v>647</v>
      </c>
      <c r="H313" s="1">
        <v>1484</v>
      </c>
      <c r="I313" s="1">
        <v>1206</v>
      </c>
      <c r="J313" s="1">
        <v>1185</v>
      </c>
      <c r="K313" s="1">
        <v>1430</v>
      </c>
      <c r="L313" s="1">
        <v>2473</v>
      </c>
      <c r="M313" s="1">
        <v>4435</v>
      </c>
      <c r="N313">
        <v>652</v>
      </c>
      <c r="O313" t="s">
        <v>3142</v>
      </c>
      <c r="P313" s="1" t="b">
        <f>NOT(OR(Table1[[#This Row],[State]]="Other Foreign Countries", Table1[[#This Row],[State]]="Unknown", Table1[[#This Row],[State]]="Puerto Rico all counties"))</f>
        <v>1</v>
      </c>
    </row>
    <row r="314" spans="1:16" x14ac:dyDescent="0.25">
      <c r="A314">
        <v>17011</v>
      </c>
      <c r="B314" t="s">
        <v>1109</v>
      </c>
      <c r="C314" t="s">
        <v>1118</v>
      </c>
      <c r="D314">
        <v>454</v>
      </c>
      <c r="E314">
        <v>95</v>
      </c>
      <c r="F314">
        <v>52</v>
      </c>
      <c r="G314">
        <v>55</v>
      </c>
      <c r="H314">
        <v>147</v>
      </c>
      <c r="I314">
        <v>105</v>
      </c>
      <c r="J314">
        <v>109</v>
      </c>
      <c r="K314">
        <v>139</v>
      </c>
      <c r="L314">
        <v>206</v>
      </c>
      <c r="M314">
        <v>413</v>
      </c>
      <c r="N314">
        <v>41</v>
      </c>
      <c r="O314" t="s">
        <v>1119</v>
      </c>
      <c r="P314" s="1" t="b">
        <f>NOT(OR(Table1[[#This Row],[State]]="Other Foreign Countries", Table1[[#This Row],[State]]="Unknown", Table1[[#This Row],[State]]="Puerto Rico all counties"))</f>
        <v>1</v>
      </c>
    </row>
    <row r="315" spans="1:16" x14ac:dyDescent="0.25">
      <c r="A315">
        <v>13033</v>
      </c>
      <c r="B315" t="s">
        <v>754</v>
      </c>
      <c r="C315" t="s">
        <v>784</v>
      </c>
      <c r="D315">
        <v>617</v>
      </c>
      <c r="E315">
        <v>102</v>
      </c>
      <c r="F315">
        <v>48</v>
      </c>
      <c r="G315">
        <v>68</v>
      </c>
      <c r="H315">
        <v>196</v>
      </c>
      <c r="I315">
        <v>203</v>
      </c>
      <c r="J315">
        <v>165</v>
      </c>
      <c r="K315">
        <v>225</v>
      </c>
      <c r="L315">
        <v>227</v>
      </c>
      <c r="M315">
        <v>516</v>
      </c>
      <c r="N315">
        <v>101</v>
      </c>
      <c r="O315" t="s">
        <v>785</v>
      </c>
      <c r="P315" s="1" t="b">
        <f>NOT(OR(Table1[[#This Row],[State]]="Other Foreign Countries", Table1[[#This Row],[State]]="Unknown", Table1[[#This Row],[State]]="Puerto Rico all counties"))</f>
        <v>1</v>
      </c>
    </row>
    <row r="316" spans="1:16" x14ac:dyDescent="0.25">
      <c r="A316">
        <v>37023</v>
      </c>
      <c r="B316" t="s">
        <v>3121</v>
      </c>
      <c r="C316" t="s">
        <v>784</v>
      </c>
      <c r="D316">
        <v>1874</v>
      </c>
      <c r="E316">
        <v>365</v>
      </c>
      <c r="F316">
        <v>194</v>
      </c>
      <c r="G316">
        <v>250</v>
      </c>
      <c r="H316">
        <v>567</v>
      </c>
      <c r="I316">
        <v>498</v>
      </c>
      <c r="J316">
        <v>418</v>
      </c>
      <c r="K316">
        <v>489</v>
      </c>
      <c r="L316">
        <v>967</v>
      </c>
      <c r="M316" s="1">
        <v>1734</v>
      </c>
      <c r="N316">
        <v>139</v>
      </c>
      <c r="O316" t="s">
        <v>3143</v>
      </c>
      <c r="P316" s="1" t="b">
        <f>NOT(OR(Table1[[#This Row],[State]]="Other Foreign Countries", Table1[[#This Row],[State]]="Unknown", Table1[[#This Row],[State]]="Puerto Rico all counties"))</f>
        <v>1</v>
      </c>
    </row>
    <row r="317" spans="1:16" x14ac:dyDescent="0.25">
      <c r="A317">
        <v>38013</v>
      </c>
      <c r="B317" t="s">
        <v>3286</v>
      </c>
      <c r="C317" t="s">
        <v>784</v>
      </c>
      <c r="D317">
        <v>37</v>
      </c>
      <c r="E317">
        <v>14</v>
      </c>
      <c r="L317">
        <v>18</v>
      </c>
      <c r="O317" t="s">
        <v>3298</v>
      </c>
      <c r="P317" s="1" t="b">
        <f>NOT(OR(Table1[[#This Row],[State]]="Other Foreign Countries", Table1[[#This Row],[State]]="Unknown", Table1[[#This Row],[State]]="Puerto Rico all counties"))</f>
        <v>1</v>
      </c>
    </row>
    <row r="318" spans="1:16" x14ac:dyDescent="0.25">
      <c r="A318">
        <v>38015</v>
      </c>
      <c r="B318" t="s">
        <v>3286</v>
      </c>
      <c r="C318" t="s">
        <v>3299</v>
      </c>
      <c r="D318">
        <v>1867</v>
      </c>
      <c r="E318">
        <v>470</v>
      </c>
      <c r="F318">
        <v>243</v>
      </c>
      <c r="G318">
        <v>281</v>
      </c>
      <c r="H318">
        <v>513</v>
      </c>
      <c r="I318">
        <v>360</v>
      </c>
      <c r="J318">
        <v>448</v>
      </c>
      <c r="K318">
        <v>651</v>
      </c>
      <c r="L318">
        <v>768</v>
      </c>
      <c r="M318" s="1">
        <v>1659</v>
      </c>
      <c r="N318">
        <v>208</v>
      </c>
      <c r="O318" t="s">
        <v>3300</v>
      </c>
      <c r="P318" s="1" t="b">
        <f>NOT(OR(Table1[[#This Row],[State]]="Other Foreign Countries", Table1[[#This Row],[State]]="Unknown", Table1[[#This Row],[State]]="Puerto Rico all counties"))</f>
        <v>1</v>
      </c>
    </row>
    <row r="319" spans="1:16" x14ac:dyDescent="0.25">
      <c r="A319">
        <v>48051</v>
      </c>
      <c r="B319" t="s">
        <v>2654</v>
      </c>
      <c r="C319" t="s">
        <v>4118</v>
      </c>
      <c r="D319">
        <v>481</v>
      </c>
      <c r="E319">
        <v>84</v>
      </c>
      <c r="F319">
        <v>52</v>
      </c>
      <c r="G319">
        <v>63</v>
      </c>
      <c r="H319">
        <v>152</v>
      </c>
      <c r="I319">
        <v>130</v>
      </c>
      <c r="J319">
        <v>131</v>
      </c>
      <c r="K319">
        <v>147</v>
      </c>
      <c r="L319">
        <v>203</v>
      </c>
      <c r="M319">
        <v>424</v>
      </c>
      <c r="N319">
        <v>57</v>
      </c>
      <c r="O319" t="s">
        <v>4119</v>
      </c>
      <c r="P319" s="1" t="b">
        <f>NOT(OR(Table1[[#This Row],[State]]="Other Foreign Countries", Table1[[#This Row],[State]]="Unknown", Table1[[#This Row],[State]]="Puerto Rico all counties"))</f>
        <v>1</v>
      </c>
    </row>
    <row r="320" spans="1:16" x14ac:dyDescent="0.25">
      <c r="A320">
        <v>34005</v>
      </c>
      <c r="B320" t="s">
        <v>2938</v>
      </c>
      <c r="C320" t="s">
        <v>2943</v>
      </c>
      <c r="D320">
        <v>9004</v>
      </c>
      <c r="E320" s="1">
        <v>1514</v>
      </c>
      <c r="F320">
        <v>858</v>
      </c>
      <c r="G320">
        <v>960</v>
      </c>
      <c r="H320" s="1">
        <v>2769</v>
      </c>
      <c r="I320" s="1">
        <v>2903</v>
      </c>
      <c r="J320" s="1">
        <v>2484</v>
      </c>
      <c r="K320" s="1">
        <v>3100</v>
      </c>
      <c r="L320" s="1">
        <v>3419</v>
      </c>
      <c r="M320" s="1">
        <v>7631</v>
      </c>
      <c r="N320" s="1">
        <v>1371</v>
      </c>
      <c r="O320" t="s">
        <v>2944</v>
      </c>
      <c r="P320" s="1" t="b">
        <f>NOT(OR(Table1[[#This Row],[State]]="Other Foreign Countries", Table1[[#This Row],[State]]="Unknown", Table1[[#This Row],[State]]="Puerto Rico all counties"))</f>
        <v>1</v>
      </c>
    </row>
    <row r="321" spans="1:16" x14ac:dyDescent="0.25">
      <c r="A321">
        <v>48053</v>
      </c>
      <c r="B321" t="s">
        <v>2654</v>
      </c>
      <c r="C321" t="s">
        <v>4120</v>
      </c>
      <c r="D321">
        <v>1490</v>
      </c>
      <c r="E321">
        <v>307</v>
      </c>
      <c r="F321">
        <v>144</v>
      </c>
      <c r="G321">
        <v>170</v>
      </c>
      <c r="H321">
        <v>436</v>
      </c>
      <c r="I321">
        <v>433</v>
      </c>
      <c r="J321">
        <v>379</v>
      </c>
      <c r="K321">
        <v>476</v>
      </c>
      <c r="L321">
        <v>635</v>
      </c>
      <c r="M321" s="1">
        <v>1331</v>
      </c>
      <c r="N321">
        <v>159</v>
      </c>
      <c r="O321" t="s">
        <v>4121</v>
      </c>
      <c r="P321" s="1" t="b">
        <f>NOT(OR(Table1[[#This Row],[State]]="Other Foreign Countries", Table1[[#This Row],[State]]="Unknown", Table1[[#This Row],[State]]="Puerto Rico all counties"))</f>
        <v>1</v>
      </c>
    </row>
    <row r="322" spans="1:16" x14ac:dyDescent="0.25">
      <c r="A322">
        <v>55013</v>
      </c>
      <c r="B322" t="s">
        <v>4906</v>
      </c>
      <c r="C322" t="s">
        <v>4915</v>
      </c>
      <c r="D322">
        <v>662</v>
      </c>
      <c r="E322">
        <v>221</v>
      </c>
      <c r="F322">
        <v>70</v>
      </c>
      <c r="G322">
        <v>87</v>
      </c>
      <c r="H322">
        <v>158</v>
      </c>
      <c r="I322">
        <v>126</v>
      </c>
      <c r="J322">
        <v>78</v>
      </c>
      <c r="K322">
        <v>161</v>
      </c>
      <c r="L322">
        <v>423</v>
      </c>
      <c r="M322">
        <v>621</v>
      </c>
      <c r="N322">
        <v>40</v>
      </c>
      <c r="O322" t="s">
        <v>4916</v>
      </c>
      <c r="P322" s="1" t="b">
        <f>NOT(OR(Table1[[#This Row],[State]]="Other Foreign Countries", Table1[[#This Row],[State]]="Unknown", Table1[[#This Row],[State]]="Puerto Rico all counties"))</f>
        <v>1</v>
      </c>
    </row>
    <row r="323" spans="1:16" x14ac:dyDescent="0.25">
      <c r="A323">
        <v>31021</v>
      </c>
      <c r="B323" t="s">
        <v>2758</v>
      </c>
      <c r="C323" t="s">
        <v>2774</v>
      </c>
      <c r="D323">
        <v>146</v>
      </c>
      <c r="E323">
        <v>47</v>
      </c>
      <c r="F323">
        <v>19</v>
      </c>
      <c r="G323">
        <v>23</v>
      </c>
      <c r="H323">
        <v>25</v>
      </c>
      <c r="I323">
        <v>32</v>
      </c>
      <c r="J323">
        <v>19</v>
      </c>
      <c r="K323">
        <v>38</v>
      </c>
      <c r="L323">
        <v>89</v>
      </c>
      <c r="M323">
        <v>132</v>
      </c>
      <c r="N323">
        <v>14</v>
      </c>
      <c r="O323" t="s">
        <v>2775</v>
      </c>
      <c r="P323" s="1" t="b">
        <f>NOT(OR(Table1[[#This Row],[State]]="Other Foreign Countries", Table1[[#This Row],[State]]="Unknown", Table1[[#This Row],[State]]="Puerto Rico all counties"))</f>
        <v>1</v>
      </c>
    </row>
    <row r="324" spans="1:16" x14ac:dyDescent="0.25">
      <c r="A324">
        <v>1013</v>
      </c>
      <c r="B324" t="s">
        <v>15</v>
      </c>
      <c r="C324" t="s">
        <v>28</v>
      </c>
      <c r="D324">
        <v>501</v>
      </c>
      <c r="E324">
        <v>89</v>
      </c>
      <c r="F324">
        <v>45</v>
      </c>
      <c r="G324">
        <v>52</v>
      </c>
      <c r="H324">
        <v>141</v>
      </c>
      <c r="I324">
        <v>174</v>
      </c>
      <c r="J324">
        <v>86</v>
      </c>
      <c r="K324">
        <v>193</v>
      </c>
      <c r="L324">
        <v>222</v>
      </c>
      <c r="M324">
        <v>440</v>
      </c>
      <c r="N324">
        <v>61</v>
      </c>
      <c r="O324" t="s">
        <v>29</v>
      </c>
      <c r="P324" s="1" t="b">
        <f>NOT(OR(Table1[[#This Row],[State]]="Other Foreign Countries", Table1[[#This Row],[State]]="Unknown", Table1[[#This Row],[State]]="Puerto Rico all counties"))</f>
        <v>1</v>
      </c>
    </row>
    <row r="325" spans="1:16" x14ac:dyDescent="0.25">
      <c r="A325">
        <v>19023</v>
      </c>
      <c r="B325" t="s">
        <v>1399</v>
      </c>
      <c r="C325" t="s">
        <v>28</v>
      </c>
      <c r="D325">
        <v>226</v>
      </c>
      <c r="E325">
        <v>57</v>
      </c>
      <c r="F325">
        <v>26</v>
      </c>
      <c r="G325">
        <v>25</v>
      </c>
      <c r="H325">
        <v>71</v>
      </c>
      <c r="I325">
        <v>47</v>
      </c>
      <c r="J325">
        <v>52</v>
      </c>
      <c r="K325">
        <v>48</v>
      </c>
      <c r="L325">
        <v>126</v>
      </c>
      <c r="M325">
        <v>207</v>
      </c>
      <c r="N325">
        <v>19</v>
      </c>
      <c r="O325" t="s">
        <v>1419</v>
      </c>
      <c r="P325" s="1" t="b">
        <f>NOT(OR(Table1[[#This Row],[State]]="Other Foreign Countries", Table1[[#This Row],[State]]="Unknown", Table1[[#This Row],[State]]="Puerto Rico all counties"))</f>
        <v>1</v>
      </c>
    </row>
    <row r="326" spans="1:16" x14ac:dyDescent="0.25">
      <c r="A326">
        <v>20015</v>
      </c>
      <c r="B326" t="s">
        <v>1543</v>
      </c>
      <c r="C326" t="s">
        <v>28</v>
      </c>
      <c r="D326">
        <v>1560</v>
      </c>
      <c r="E326">
        <v>288</v>
      </c>
      <c r="F326">
        <v>172</v>
      </c>
      <c r="G326">
        <v>183</v>
      </c>
      <c r="H326">
        <v>489</v>
      </c>
      <c r="I326">
        <v>428</v>
      </c>
      <c r="J326">
        <v>490</v>
      </c>
      <c r="K326">
        <v>555</v>
      </c>
      <c r="L326">
        <v>515</v>
      </c>
      <c r="M326" s="1">
        <v>1387</v>
      </c>
      <c r="N326">
        <v>173</v>
      </c>
      <c r="O326" t="s">
        <v>1556</v>
      </c>
      <c r="P326" s="1" t="b">
        <f>NOT(OR(Table1[[#This Row],[State]]="Other Foreign Countries", Table1[[#This Row],[State]]="Unknown", Table1[[#This Row],[State]]="Puerto Rico all counties"))</f>
        <v>1</v>
      </c>
    </row>
    <row r="327" spans="1:16" x14ac:dyDescent="0.25">
      <c r="A327">
        <v>21031</v>
      </c>
      <c r="B327" t="s">
        <v>1716</v>
      </c>
      <c r="C327" t="s">
        <v>28</v>
      </c>
      <c r="D327">
        <v>287</v>
      </c>
      <c r="E327">
        <v>63</v>
      </c>
      <c r="F327">
        <v>25</v>
      </c>
      <c r="G327">
        <v>34</v>
      </c>
      <c r="H327">
        <v>73</v>
      </c>
      <c r="I327">
        <v>92</v>
      </c>
      <c r="J327">
        <v>63</v>
      </c>
      <c r="K327">
        <v>94</v>
      </c>
      <c r="L327">
        <v>130</v>
      </c>
      <c r="M327">
        <v>265</v>
      </c>
      <c r="N327">
        <v>22</v>
      </c>
      <c r="O327" t="s">
        <v>1742</v>
      </c>
      <c r="P327" s="1" t="b">
        <f>NOT(OR(Table1[[#This Row],[State]]="Other Foreign Countries", Table1[[#This Row],[State]]="Unknown", Table1[[#This Row],[State]]="Puerto Rico all counties"))</f>
        <v>1</v>
      </c>
    </row>
    <row r="328" spans="1:16" x14ac:dyDescent="0.25">
      <c r="A328">
        <v>29023</v>
      </c>
      <c r="B328" t="s">
        <v>2510</v>
      </c>
      <c r="C328" t="s">
        <v>28</v>
      </c>
      <c r="D328">
        <v>1533</v>
      </c>
      <c r="E328">
        <v>297</v>
      </c>
      <c r="F328">
        <v>172</v>
      </c>
      <c r="G328">
        <v>176</v>
      </c>
      <c r="H328">
        <v>500</v>
      </c>
      <c r="I328">
        <v>388</v>
      </c>
      <c r="J328">
        <v>307</v>
      </c>
      <c r="K328">
        <v>523</v>
      </c>
      <c r="L328">
        <v>703</v>
      </c>
      <c r="M328" s="1">
        <v>1395</v>
      </c>
      <c r="N328">
        <v>138</v>
      </c>
      <c r="O328" t="s">
        <v>2526</v>
      </c>
      <c r="P328" s="1" t="b">
        <f>NOT(OR(Table1[[#This Row],[State]]="Other Foreign Countries", Table1[[#This Row],[State]]="Unknown", Table1[[#This Row],[State]]="Puerto Rico all counties"))</f>
        <v>1</v>
      </c>
    </row>
    <row r="329" spans="1:16" x14ac:dyDescent="0.25">
      <c r="A329">
        <v>31023</v>
      </c>
      <c r="B329" t="s">
        <v>2758</v>
      </c>
      <c r="C329" t="s">
        <v>28</v>
      </c>
      <c r="D329">
        <v>240</v>
      </c>
      <c r="E329">
        <v>114</v>
      </c>
      <c r="F329">
        <v>25</v>
      </c>
      <c r="G329">
        <v>32</v>
      </c>
      <c r="H329">
        <v>39</v>
      </c>
      <c r="I329">
        <v>30</v>
      </c>
      <c r="J329">
        <v>33</v>
      </c>
      <c r="K329">
        <v>56</v>
      </c>
      <c r="L329">
        <v>151</v>
      </c>
      <c r="M329">
        <v>227</v>
      </c>
      <c r="N329">
        <v>13</v>
      </c>
      <c r="O329" t="s">
        <v>2776</v>
      </c>
      <c r="P329" s="1" t="b">
        <f>NOT(OR(Table1[[#This Row],[State]]="Other Foreign Countries", Table1[[#This Row],[State]]="Unknown", Table1[[#This Row],[State]]="Puerto Rico all counties"))</f>
        <v>1</v>
      </c>
    </row>
    <row r="330" spans="1:16" x14ac:dyDescent="0.25">
      <c r="A330">
        <v>39017</v>
      </c>
      <c r="B330" t="s">
        <v>1343</v>
      </c>
      <c r="C330" t="s">
        <v>28</v>
      </c>
      <c r="D330">
        <v>5980</v>
      </c>
      <c r="E330" s="1">
        <v>1836</v>
      </c>
      <c r="F330">
        <v>784</v>
      </c>
      <c r="G330">
        <v>757</v>
      </c>
      <c r="H330" s="1">
        <v>1528</v>
      </c>
      <c r="I330" s="1">
        <v>1075</v>
      </c>
      <c r="J330" s="1">
        <v>1610</v>
      </c>
      <c r="K330" s="1">
        <v>1777</v>
      </c>
      <c r="L330" s="1">
        <v>2593</v>
      </c>
      <c r="M330" s="1">
        <v>5484</v>
      </c>
      <c r="N330">
        <v>495</v>
      </c>
      <c r="O330" t="s">
        <v>3384</v>
      </c>
      <c r="P330" s="1" t="b">
        <f>NOT(OR(Table1[[#This Row],[State]]="Other Foreign Countries", Table1[[#This Row],[State]]="Unknown", Table1[[#This Row],[State]]="Puerto Rico all counties"))</f>
        <v>1</v>
      </c>
    </row>
    <row r="331" spans="1:16" x14ac:dyDescent="0.25">
      <c r="A331">
        <v>42019</v>
      </c>
      <c r="B331" t="s">
        <v>3665</v>
      </c>
      <c r="C331" t="s">
        <v>28</v>
      </c>
      <c r="D331">
        <v>3361</v>
      </c>
      <c r="E331">
        <v>809</v>
      </c>
      <c r="F331">
        <v>428</v>
      </c>
      <c r="G331">
        <v>442</v>
      </c>
      <c r="H331">
        <v>870</v>
      </c>
      <c r="I331">
        <v>812</v>
      </c>
      <c r="J331">
        <v>891</v>
      </c>
      <c r="K331" s="1">
        <v>1002</v>
      </c>
      <c r="L331" s="1">
        <v>1468</v>
      </c>
      <c r="M331" s="1">
        <v>3054</v>
      </c>
      <c r="N331">
        <v>307</v>
      </c>
      <c r="O331" t="s">
        <v>3681</v>
      </c>
      <c r="P331" s="1" t="b">
        <f>NOT(OR(Table1[[#This Row],[State]]="Other Foreign Countries", Table1[[#This Row],[State]]="Unknown", Table1[[#This Row],[State]]="Puerto Rico all counties"))</f>
        <v>1</v>
      </c>
    </row>
    <row r="332" spans="1:16" x14ac:dyDescent="0.25">
      <c r="A332">
        <v>6007</v>
      </c>
      <c r="B332" t="s">
        <v>374</v>
      </c>
      <c r="C332" t="s">
        <v>381</v>
      </c>
      <c r="D332">
        <v>3769</v>
      </c>
      <c r="E332">
        <v>838</v>
      </c>
      <c r="F332">
        <v>442</v>
      </c>
      <c r="G332">
        <v>448</v>
      </c>
      <c r="H332" s="1">
        <v>1144</v>
      </c>
      <c r="I332">
        <v>897</v>
      </c>
      <c r="J332" s="1">
        <v>1164</v>
      </c>
      <c r="K332">
        <v>883</v>
      </c>
      <c r="L332" s="1">
        <v>1722</v>
      </c>
      <c r="M332" s="1">
        <v>3410</v>
      </c>
      <c r="N332">
        <v>359</v>
      </c>
      <c r="O332" t="s">
        <v>382</v>
      </c>
      <c r="P332" s="1" t="b">
        <f>NOT(OR(Table1[[#This Row],[State]]="Other Foreign Countries", Table1[[#This Row],[State]]="Unknown", Table1[[#This Row],[State]]="Puerto Rico all counties"))</f>
        <v>1</v>
      </c>
    </row>
    <row r="333" spans="1:16" x14ac:dyDescent="0.25">
      <c r="A333">
        <v>16023</v>
      </c>
      <c r="B333" t="s">
        <v>1032</v>
      </c>
      <c r="C333" t="s">
        <v>381</v>
      </c>
      <c r="D333">
        <v>62</v>
      </c>
      <c r="E333">
        <v>23</v>
      </c>
      <c r="H333">
        <v>14</v>
      </c>
      <c r="I333">
        <v>10</v>
      </c>
      <c r="L333">
        <v>35</v>
      </c>
      <c r="O333" t="s">
        <v>1054</v>
      </c>
      <c r="P333" s="1" t="b">
        <f>NOT(OR(Table1[[#This Row],[State]]="Other Foreign Countries", Table1[[#This Row],[State]]="Unknown", Table1[[#This Row],[State]]="Puerto Rico all counties"))</f>
        <v>1</v>
      </c>
    </row>
    <row r="334" spans="1:16" x14ac:dyDescent="0.25">
      <c r="A334">
        <v>46019</v>
      </c>
      <c r="B334" t="s">
        <v>3846</v>
      </c>
      <c r="C334" t="s">
        <v>381</v>
      </c>
      <c r="D334">
        <v>356</v>
      </c>
      <c r="E334">
        <v>73</v>
      </c>
      <c r="F334">
        <v>58</v>
      </c>
      <c r="G334">
        <v>48</v>
      </c>
      <c r="H334">
        <v>105</v>
      </c>
      <c r="I334">
        <v>72</v>
      </c>
      <c r="J334">
        <v>70</v>
      </c>
      <c r="K334">
        <v>116</v>
      </c>
      <c r="L334">
        <v>170</v>
      </c>
      <c r="M334">
        <v>325</v>
      </c>
      <c r="N334">
        <v>31</v>
      </c>
      <c r="O334" t="s">
        <v>3861</v>
      </c>
      <c r="P334" s="1" t="b">
        <f>NOT(OR(Table1[[#This Row],[State]]="Other Foreign Countries", Table1[[#This Row],[State]]="Unknown", Table1[[#This Row],[State]]="Puerto Rico all counties"))</f>
        <v>1</v>
      </c>
    </row>
    <row r="335" spans="1:16" x14ac:dyDescent="0.25">
      <c r="A335">
        <v>13035</v>
      </c>
      <c r="B335" t="s">
        <v>754</v>
      </c>
      <c r="C335" t="s">
        <v>786</v>
      </c>
      <c r="D335">
        <v>541</v>
      </c>
      <c r="E335">
        <v>103</v>
      </c>
      <c r="F335">
        <v>59</v>
      </c>
      <c r="G335">
        <v>64</v>
      </c>
      <c r="H335">
        <v>148</v>
      </c>
      <c r="I335">
        <v>167</v>
      </c>
      <c r="J335">
        <v>136</v>
      </c>
      <c r="K335">
        <v>189</v>
      </c>
      <c r="L335">
        <v>216</v>
      </c>
      <c r="M335">
        <v>464</v>
      </c>
      <c r="N335">
        <v>77</v>
      </c>
      <c r="O335" t="s">
        <v>787</v>
      </c>
      <c r="P335" s="1" t="b">
        <f>NOT(OR(Table1[[#This Row],[State]]="Other Foreign Countries", Table1[[#This Row],[State]]="Unknown", Table1[[#This Row],[State]]="Puerto Rico all counties"))</f>
        <v>1</v>
      </c>
    </row>
    <row r="336" spans="1:16" x14ac:dyDescent="0.25">
      <c r="A336">
        <v>37025</v>
      </c>
      <c r="B336" t="s">
        <v>3121</v>
      </c>
      <c r="C336" t="s">
        <v>3144</v>
      </c>
      <c r="D336">
        <v>4731</v>
      </c>
      <c r="E336">
        <v>716</v>
      </c>
      <c r="F336">
        <v>462</v>
      </c>
      <c r="G336">
        <v>506</v>
      </c>
      <c r="H336" s="1">
        <v>1483</v>
      </c>
      <c r="I336" s="1">
        <v>1564</v>
      </c>
      <c r="J336" s="1">
        <v>1448</v>
      </c>
      <c r="K336" s="1">
        <v>1685</v>
      </c>
      <c r="L336" s="1">
        <v>1598</v>
      </c>
      <c r="M336" s="1">
        <v>4006</v>
      </c>
      <c r="N336">
        <v>724</v>
      </c>
      <c r="O336" t="s">
        <v>3145</v>
      </c>
      <c r="P336" s="1" t="b">
        <f>NOT(OR(Table1[[#This Row],[State]]="Other Foreign Countries", Table1[[#This Row],[State]]="Unknown", Table1[[#This Row],[State]]="Puerto Rico all counties"))</f>
        <v>1</v>
      </c>
    </row>
    <row r="337" spans="1:16" x14ac:dyDescent="0.25">
      <c r="A337">
        <v>54011</v>
      </c>
      <c r="B337" t="s">
        <v>4833</v>
      </c>
      <c r="C337" t="s">
        <v>4841</v>
      </c>
      <c r="D337">
        <v>1875</v>
      </c>
      <c r="E337">
        <v>380</v>
      </c>
      <c r="F337">
        <v>187</v>
      </c>
      <c r="G337">
        <v>233</v>
      </c>
      <c r="H337">
        <v>585</v>
      </c>
      <c r="I337">
        <v>490</v>
      </c>
      <c r="J337">
        <v>427</v>
      </c>
      <c r="K337">
        <v>661</v>
      </c>
      <c r="L337">
        <v>787</v>
      </c>
      <c r="M337" s="1">
        <v>1723</v>
      </c>
      <c r="N337">
        <v>151</v>
      </c>
      <c r="O337" t="s">
        <v>4842</v>
      </c>
      <c r="P337" s="1" t="b">
        <f>NOT(OR(Table1[[#This Row],[State]]="Other Foreign Countries", Table1[[#This Row],[State]]="Unknown", Table1[[#This Row],[State]]="Puerto Rico all counties"))</f>
        <v>1</v>
      </c>
    </row>
    <row r="338" spans="1:16" x14ac:dyDescent="0.25">
      <c r="A338">
        <v>49005</v>
      </c>
      <c r="B338" t="s">
        <v>4486</v>
      </c>
      <c r="C338" t="s">
        <v>4490</v>
      </c>
      <c r="D338">
        <v>1357</v>
      </c>
      <c r="E338">
        <v>265</v>
      </c>
      <c r="F338">
        <v>154</v>
      </c>
      <c r="G338">
        <v>172</v>
      </c>
      <c r="H338">
        <v>411</v>
      </c>
      <c r="I338">
        <v>355</v>
      </c>
      <c r="J338">
        <v>466</v>
      </c>
      <c r="K338">
        <v>406</v>
      </c>
      <c r="L338">
        <v>485</v>
      </c>
      <c r="M338" s="1">
        <v>1251</v>
      </c>
      <c r="N338">
        <v>105</v>
      </c>
      <c r="O338" t="s">
        <v>4491</v>
      </c>
      <c r="P338" s="1" t="b">
        <f>NOT(OR(Table1[[#This Row],[State]]="Other Foreign Countries", Table1[[#This Row],[State]]="Unknown", Table1[[#This Row],[State]]="Puerto Rico all counties"))</f>
        <v>1</v>
      </c>
    </row>
    <row r="339" spans="1:16" x14ac:dyDescent="0.25">
      <c r="A339">
        <v>22017</v>
      </c>
      <c r="B339" t="s">
        <v>1892</v>
      </c>
      <c r="C339" t="s">
        <v>1908</v>
      </c>
      <c r="D339">
        <v>5639</v>
      </c>
      <c r="E339">
        <v>948</v>
      </c>
      <c r="F339">
        <v>508</v>
      </c>
      <c r="G339">
        <v>731</v>
      </c>
      <c r="H339" s="1">
        <v>1813</v>
      </c>
      <c r="I339" s="1">
        <v>1639</v>
      </c>
      <c r="J339" s="1">
        <v>1274</v>
      </c>
      <c r="K339" s="1">
        <v>2164</v>
      </c>
      <c r="L339" s="1">
        <v>2201</v>
      </c>
      <c r="M339" s="1">
        <v>4736</v>
      </c>
      <c r="N339">
        <v>903</v>
      </c>
      <c r="O339" t="s">
        <v>1909</v>
      </c>
      <c r="P339" s="1" t="b">
        <f>NOT(OR(Table1[[#This Row],[State]]="Other Foreign Countries", Table1[[#This Row],[State]]="Unknown", Table1[[#This Row],[State]]="Puerto Rico all counties"))</f>
        <v>1</v>
      </c>
    </row>
    <row r="340" spans="1:16" x14ac:dyDescent="0.25">
      <c r="A340">
        <v>40015</v>
      </c>
      <c r="B340" t="s">
        <v>3495</v>
      </c>
      <c r="C340" t="s">
        <v>1908</v>
      </c>
      <c r="D340">
        <v>632</v>
      </c>
      <c r="E340">
        <v>121</v>
      </c>
      <c r="F340">
        <v>55</v>
      </c>
      <c r="G340">
        <v>60</v>
      </c>
      <c r="H340">
        <v>200</v>
      </c>
      <c r="I340">
        <v>196</v>
      </c>
      <c r="J340">
        <v>128</v>
      </c>
      <c r="K340">
        <v>206</v>
      </c>
      <c r="L340">
        <v>298</v>
      </c>
      <c r="M340">
        <v>584</v>
      </c>
      <c r="N340">
        <v>48</v>
      </c>
      <c r="O340" t="s">
        <v>3507</v>
      </c>
      <c r="P340" s="1" t="b">
        <f>NOT(OR(Table1[[#This Row],[State]]="Other Foreign Countries", Table1[[#This Row],[State]]="Unknown", Table1[[#This Row],[State]]="Puerto Rico all counties"))</f>
        <v>1</v>
      </c>
    </row>
    <row r="341" spans="1:16" x14ac:dyDescent="0.25">
      <c r="A341">
        <v>6009</v>
      </c>
      <c r="B341" t="s">
        <v>374</v>
      </c>
      <c r="C341" t="s">
        <v>383</v>
      </c>
      <c r="D341">
        <v>1205</v>
      </c>
      <c r="E341">
        <v>287</v>
      </c>
      <c r="F341">
        <v>127</v>
      </c>
      <c r="G341">
        <v>144</v>
      </c>
      <c r="H341">
        <v>335</v>
      </c>
      <c r="I341">
        <v>312</v>
      </c>
      <c r="J341">
        <v>261</v>
      </c>
      <c r="K341">
        <v>274</v>
      </c>
      <c r="L341">
        <v>670</v>
      </c>
      <c r="M341" s="1">
        <v>1090</v>
      </c>
      <c r="N341">
        <v>114</v>
      </c>
      <c r="O341" t="s">
        <v>384</v>
      </c>
      <c r="P341" s="1" t="b">
        <f>NOT(OR(Table1[[#This Row],[State]]="Other Foreign Countries", Table1[[#This Row],[State]]="Unknown", Table1[[#This Row],[State]]="Puerto Rico all counties"))</f>
        <v>1</v>
      </c>
    </row>
    <row r="342" spans="1:16" x14ac:dyDescent="0.25">
      <c r="A342">
        <v>22019</v>
      </c>
      <c r="B342" t="s">
        <v>1892</v>
      </c>
      <c r="C342" t="s">
        <v>1910</v>
      </c>
      <c r="D342">
        <v>3568</v>
      </c>
      <c r="E342">
        <v>655</v>
      </c>
      <c r="F342">
        <v>381</v>
      </c>
      <c r="G342">
        <v>401</v>
      </c>
      <c r="H342" s="1">
        <v>1153</v>
      </c>
      <c r="I342">
        <v>978</v>
      </c>
      <c r="J342">
        <v>996</v>
      </c>
      <c r="K342" s="1">
        <v>1159</v>
      </c>
      <c r="L342" s="1">
        <v>1413</v>
      </c>
      <c r="M342" s="1">
        <v>3209</v>
      </c>
      <c r="N342">
        <v>359</v>
      </c>
      <c r="O342" t="s">
        <v>1911</v>
      </c>
      <c r="P342" s="1" t="b">
        <f>NOT(OR(Table1[[#This Row],[State]]="Other Foreign Countries", Table1[[#This Row],[State]]="Unknown", Table1[[#This Row],[State]]="Puerto Rico all counties"))</f>
        <v>1</v>
      </c>
    </row>
    <row r="343" spans="1:16" x14ac:dyDescent="0.25">
      <c r="A343">
        <v>21033</v>
      </c>
      <c r="B343" t="s">
        <v>1716</v>
      </c>
      <c r="C343" t="s">
        <v>1743</v>
      </c>
      <c r="D343">
        <v>269</v>
      </c>
      <c r="E343">
        <v>37</v>
      </c>
      <c r="F343">
        <v>29</v>
      </c>
      <c r="G343">
        <v>38</v>
      </c>
      <c r="H343">
        <v>83</v>
      </c>
      <c r="I343">
        <v>82</v>
      </c>
      <c r="J343">
        <v>70</v>
      </c>
      <c r="K343">
        <v>93</v>
      </c>
      <c r="L343">
        <v>106</v>
      </c>
      <c r="M343">
        <v>253</v>
      </c>
      <c r="N343">
        <v>16</v>
      </c>
      <c r="O343" t="s">
        <v>1744</v>
      </c>
      <c r="P343" s="1" t="b">
        <f>NOT(OR(Table1[[#This Row],[State]]="Other Foreign Countries", Table1[[#This Row],[State]]="Unknown", Table1[[#This Row],[State]]="Puerto Rico all counties"))</f>
        <v>1</v>
      </c>
    </row>
    <row r="344" spans="1:16" x14ac:dyDescent="0.25">
      <c r="A344">
        <v>22021</v>
      </c>
      <c r="B344" t="s">
        <v>1892</v>
      </c>
      <c r="C344" t="s">
        <v>1743</v>
      </c>
      <c r="D344">
        <v>163</v>
      </c>
      <c r="E344">
        <v>26</v>
      </c>
      <c r="F344">
        <v>21</v>
      </c>
      <c r="G344">
        <v>13</v>
      </c>
      <c r="H344">
        <v>60</v>
      </c>
      <c r="I344">
        <v>43</v>
      </c>
      <c r="J344">
        <v>34</v>
      </c>
      <c r="K344">
        <v>41</v>
      </c>
      <c r="L344">
        <v>88</v>
      </c>
      <c r="M344">
        <v>150</v>
      </c>
      <c r="N344">
        <v>13</v>
      </c>
      <c r="O344" t="s">
        <v>1912</v>
      </c>
      <c r="P344" s="1" t="b">
        <f>NOT(OR(Table1[[#This Row],[State]]="Other Foreign Countries", Table1[[#This Row],[State]]="Unknown", Table1[[#This Row],[State]]="Puerto Rico all counties"))</f>
        <v>1</v>
      </c>
    </row>
    <row r="345" spans="1:16" x14ac:dyDescent="0.25">
      <c r="A345">
        <v>29025</v>
      </c>
      <c r="B345" t="s">
        <v>2510</v>
      </c>
      <c r="C345" t="s">
        <v>1743</v>
      </c>
      <c r="D345">
        <v>209</v>
      </c>
      <c r="E345">
        <v>57</v>
      </c>
      <c r="F345">
        <v>24</v>
      </c>
      <c r="G345">
        <v>24</v>
      </c>
      <c r="H345">
        <v>63</v>
      </c>
      <c r="I345">
        <v>41</v>
      </c>
      <c r="J345">
        <v>39</v>
      </c>
      <c r="K345">
        <v>78</v>
      </c>
      <c r="L345">
        <v>92</v>
      </c>
      <c r="M345">
        <v>189</v>
      </c>
      <c r="N345">
        <v>20</v>
      </c>
      <c r="O345" t="s">
        <v>2527</v>
      </c>
      <c r="P345" s="1" t="b">
        <f>NOT(OR(Table1[[#This Row],[State]]="Other Foreign Countries", Table1[[#This Row],[State]]="Unknown", Table1[[#This Row],[State]]="Puerto Rico all counties"))</f>
        <v>1</v>
      </c>
    </row>
    <row r="346" spans="1:16" x14ac:dyDescent="0.25">
      <c r="A346">
        <v>37027</v>
      </c>
      <c r="B346" t="s">
        <v>3121</v>
      </c>
      <c r="C346" t="s">
        <v>1743</v>
      </c>
      <c r="D346">
        <v>1727</v>
      </c>
      <c r="E346">
        <v>332</v>
      </c>
      <c r="F346">
        <v>198</v>
      </c>
      <c r="G346">
        <v>224</v>
      </c>
      <c r="H346">
        <v>526</v>
      </c>
      <c r="I346">
        <v>447</v>
      </c>
      <c r="J346">
        <v>414</v>
      </c>
      <c r="K346">
        <v>500</v>
      </c>
      <c r="L346">
        <v>813</v>
      </c>
      <c r="M346" s="1">
        <v>1586</v>
      </c>
      <c r="N346">
        <v>141</v>
      </c>
      <c r="O346" t="s">
        <v>3146</v>
      </c>
      <c r="P346" s="1" t="b">
        <f>NOT(OR(Table1[[#This Row],[State]]="Other Foreign Countries", Table1[[#This Row],[State]]="Unknown", Table1[[#This Row],[State]]="Puerto Rico all counties"))</f>
        <v>1</v>
      </c>
    </row>
    <row r="347" spans="1:16" x14ac:dyDescent="0.25">
      <c r="A347">
        <v>48055</v>
      </c>
      <c r="B347" t="s">
        <v>2654</v>
      </c>
      <c r="C347" t="s">
        <v>1743</v>
      </c>
      <c r="D347">
        <v>979</v>
      </c>
      <c r="E347">
        <v>175</v>
      </c>
      <c r="F347">
        <v>93</v>
      </c>
      <c r="G347">
        <v>106</v>
      </c>
      <c r="H347">
        <v>318</v>
      </c>
      <c r="I347">
        <v>287</v>
      </c>
      <c r="J347">
        <v>277</v>
      </c>
      <c r="K347">
        <v>295</v>
      </c>
      <c r="L347">
        <v>407</v>
      </c>
      <c r="M347">
        <v>874</v>
      </c>
      <c r="N347">
        <v>105</v>
      </c>
      <c r="O347" t="s">
        <v>4122</v>
      </c>
      <c r="P347" s="1" t="b">
        <f>NOT(OR(Table1[[#This Row],[State]]="Other Foreign Countries", Table1[[#This Row],[State]]="Unknown", Table1[[#This Row],[State]]="Puerto Rico all counties"))</f>
        <v>1</v>
      </c>
    </row>
    <row r="348" spans="1:16" x14ac:dyDescent="0.25">
      <c r="A348">
        <v>50005</v>
      </c>
      <c r="B348" t="s">
        <v>4531</v>
      </c>
      <c r="C348" t="s">
        <v>4536</v>
      </c>
      <c r="D348">
        <v>531</v>
      </c>
      <c r="E348">
        <v>108</v>
      </c>
      <c r="F348">
        <v>60</v>
      </c>
      <c r="G348">
        <v>78</v>
      </c>
      <c r="H348">
        <v>148</v>
      </c>
      <c r="I348">
        <v>137</v>
      </c>
      <c r="J348">
        <v>115</v>
      </c>
      <c r="K348">
        <v>170</v>
      </c>
      <c r="L348">
        <v>246</v>
      </c>
      <c r="M348">
        <v>469</v>
      </c>
      <c r="N348">
        <v>61</v>
      </c>
      <c r="O348" t="s">
        <v>4537</v>
      </c>
      <c r="P348" s="1" t="b">
        <f>NOT(OR(Table1[[#This Row],[State]]="Other Foreign Countries", Table1[[#This Row],[State]]="Unknown", Table1[[#This Row],[State]]="Puerto Rico all counties"))</f>
        <v>1</v>
      </c>
    </row>
    <row r="349" spans="1:16" x14ac:dyDescent="0.25">
      <c r="A349">
        <v>1015</v>
      </c>
      <c r="B349" t="s">
        <v>15</v>
      </c>
      <c r="C349" t="s">
        <v>30</v>
      </c>
      <c r="D349">
        <v>3669</v>
      </c>
      <c r="E349">
        <v>604</v>
      </c>
      <c r="F349">
        <v>361</v>
      </c>
      <c r="G349">
        <v>400</v>
      </c>
      <c r="H349" s="1">
        <v>1174</v>
      </c>
      <c r="I349" s="1">
        <v>1130</v>
      </c>
      <c r="J349">
        <v>660</v>
      </c>
      <c r="K349" s="1">
        <v>1221</v>
      </c>
      <c r="L349" s="1">
        <v>1788</v>
      </c>
      <c r="M349" s="1">
        <v>3211</v>
      </c>
      <c r="N349">
        <v>457</v>
      </c>
      <c r="O349" t="s">
        <v>31</v>
      </c>
      <c r="P349" s="1" t="b">
        <f>NOT(OR(Table1[[#This Row],[State]]="Other Foreign Countries", Table1[[#This Row],[State]]="Unknown", Table1[[#This Row],[State]]="Puerto Rico all counties"))</f>
        <v>1</v>
      </c>
    </row>
    <row r="350" spans="1:16" x14ac:dyDescent="0.25">
      <c r="A350">
        <v>5013</v>
      </c>
      <c r="B350" t="s">
        <v>242</v>
      </c>
      <c r="C350" t="s">
        <v>30</v>
      </c>
      <c r="D350">
        <v>92</v>
      </c>
      <c r="G350">
        <v>15</v>
      </c>
      <c r="H350">
        <v>38</v>
      </c>
      <c r="I350">
        <v>21</v>
      </c>
      <c r="J350">
        <v>19</v>
      </c>
      <c r="K350">
        <v>38</v>
      </c>
      <c r="L350">
        <v>35</v>
      </c>
      <c r="M350">
        <v>76</v>
      </c>
      <c r="N350">
        <v>16</v>
      </c>
      <c r="O350" t="s">
        <v>254</v>
      </c>
      <c r="P350" s="1" t="b">
        <f>NOT(OR(Table1[[#This Row],[State]]="Other Foreign Countries", Table1[[#This Row],[State]]="Unknown", Table1[[#This Row],[State]]="Puerto Rico all counties"))</f>
        <v>1</v>
      </c>
    </row>
    <row r="351" spans="1:16" x14ac:dyDescent="0.25">
      <c r="A351">
        <v>12013</v>
      </c>
      <c r="B351" t="s">
        <v>637</v>
      </c>
      <c r="C351" t="s">
        <v>30</v>
      </c>
      <c r="D351">
        <v>335</v>
      </c>
      <c r="E351">
        <v>59</v>
      </c>
      <c r="F351">
        <v>36</v>
      </c>
      <c r="G351">
        <v>37</v>
      </c>
      <c r="H351">
        <v>114</v>
      </c>
      <c r="I351">
        <v>89</v>
      </c>
      <c r="J351">
        <v>82</v>
      </c>
      <c r="K351">
        <v>119</v>
      </c>
      <c r="L351">
        <v>134</v>
      </c>
      <c r="M351">
        <v>291</v>
      </c>
      <c r="N351">
        <v>44</v>
      </c>
      <c r="O351" t="s">
        <v>650</v>
      </c>
      <c r="P351" s="1" t="b">
        <f>NOT(OR(Table1[[#This Row],[State]]="Other Foreign Countries", Table1[[#This Row],[State]]="Unknown", Table1[[#This Row],[State]]="Puerto Rico all counties"))</f>
        <v>1</v>
      </c>
    </row>
    <row r="352" spans="1:16" x14ac:dyDescent="0.25">
      <c r="A352">
        <v>13037</v>
      </c>
      <c r="B352" t="s">
        <v>754</v>
      </c>
      <c r="C352" t="s">
        <v>30</v>
      </c>
      <c r="D352">
        <v>121</v>
      </c>
      <c r="G352">
        <v>11</v>
      </c>
      <c r="H352">
        <v>44</v>
      </c>
      <c r="I352">
        <v>49</v>
      </c>
      <c r="J352">
        <v>22</v>
      </c>
      <c r="K352">
        <v>44</v>
      </c>
      <c r="L352">
        <v>55</v>
      </c>
      <c r="M352">
        <v>106</v>
      </c>
      <c r="N352">
        <v>15</v>
      </c>
      <c r="O352" t="s">
        <v>788</v>
      </c>
      <c r="P352" s="1" t="b">
        <f>NOT(OR(Table1[[#This Row],[State]]="Other Foreign Countries", Table1[[#This Row],[State]]="Unknown", Table1[[#This Row],[State]]="Puerto Rico all counties"))</f>
        <v>1</v>
      </c>
    </row>
    <row r="353" spans="1:16" x14ac:dyDescent="0.25">
      <c r="A353">
        <v>17013</v>
      </c>
      <c r="B353" t="s">
        <v>1109</v>
      </c>
      <c r="C353" t="s">
        <v>30</v>
      </c>
      <c r="D353">
        <v>71</v>
      </c>
      <c r="E353">
        <v>19</v>
      </c>
      <c r="H353">
        <v>17</v>
      </c>
      <c r="I353">
        <v>18</v>
      </c>
      <c r="L353">
        <v>45</v>
      </c>
      <c r="O353" t="s">
        <v>1120</v>
      </c>
      <c r="P353" s="1" t="b">
        <f>NOT(OR(Table1[[#This Row],[State]]="Other Foreign Countries", Table1[[#This Row],[State]]="Unknown", Table1[[#This Row],[State]]="Puerto Rico all counties"))</f>
        <v>1</v>
      </c>
    </row>
    <row r="354" spans="1:16" x14ac:dyDescent="0.25">
      <c r="A354">
        <v>19025</v>
      </c>
      <c r="B354" t="s">
        <v>1399</v>
      </c>
      <c r="C354" t="s">
        <v>30</v>
      </c>
      <c r="D354">
        <v>168</v>
      </c>
      <c r="E354">
        <v>57</v>
      </c>
      <c r="F354">
        <v>17</v>
      </c>
      <c r="G354">
        <v>24</v>
      </c>
      <c r="H354">
        <v>39</v>
      </c>
      <c r="I354">
        <v>31</v>
      </c>
      <c r="J354">
        <v>26</v>
      </c>
      <c r="K354">
        <v>47</v>
      </c>
      <c r="L354">
        <v>95</v>
      </c>
      <c r="O354" t="s">
        <v>1420</v>
      </c>
      <c r="P354" s="1" t="b">
        <f>NOT(OR(Table1[[#This Row],[State]]="Other Foreign Countries", Table1[[#This Row],[State]]="Unknown", Table1[[#This Row],[State]]="Puerto Rico all counties"))</f>
        <v>1</v>
      </c>
    </row>
    <row r="355" spans="1:16" x14ac:dyDescent="0.25">
      <c r="A355">
        <v>26025</v>
      </c>
      <c r="B355" t="s">
        <v>2099</v>
      </c>
      <c r="C355" t="s">
        <v>30</v>
      </c>
      <c r="D355">
        <v>2725</v>
      </c>
      <c r="E355">
        <v>468</v>
      </c>
      <c r="F355">
        <v>299</v>
      </c>
      <c r="G355">
        <v>304</v>
      </c>
      <c r="H355">
        <v>907</v>
      </c>
      <c r="I355">
        <v>747</v>
      </c>
      <c r="J355">
        <v>748</v>
      </c>
      <c r="K355">
        <v>903</v>
      </c>
      <c r="L355" s="1">
        <v>1074</v>
      </c>
      <c r="M355" s="1">
        <v>2405</v>
      </c>
      <c r="N355">
        <v>319</v>
      </c>
      <c r="O355" t="s">
        <v>2122</v>
      </c>
      <c r="P355" s="1" t="b">
        <f>NOT(OR(Table1[[#This Row],[State]]="Other Foreign Countries", Table1[[#This Row],[State]]="Unknown", Table1[[#This Row],[State]]="Puerto Rico all counties"))</f>
        <v>1</v>
      </c>
    </row>
    <row r="356" spans="1:16" x14ac:dyDescent="0.25">
      <c r="A356">
        <v>28013</v>
      </c>
      <c r="B356" t="s">
        <v>322</v>
      </c>
      <c r="C356" t="s">
        <v>30</v>
      </c>
      <c r="D356">
        <v>224</v>
      </c>
      <c r="E356">
        <v>33</v>
      </c>
      <c r="F356">
        <v>22</v>
      </c>
      <c r="G356">
        <v>18</v>
      </c>
      <c r="H356">
        <v>83</v>
      </c>
      <c r="I356">
        <v>68</v>
      </c>
      <c r="J356">
        <v>41</v>
      </c>
      <c r="K356">
        <v>70</v>
      </c>
      <c r="L356">
        <v>113</v>
      </c>
      <c r="M356">
        <v>206</v>
      </c>
      <c r="N356">
        <v>18</v>
      </c>
      <c r="O356" t="s">
        <v>2404</v>
      </c>
      <c r="P356" s="1" t="b">
        <f>NOT(OR(Table1[[#This Row],[State]]="Other Foreign Countries", Table1[[#This Row],[State]]="Unknown", Table1[[#This Row],[State]]="Puerto Rico all counties"))</f>
        <v>1</v>
      </c>
    </row>
    <row r="357" spans="1:16" x14ac:dyDescent="0.25">
      <c r="A357">
        <v>45017</v>
      </c>
      <c r="B357" t="s">
        <v>3772</v>
      </c>
      <c r="C357" t="s">
        <v>30</v>
      </c>
      <c r="D357">
        <v>458</v>
      </c>
      <c r="E357">
        <v>83</v>
      </c>
      <c r="F357">
        <v>50</v>
      </c>
      <c r="G357">
        <v>47</v>
      </c>
      <c r="H357">
        <v>144</v>
      </c>
      <c r="I357">
        <v>134</v>
      </c>
      <c r="J357">
        <v>96</v>
      </c>
      <c r="K357">
        <v>159</v>
      </c>
      <c r="L357">
        <v>203</v>
      </c>
      <c r="M357">
        <v>403</v>
      </c>
      <c r="N357">
        <v>55</v>
      </c>
      <c r="O357" t="s">
        <v>3787</v>
      </c>
      <c r="P357" s="1" t="b">
        <f>NOT(OR(Table1[[#This Row],[State]]="Other Foreign Countries", Table1[[#This Row],[State]]="Unknown", Table1[[#This Row],[State]]="Puerto Rico all counties"))</f>
        <v>1</v>
      </c>
    </row>
    <row r="358" spans="1:16" x14ac:dyDescent="0.25">
      <c r="A358">
        <v>48057</v>
      </c>
      <c r="B358" t="s">
        <v>2654</v>
      </c>
      <c r="C358" t="s">
        <v>30</v>
      </c>
      <c r="D358">
        <v>447</v>
      </c>
      <c r="E358">
        <v>124</v>
      </c>
      <c r="F358">
        <v>49</v>
      </c>
      <c r="G358">
        <v>38</v>
      </c>
      <c r="H358">
        <v>135</v>
      </c>
      <c r="I358">
        <v>101</v>
      </c>
      <c r="J358">
        <v>74</v>
      </c>
      <c r="K358">
        <v>113</v>
      </c>
      <c r="L358">
        <v>260</v>
      </c>
      <c r="M358">
        <v>416</v>
      </c>
      <c r="N358">
        <v>31</v>
      </c>
      <c r="O358" t="s">
        <v>4123</v>
      </c>
      <c r="P358" s="1" t="b">
        <f>NOT(OR(Table1[[#This Row],[State]]="Other Foreign Countries", Table1[[#This Row],[State]]="Unknown", Table1[[#This Row],[State]]="Puerto Rico all counties"))</f>
        <v>1</v>
      </c>
    </row>
    <row r="359" spans="1:16" x14ac:dyDescent="0.25">
      <c r="A359">
        <v>54013</v>
      </c>
      <c r="B359" t="s">
        <v>4833</v>
      </c>
      <c r="C359" t="s">
        <v>30</v>
      </c>
      <c r="D359">
        <v>155</v>
      </c>
      <c r="E359">
        <v>20</v>
      </c>
      <c r="F359">
        <v>11</v>
      </c>
      <c r="G359">
        <v>20</v>
      </c>
      <c r="H359">
        <v>57</v>
      </c>
      <c r="I359">
        <v>47</v>
      </c>
      <c r="J359">
        <v>23</v>
      </c>
      <c r="K359">
        <v>55</v>
      </c>
      <c r="L359">
        <v>77</v>
      </c>
      <c r="M359">
        <v>139</v>
      </c>
      <c r="N359">
        <v>16</v>
      </c>
      <c r="O359" t="s">
        <v>4843</v>
      </c>
      <c r="P359" s="1" t="b">
        <f>NOT(OR(Table1[[#This Row],[State]]="Other Foreign Countries", Table1[[#This Row],[State]]="Unknown", Table1[[#This Row],[State]]="Puerto Rico all counties"))</f>
        <v>1</v>
      </c>
    </row>
    <row r="360" spans="1:16" x14ac:dyDescent="0.25">
      <c r="A360">
        <v>48059</v>
      </c>
      <c r="B360" t="s">
        <v>2654</v>
      </c>
      <c r="C360" t="s">
        <v>4124</v>
      </c>
      <c r="D360">
        <v>512</v>
      </c>
      <c r="E360">
        <v>86</v>
      </c>
      <c r="F360">
        <v>50</v>
      </c>
      <c r="G360">
        <v>71</v>
      </c>
      <c r="H360">
        <v>155</v>
      </c>
      <c r="I360">
        <v>150</v>
      </c>
      <c r="J360">
        <v>127</v>
      </c>
      <c r="K360">
        <v>179</v>
      </c>
      <c r="L360">
        <v>206</v>
      </c>
      <c r="M360">
        <v>454</v>
      </c>
      <c r="N360">
        <v>58</v>
      </c>
      <c r="O360" t="s">
        <v>4125</v>
      </c>
      <c r="P360" s="1" t="b">
        <f>NOT(OR(Table1[[#This Row],[State]]="Other Foreign Countries", Table1[[#This Row],[State]]="Unknown", Table1[[#This Row],[State]]="Puerto Rico all counties"))</f>
        <v>1</v>
      </c>
    </row>
    <row r="361" spans="1:16" x14ac:dyDescent="0.25">
      <c r="A361">
        <v>29027</v>
      </c>
      <c r="B361" t="s">
        <v>2510</v>
      </c>
      <c r="C361" t="s">
        <v>2528</v>
      </c>
      <c r="D361">
        <v>1383</v>
      </c>
      <c r="E361">
        <v>417</v>
      </c>
      <c r="F361">
        <v>156</v>
      </c>
      <c r="G361">
        <v>173</v>
      </c>
      <c r="H361">
        <v>387</v>
      </c>
      <c r="I361">
        <v>250</v>
      </c>
      <c r="J361">
        <v>289</v>
      </c>
      <c r="K361">
        <v>453</v>
      </c>
      <c r="L361">
        <v>641</v>
      </c>
      <c r="M361" s="1">
        <v>1260</v>
      </c>
      <c r="N361">
        <v>123</v>
      </c>
      <c r="O361" t="s">
        <v>2529</v>
      </c>
      <c r="P361" s="1" t="b">
        <f>NOT(OR(Table1[[#This Row],[State]]="Other Foreign Countries", Table1[[#This Row],[State]]="Unknown", Table1[[#This Row],[State]]="Puerto Rico all counties"))</f>
        <v>1</v>
      </c>
    </row>
    <row r="362" spans="1:16" x14ac:dyDescent="0.25">
      <c r="A362">
        <v>21035</v>
      </c>
      <c r="B362" t="s">
        <v>1716</v>
      </c>
      <c r="C362" t="s">
        <v>1745</v>
      </c>
      <c r="D362">
        <v>662</v>
      </c>
      <c r="E362">
        <v>111</v>
      </c>
      <c r="F362">
        <v>64</v>
      </c>
      <c r="G362">
        <v>80</v>
      </c>
      <c r="H362">
        <v>226</v>
      </c>
      <c r="I362">
        <v>181</v>
      </c>
      <c r="J362">
        <v>193</v>
      </c>
      <c r="K362">
        <v>200</v>
      </c>
      <c r="L362">
        <v>269</v>
      </c>
      <c r="M362">
        <v>606</v>
      </c>
      <c r="N362">
        <v>56</v>
      </c>
      <c r="O362" t="s">
        <v>1746</v>
      </c>
      <c r="P362" s="1" t="b">
        <f>NOT(OR(Table1[[#This Row],[State]]="Other Foreign Countries", Table1[[#This Row],[State]]="Unknown", Table1[[#This Row],[State]]="Puerto Rico all counties"))</f>
        <v>1</v>
      </c>
    </row>
    <row r="363" spans="1:16" x14ac:dyDescent="0.25">
      <c r="A363">
        <v>55015</v>
      </c>
      <c r="B363" t="s">
        <v>4906</v>
      </c>
      <c r="C363" t="s">
        <v>4917</v>
      </c>
      <c r="D363">
        <v>799</v>
      </c>
      <c r="E363">
        <v>185</v>
      </c>
      <c r="F363">
        <v>110</v>
      </c>
      <c r="G363">
        <v>119</v>
      </c>
      <c r="H363">
        <v>218</v>
      </c>
      <c r="I363">
        <v>167</v>
      </c>
      <c r="J363">
        <v>254</v>
      </c>
      <c r="K363">
        <v>246</v>
      </c>
      <c r="L363">
        <v>299</v>
      </c>
      <c r="M363">
        <v>690</v>
      </c>
      <c r="N363">
        <v>109</v>
      </c>
      <c r="O363" t="s">
        <v>4918</v>
      </c>
      <c r="P363" s="1" t="b">
        <f>NOT(OR(Table1[[#This Row],[State]]="Other Foreign Countries", Table1[[#This Row],[State]]="Unknown", Table1[[#This Row],[State]]="Puerto Rico all counties"))</f>
        <v>1</v>
      </c>
    </row>
    <row r="364" spans="1:16" x14ac:dyDescent="0.25">
      <c r="A364">
        <v>24009</v>
      </c>
      <c r="B364" t="s">
        <v>2031</v>
      </c>
      <c r="C364" t="s">
        <v>2038</v>
      </c>
      <c r="D364">
        <v>3523</v>
      </c>
      <c r="E364">
        <v>544</v>
      </c>
      <c r="F364">
        <v>346</v>
      </c>
      <c r="G364">
        <v>419</v>
      </c>
      <c r="H364" s="1">
        <v>1022</v>
      </c>
      <c r="I364" s="1">
        <v>1192</v>
      </c>
      <c r="J364" s="1">
        <v>1143</v>
      </c>
      <c r="K364" s="1">
        <v>1677</v>
      </c>
      <c r="L364">
        <v>703</v>
      </c>
      <c r="M364" s="1">
        <v>2929</v>
      </c>
      <c r="N364">
        <v>594</v>
      </c>
      <c r="O364" t="s">
        <v>2039</v>
      </c>
      <c r="P364" s="1" t="b">
        <f>NOT(OR(Table1[[#This Row],[State]]="Other Foreign Countries", Table1[[#This Row],[State]]="Unknown", Table1[[#This Row],[State]]="Puerto Rico all counties"))</f>
        <v>1</v>
      </c>
    </row>
    <row r="365" spans="1:16" x14ac:dyDescent="0.25">
      <c r="A365">
        <v>16025</v>
      </c>
      <c r="B365" t="s">
        <v>1032</v>
      </c>
      <c r="C365" t="s">
        <v>1055</v>
      </c>
      <c r="D365">
        <v>24</v>
      </c>
      <c r="L365">
        <v>10</v>
      </c>
      <c r="O365" t="s">
        <v>1056</v>
      </c>
      <c r="P365" s="1" t="b">
        <f>NOT(OR(Table1[[#This Row],[State]]="Other Foreign Countries", Table1[[#This Row],[State]]="Unknown", Table1[[#This Row],[State]]="Puerto Rico all counties"))</f>
        <v>1</v>
      </c>
    </row>
    <row r="366" spans="1:16" x14ac:dyDescent="0.25">
      <c r="A366">
        <v>42021</v>
      </c>
      <c r="B366" t="s">
        <v>3665</v>
      </c>
      <c r="C366" t="s">
        <v>3682</v>
      </c>
      <c r="D366">
        <v>2958</v>
      </c>
      <c r="E366">
        <v>720</v>
      </c>
      <c r="F366">
        <v>354</v>
      </c>
      <c r="G366">
        <v>404</v>
      </c>
      <c r="H366">
        <v>832</v>
      </c>
      <c r="I366">
        <v>648</v>
      </c>
      <c r="J366">
        <v>622</v>
      </c>
      <c r="K366">
        <v>907</v>
      </c>
      <c r="L366" s="1">
        <v>1429</v>
      </c>
      <c r="M366" s="1">
        <v>2736</v>
      </c>
      <c r="N366">
        <v>222</v>
      </c>
      <c r="O366" t="s">
        <v>3683</v>
      </c>
      <c r="P366" s="1" t="b">
        <f>NOT(OR(Table1[[#This Row],[State]]="Other Foreign Countries", Table1[[#This Row],[State]]="Unknown", Table1[[#This Row],[State]]="Puerto Rico all counties"))</f>
        <v>1</v>
      </c>
    </row>
    <row r="367" spans="1:16" x14ac:dyDescent="0.25">
      <c r="A367">
        <v>13039</v>
      </c>
      <c r="B367" t="s">
        <v>754</v>
      </c>
      <c r="C367" t="s">
        <v>789</v>
      </c>
      <c r="D367">
        <v>4108</v>
      </c>
      <c r="E367">
        <v>622</v>
      </c>
      <c r="F367">
        <v>390</v>
      </c>
      <c r="G367">
        <v>477</v>
      </c>
      <c r="H367" s="1">
        <v>1299</v>
      </c>
      <c r="I367" s="1">
        <v>1320</v>
      </c>
      <c r="J367" s="1">
        <v>1258</v>
      </c>
      <c r="K367" s="1">
        <v>1836</v>
      </c>
      <c r="L367" s="1">
        <v>1014</v>
      </c>
      <c r="M367" s="1">
        <v>3591</v>
      </c>
      <c r="N367">
        <v>517</v>
      </c>
      <c r="O367" t="s">
        <v>790</v>
      </c>
      <c r="P367" s="1" t="b">
        <f>NOT(OR(Table1[[#This Row],[State]]="Other Foreign Countries", Table1[[#This Row],[State]]="Unknown", Table1[[#This Row],[State]]="Puerto Rico all counties"))</f>
        <v>1</v>
      </c>
    </row>
    <row r="368" spans="1:16" x14ac:dyDescent="0.25">
      <c r="A368">
        <v>29029</v>
      </c>
      <c r="B368" t="s">
        <v>2510</v>
      </c>
      <c r="C368" t="s">
        <v>789</v>
      </c>
      <c r="D368">
        <v>1493</v>
      </c>
      <c r="E368">
        <v>389</v>
      </c>
      <c r="F368">
        <v>149</v>
      </c>
      <c r="G368">
        <v>179</v>
      </c>
      <c r="H368">
        <v>401</v>
      </c>
      <c r="I368">
        <v>375</v>
      </c>
      <c r="J368">
        <v>220</v>
      </c>
      <c r="K368">
        <v>492</v>
      </c>
      <c r="L368">
        <v>781</v>
      </c>
      <c r="M368" s="1">
        <v>1355</v>
      </c>
      <c r="N368">
        <v>136</v>
      </c>
      <c r="O368" t="s">
        <v>2530</v>
      </c>
      <c r="P368" s="1" t="b">
        <f>NOT(OR(Table1[[#This Row],[State]]="Other Foreign Countries", Table1[[#This Row],[State]]="Unknown", Table1[[#This Row],[State]]="Puerto Rico all counties"))</f>
        <v>1</v>
      </c>
    </row>
    <row r="369" spans="1:16" x14ac:dyDescent="0.25">
      <c r="A369">
        <v>34007</v>
      </c>
      <c r="B369" t="s">
        <v>2938</v>
      </c>
      <c r="C369" t="s">
        <v>789</v>
      </c>
      <c r="D369">
        <v>5912</v>
      </c>
      <c r="E369" s="1">
        <v>1084</v>
      </c>
      <c r="F369">
        <v>555</v>
      </c>
      <c r="G369">
        <v>639</v>
      </c>
      <c r="H369" s="1">
        <v>1836</v>
      </c>
      <c r="I369" s="1">
        <v>1798</v>
      </c>
      <c r="J369" s="1">
        <v>1726</v>
      </c>
      <c r="K369" s="1">
        <v>1794</v>
      </c>
      <c r="L369" s="1">
        <v>2392</v>
      </c>
      <c r="M369" s="1">
        <v>5204</v>
      </c>
      <c r="N369">
        <v>708</v>
      </c>
      <c r="O369" t="s">
        <v>2945</v>
      </c>
      <c r="P369" s="1" t="b">
        <f>NOT(OR(Table1[[#This Row],[State]]="Other Foreign Countries", Table1[[#This Row],[State]]="Unknown", Table1[[#This Row],[State]]="Puerto Rico all counties"))</f>
        <v>1</v>
      </c>
    </row>
    <row r="370" spans="1:16" x14ac:dyDescent="0.25">
      <c r="A370">
        <v>37029</v>
      </c>
      <c r="B370" t="s">
        <v>3121</v>
      </c>
      <c r="C370" t="s">
        <v>789</v>
      </c>
      <c r="D370">
        <v>757</v>
      </c>
      <c r="E370">
        <v>87</v>
      </c>
      <c r="F370">
        <v>70</v>
      </c>
      <c r="G370">
        <v>83</v>
      </c>
      <c r="H370">
        <v>257</v>
      </c>
      <c r="I370">
        <v>260</v>
      </c>
      <c r="J370">
        <v>198</v>
      </c>
      <c r="K370">
        <v>378</v>
      </c>
      <c r="L370">
        <v>181</v>
      </c>
      <c r="M370">
        <v>647</v>
      </c>
      <c r="N370">
        <v>110</v>
      </c>
      <c r="O370" t="s">
        <v>3147</v>
      </c>
      <c r="P370" s="1" t="b">
        <f>NOT(OR(Table1[[#This Row],[State]]="Other Foreign Countries", Table1[[#This Row],[State]]="Unknown", Table1[[#This Row],[State]]="Puerto Rico all counties"))</f>
        <v>1</v>
      </c>
    </row>
    <row r="371" spans="1:16" x14ac:dyDescent="0.25">
      <c r="A371">
        <v>22023</v>
      </c>
      <c r="B371" t="s">
        <v>1892</v>
      </c>
      <c r="C371" t="s">
        <v>1913</v>
      </c>
      <c r="D371">
        <v>71</v>
      </c>
      <c r="E371">
        <v>13</v>
      </c>
      <c r="H371">
        <v>21</v>
      </c>
      <c r="I371">
        <v>20</v>
      </c>
      <c r="J371">
        <v>18</v>
      </c>
      <c r="K371">
        <v>29</v>
      </c>
      <c r="L371">
        <v>24</v>
      </c>
      <c r="O371" t="s">
        <v>1914</v>
      </c>
      <c r="P371" s="1" t="b">
        <f>NOT(OR(Table1[[#This Row],[State]]="Other Foreign Countries", Table1[[#This Row],[State]]="Unknown", Table1[[#This Row],[State]]="Puerto Rico all counties"))</f>
        <v>1</v>
      </c>
    </row>
    <row r="372" spans="1:16" x14ac:dyDescent="0.25">
      <c r="A372">
        <v>42023</v>
      </c>
      <c r="B372" t="s">
        <v>3665</v>
      </c>
      <c r="C372" t="s">
        <v>1913</v>
      </c>
      <c r="D372">
        <v>118</v>
      </c>
      <c r="E372">
        <v>26</v>
      </c>
      <c r="F372">
        <v>15</v>
      </c>
      <c r="G372">
        <v>15</v>
      </c>
      <c r="H372">
        <v>43</v>
      </c>
      <c r="I372">
        <v>19</v>
      </c>
      <c r="J372">
        <v>29</v>
      </c>
      <c r="K372">
        <v>28</v>
      </c>
      <c r="L372">
        <v>61</v>
      </c>
      <c r="O372" t="s">
        <v>3684</v>
      </c>
      <c r="P372" s="1" t="b">
        <f>NOT(OR(Table1[[#This Row],[State]]="Other Foreign Countries", Table1[[#This Row],[State]]="Unknown", Table1[[#This Row],[State]]="Puerto Rico all counties"))</f>
        <v>1</v>
      </c>
    </row>
    <row r="373" spans="1:16" x14ac:dyDescent="0.25">
      <c r="A373">
        <v>48061</v>
      </c>
      <c r="B373" t="s">
        <v>2654</v>
      </c>
      <c r="C373" t="s">
        <v>1913</v>
      </c>
      <c r="D373">
        <v>8544</v>
      </c>
      <c r="E373" s="1">
        <v>1435</v>
      </c>
      <c r="F373">
        <v>677</v>
      </c>
      <c r="G373">
        <v>771</v>
      </c>
      <c r="H373" s="1">
        <v>2569</v>
      </c>
      <c r="I373" s="1">
        <v>3092</v>
      </c>
      <c r="J373" s="1">
        <v>2534</v>
      </c>
      <c r="K373" s="1">
        <v>2672</v>
      </c>
      <c r="L373" s="1">
        <v>3338</v>
      </c>
      <c r="M373" s="1">
        <v>7865</v>
      </c>
      <c r="N373">
        <v>678</v>
      </c>
      <c r="O373" t="s">
        <v>4126</v>
      </c>
      <c r="P373" s="1" t="b">
        <f>NOT(OR(Table1[[#This Row],[State]]="Other Foreign Countries", Table1[[#This Row],[State]]="Unknown", Table1[[#This Row],[State]]="Puerto Rico all counties"))</f>
        <v>1</v>
      </c>
    </row>
    <row r="374" spans="1:16" x14ac:dyDescent="0.25">
      <c r="A374">
        <v>48063</v>
      </c>
      <c r="B374" t="s">
        <v>2654</v>
      </c>
      <c r="C374" t="s">
        <v>4127</v>
      </c>
      <c r="D374">
        <v>300</v>
      </c>
      <c r="E374">
        <v>51</v>
      </c>
      <c r="F374">
        <v>32</v>
      </c>
      <c r="G374">
        <v>29</v>
      </c>
      <c r="H374">
        <v>96</v>
      </c>
      <c r="I374">
        <v>92</v>
      </c>
      <c r="J374">
        <v>81</v>
      </c>
      <c r="K374">
        <v>104</v>
      </c>
      <c r="L374">
        <v>115</v>
      </c>
      <c r="M374">
        <v>271</v>
      </c>
      <c r="N374">
        <v>29</v>
      </c>
      <c r="O374" t="s">
        <v>4128</v>
      </c>
      <c r="P374" s="1" t="b">
        <f>NOT(OR(Table1[[#This Row],[State]]="Other Foreign Countries", Table1[[#This Row],[State]]="Unknown", Table1[[#This Row],[State]]="Puerto Rico all counties"))</f>
        <v>1</v>
      </c>
    </row>
    <row r="375" spans="1:16" x14ac:dyDescent="0.25">
      <c r="A375">
        <v>21037</v>
      </c>
      <c r="B375" t="s">
        <v>1716</v>
      </c>
      <c r="C375" t="s">
        <v>1747</v>
      </c>
      <c r="D375">
        <v>1321</v>
      </c>
      <c r="E375">
        <v>365</v>
      </c>
      <c r="F375">
        <v>182</v>
      </c>
      <c r="G375">
        <v>183</v>
      </c>
      <c r="H375">
        <v>342</v>
      </c>
      <c r="I375">
        <v>249</v>
      </c>
      <c r="J375">
        <v>363</v>
      </c>
      <c r="K375">
        <v>388</v>
      </c>
      <c r="L375">
        <v>570</v>
      </c>
      <c r="M375" s="1">
        <v>1203</v>
      </c>
      <c r="N375">
        <v>117</v>
      </c>
      <c r="O375" t="s">
        <v>1748</v>
      </c>
      <c r="P375" s="1" t="b">
        <f>NOT(OR(Table1[[#This Row],[State]]="Other Foreign Countries", Table1[[#This Row],[State]]="Unknown", Table1[[#This Row],[State]]="Puerto Rico all counties"))</f>
        <v>1</v>
      </c>
    </row>
    <row r="376" spans="1:16" x14ac:dyDescent="0.25">
      <c r="A376">
        <v>46021</v>
      </c>
      <c r="B376" t="s">
        <v>3846</v>
      </c>
      <c r="C376" t="s">
        <v>1747</v>
      </c>
      <c r="D376">
        <v>26</v>
      </c>
      <c r="L376">
        <v>14</v>
      </c>
      <c r="O376" t="s">
        <v>3862</v>
      </c>
      <c r="P376" s="1" t="b">
        <f>NOT(OR(Table1[[#This Row],[State]]="Other Foreign Countries", Table1[[#This Row],[State]]="Unknown", Table1[[#This Row],[State]]="Puerto Rico all counties"))</f>
        <v>1</v>
      </c>
    </row>
    <row r="377" spans="1:16" x14ac:dyDescent="0.25">
      <c r="A377">
        <v>47013</v>
      </c>
      <c r="B377" t="s">
        <v>3951</v>
      </c>
      <c r="C377" t="s">
        <v>1747</v>
      </c>
      <c r="D377">
        <v>1036</v>
      </c>
      <c r="E377">
        <v>187</v>
      </c>
      <c r="F377">
        <v>85</v>
      </c>
      <c r="G377">
        <v>102</v>
      </c>
      <c r="H377">
        <v>306</v>
      </c>
      <c r="I377">
        <v>356</v>
      </c>
      <c r="J377">
        <v>178</v>
      </c>
      <c r="K377">
        <v>284</v>
      </c>
      <c r="L377">
        <v>574</v>
      </c>
      <c r="M377">
        <v>979</v>
      </c>
      <c r="N377">
        <v>57</v>
      </c>
      <c r="O377" t="s">
        <v>3959</v>
      </c>
      <c r="P377" s="1" t="b">
        <f>NOT(OR(Table1[[#This Row],[State]]="Other Foreign Countries", Table1[[#This Row],[State]]="Unknown", Table1[[#This Row],[State]]="Puerto Rico all counties"))</f>
        <v>1</v>
      </c>
    </row>
    <row r="378" spans="1:16" x14ac:dyDescent="0.25">
      <c r="A378">
        <v>51031</v>
      </c>
      <c r="B378" t="s">
        <v>4555</v>
      </c>
      <c r="C378" t="s">
        <v>1747</v>
      </c>
      <c r="D378">
        <v>1054</v>
      </c>
      <c r="E378">
        <v>204</v>
      </c>
      <c r="F378">
        <v>138</v>
      </c>
      <c r="G378">
        <v>124</v>
      </c>
      <c r="H378">
        <v>332</v>
      </c>
      <c r="I378">
        <v>256</v>
      </c>
      <c r="J378">
        <v>305</v>
      </c>
      <c r="K378">
        <v>302</v>
      </c>
      <c r="L378">
        <v>447</v>
      </c>
      <c r="M378">
        <v>953</v>
      </c>
      <c r="N378">
        <v>101</v>
      </c>
      <c r="O378" t="s">
        <v>4581</v>
      </c>
      <c r="P378" s="1" t="b">
        <f>NOT(OR(Table1[[#This Row],[State]]="Other Foreign Countries", Table1[[#This Row],[State]]="Unknown", Table1[[#This Row],[State]]="Puerto Rico all counties"))</f>
        <v>1</v>
      </c>
    </row>
    <row r="379" spans="1:16" x14ac:dyDescent="0.25">
      <c r="A379">
        <v>56005</v>
      </c>
      <c r="B379" t="s">
        <v>3117</v>
      </c>
      <c r="C379" t="s">
        <v>1747</v>
      </c>
      <c r="D379">
        <v>1037</v>
      </c>
      <c r="E379">
        <v>229</v>
      </c>
      <c r="F379">
        <v>128</v>
      </c>
      <c r="G379">
        <v>151</v>
      </c>
      <c r="H379">
        <v>326</v>
      </c>
      <c r="I379">
        <v>203</v>
      </c>
      <c r="J379">
        <v>327</v>
      </c>
      <c r="K379">
        <v>362</v>
      </c>
      <c r="L379">
        <v>348</v>
      </c>
      <c r="M379">
        <v>939</v>
      </c>
      <c r="N379">
        <v>98</v>
      </c>
      <c r="O379" t="s">
        <v>5015</v>
      </c>
      <c r="P379" s="1" t="b">
        <f>NOT(OR(Table1[[#This Row],[State]]="Other Foreign Countries", Table1[[#This Row],[State]]="Unknown", Table1[[#This Row],[State]]="Puerto Rico all counties"))</f>
        <v>1</v>
      </c>
    </row>
    <row r="380" spans="1:16" x14ac:dyDescent="0.25">
      <c r="A380">
        <v>40017</v>
      </c>
      <c r="B380" t="s">
        <v>3495</v>
      </c>
      <c r="C380" t="s">
        <v>3508</v>
      </c>
      <c r="D380">
        <v>5985</v>
      </c>
      <c r="E380">
        <v>886</v>
      </c>
      <c r="F380">
        <v>492</v>
      </c>
      <c r="G380">
        <v>653</v>
      </c>
      <c r="H380" s="1">
        <v>1853</v>
      </c>
      <c r="I380" s="1">
        <v>2101</v>
      </c>
      <c r="J380" s="1">
        <v>2262</v>
      </c>
      <c r="K380" s="1">
        <v>2054</v>
      </c>
      <c r="L380" s="1">
        <v>1669</v>
      </c>
      <c r="M380" s="1">
        <v>5177</v>
      </c>
      <c r="N380">
        <v>808</v>
      </c>
      <c r="O380" t="s">
        <v>3509</v>
      </c>
      <c r="P380" s="1" t="b">
        <f>NOT(OR(Table1[[#This Row],[State]]="Other Foreign Countries", Table1[[#This Row],[State]]="Unknown", Table1[[#This Row],[State]]="Puerto Rico all counties"))</f>
        <v>1</v>
      </c>
    </row>
    <row r="381" spans="1:16" x14ac:dyDescent="0.25">
      <c r="A381">
        <v>13043</v>
      </c>
      <c r="B381" t="s">
        <v>754</v>
      </c>
      <c r="C381" t="s">
        <v>791</v>
      </c>
      <c r="D381">
        <v>218</v>
      </c>
      <c r="E381">
        <v>36</v>
      </c>
      <c r="F381">
        <v>36</v>
      </c>
      <c r="G381">
        <v>27</v>
      </c>
      <c r="H381">
        <v>62</v>
      </c>
      <c r="I381">
        <v>57</v>
      </c>
      <c r="J381">
        <v>52</v>
      </c>
      <c r="K381">
        <v>68</v>
      </c>
      <c r="L381">
        <v>98</v>
      </c>
      <c r="M381">
        <v>186</v>
      </c>
      <c r="N381">
        <v>32</v>
      </c>
      <c r="O381" t="s">
        <v>792</v>
      </c>
      <c r="P381" s="1" t="b">
        <f>NOT(OR(Table1[[#This Row],[State]]="Other Foreign Countries", Table1[[#This Row],[State]]="Unknown", Table1[[#This Row],[State]]="Puerto Rico all counties"))</f>
        <v>1</v>
      </c>
    </row>
    <row r="382" spans="1:16" x14ac:dyDescent="0.25">
      <c r="A382">
        <v>47015</v>
      </c>
      <c r="B382" t="s">
        <v>3951</v>
      </c>
      <c r="C382" t="s">
        <v>3960</v>
      </c>
      <c r="D382">
        <v>309</v>
      </c>
      <c r="E382">
        <v>52</v>
      </c>
      <c r="F382">
        <v>30</v>
      </c>
      <c r="G382">
        <v>31</v>
      </c>
      <c r="H382">
        <v>93</v>
      </c>
      <c r="I382">
        <v>103</v>
      </c>
      <c r="J382">
        <v>89</v>
      </c>
      <c r="K382">
        <v>89</v>
      </c>
      <c r="L382">
        <v>131</v>
      </c>
      <c r="M382">
        <v>277</v>
      </c>
      <c r="N382">
        <v>32</v>
      </c>
      <c r="O382" t="s">
        <v>3961</v>
      </c>
      <c r="P382" s="1" t="b">
        <f>NOT(OR(Table1[[#This Row],[State]]="Other Foreign Countries", Table1[[#This Row],[State]]="Unknown", Table1[[#This Row],[State]]="Puerto Rico all counties"))</f>
        <v>1</v>
      </c>
    </row>
    <row r="383" spans="1:16" x14ac:dyDescent="0.25">
      <c r="A383">
        <v>16027</v>
      </c>
      <c r="B383" t="s">
        <v>1032</v>
      </c>
      <c r="C383" t="s">
        <v>1057</v>
      </c>
      <c r="D383">
        <v>6107</v>
      </c>
      <c r="E383" s="1">
        <v>1253</v>
      </c>
      <c r="F383">
        <v>761</v>
      </c>
      <c r="G383">
        <v>802</v>
      </c>
      <c r="H383" s="1">
        <v>1847</v>
      </c>
      <c r="I383" s="1">
        <v>1444</v>
      </c>
      <c r="J383" s="1">
        <v>2092</v>
      </c>
      <c r="K383" s="1">
        <v>1840</v>
      </c>
      <c r="L383" s="1">
        <v>2174</v>
      </c>
      <c r="M383" s="1">
        <v>5498</v>
      </c>
      <c r="N383">
        <v>609</v>
      </c>
      <c r="O383" t="s">
        <v>1058</v>
      </c>
      <c r="P383" s="1" t="b">
        <f>NOT(OR(Table1[[#This Row],[State]]="Other Foreign Countries", Table1[[#This Row],[State]]="Unknown", Table1[[#This Row],[State]]="Puerto Rico all counties"))</f>
        <v>1</v>
      </c>
    </row>
    <row r="384" spans="1:16" x14ac:dyDescent="0.25">
      <c r="A384">
        <v>29031</v>
      </c>
      <c r="B384" t="s">
        <v>2510</v>
      </c>
      <c r="C384" t="s">
        <v>2531</v>
      </c>
      <c r="D384">
        <v>1887</v>
      </c>
      <c r="E384">
        <v>470</v>
      </c>
      <c r="F384">
        <v>235</v>
      </c>
      <c r="G384">
        <v>203</v>
      </c>
      <c r="H384">
        <v>513</v>
      </c>
      <c r="I384">
        <v>466</v>
      </c>
      <c r="J384">
        <v>481</v>
      </c>
      <c r="K384">
        <v>522</v>
      </c>
      <c r="L384">
        <v>884</v>
      </c>
      <c r="M384" s="1">
        <v>1727</v>
      </c>
      <c r="N384">
        <v>160</v>
      </c>
      <c r="O384" t="s">
        <v>2532</v>
      </c>
      <c r="P384" s="1" t="b">
        <f>NOT(OR(Table1[[#This Row],[State]]="Other Foreign Countries", Table1[[#This Row],[State]]="Unknown", Table1[[#This Row],[State]]="Puerto Rico all counties"))</f>
        <v>1</v>
      </c>
    </row>
    <row r="385" spans="1:16" x14ac:dyDescent="0.25">
      <c r="A385">
        <v>34009</v>
      </c>
      <c r="B385" t="s">
        <v>2938</v>
      </c>
      <c r="C385" t="s">
        <v>2946</v>
      </c>
      <c r="D385">
        <v>1976</v>
      </c>
      <c r="E385">
        <v>436</v>
      </c>
      <c r="F385">
        <v>199</v>
      </c>
      <c r="G385">
        <v>236</v>
      </c>
      <c r="H385">
        <v>573</v>
      </c>
      <c r="I385">
        <v>532</v>
      </c>
      <c r="J385">
        <v>418</v>
      </c>
      <c r="K385">
        <v>432</v>
      </c>
      <c r="L385" s="1">
        <v>1126</v>
      </c>
      <c r="M385" s="1">
        <v>1845</v>
      </c>
      <c r="N385">
        <v>131</v>
      </c>
      <c r="O385" t="s">
        <v>2947</v>
      </c>
      <c r="P385" s="1" t="b">
        <f>NOT(OR(Table1[[#This Row],[State]]="Other Foreign Countries", Table1[[#This Row],[State]]="Unknown", Table1[[#This Row],[State]]="Puerto Rico all counties"))</f>
        <v>1</v>
      </c>
    </row>
    <row r="386" spans="1:16" x14ac:dyDescent="0.25">
      <c r="A386">
        <v>9110</v>
      </c>
      <c r="B386" t="s">
        <v>609</v>
      </c>
      <c r="C386" t="s">
        <v>610</v>
      </c>
      <c r="D386">
        <v>10233</v>
      </c>
      <c r="E386" s="1">
        <v>2724</v>
      </c>
      <c r="F386" s="1">
        <v>1314</v>
      </c>
      <c r="G386" s="1">
        <v>1236</v>
      </c>
      <c r="H386" s="1">
        <v>2688</v>
      </c>
      <c r="I386" s="1">
        <v>2271</v>
      </c>
      <c r="J386" s="1">
        <v>3135</v>
      </c>
      <c r="K386" s="1">
        <v>2920</v>
      </c>
      <c r="L386" s="1">
        <v>4178</v>
      </c>
      <c r="M386" s="1">
        <v>9094</v>
      </c>
      <c r="N386" s="1">
        <v>1137</v>
      </c>
      <c r="O386" t="s">
        <v>611</v>
      </c>
      <c r="P386" s="1" t="b">
        <f>NOT(OR(Table1[[#This Row],[State]]="Other Foreign Countries", Table1[[#This Row],[State]]="Unknown", Table1[[#This Row],[State]]="Puerto Rico all counties"))</f>
        <v>1</v>
      </c>
    </row>
    <row r="387" spans="1:16" x14ac:dyDescent="0.25">
      <c r="A387">
        <v>30009</v>
      </c>
      <c r="B387" t="s">
        <v>2665</v>
      </c>
      <c r="C387" t="s">
        <v>2673</v>
      </c>
      <c r="D387">
        <v>323</v>
      </c>
      <c r="E387">
        <v>62</v>
      </c>
      <c r="F387">
        <v>49</v>
      </c>
      <c r="G387">
        <v>43</v>
      </c>
      <c r="H387">
        <v>75</v>
      </c>
      <c r="I387">
        <v>94</v>
      </c>
      <c r="J387">
        <v>61</v>
      </c>
      <c r="K387">
        <v>113</v>
      </c>
      <c r="L387">
        <v>149</v>
      </c>
      <c r="M387">
        <v>285</v>
      </c>
      <c r="N387">
        <v>38</v>
      </c>
      <c r="O387" t="s">
        <v>2674</v>
      </c>
      <c r="P387" s="1" t="b">
        <f>NOT(OR(Table1[[#This Row],[State]]="Other Foreign Countries", Table1[[#This Row],[State]]="Unknown", Table1[[#This Row],[State]]="Puerto Rico all counties"))</f>
        <v>1</v>
      </c>
    </row>
    <row r="388" spans="1:16" x14ac:dyDescent="0.25">
      <c r="A388">
        <v>42025</v>
      </c>
      <c r="B388" t="s">
        <v>3665</v>
      </c>
      <c r="C388" t="s">
        <v>2673</v>
      </c>
      <c r="D388">
        <v>1190</v>
      </c>
      <c r="E388">
        <v>248</v>
      </c>
      <c r="F388">
        <v>129</v>
      </c>
      <c r="G388">
        <v>136</v>
      </c>
      <c r="H388">
        <v>367</v>
      </c>
      <c r="I388">
        <v>310</v>
      </c>
      <c r="J388">
        <v>287</v>
      </c>
      <c r="K388">
        <v>344</v>
      </c>
      <c r="L388">
        <v>559</v>
      </c>
      <c r="M388" s="1">
        <v>1098</v>
      </c>
      <c r="N388">
        <v>92</v>
      </c>
      <c r="O388" t="s">
        <v>3685</v>
      </c>
      <c r="P388" s="1" t="b">
        <f>NOT(OR(Table1[[#This Row],[State]]="Other Foreign Countries", Table1[[#This Row],[State]]="Unknown", Table1[[#This Row],[State]]="Puerto Rico all counties"))</f>
        <v>1</v>
      </c>
    </row>
    <row r="389" spans="1:16" x14ac:dyDescent="0.25">
      <c r="A389">
        <v>49007</v>
      </c>
      <c r="B389" t="s">
        <v>4486</v>
      </c>
      <c r="C389" t="s">
        <v>2673</v>
      </c>
      <c r="D389">
        <v>328</v>
      </c>
      <c r="E389">
        <v>68</v>
      </c>
      <c r="F389">
        <v>44</v>
      </c>
      <c r="G389">
        <v>41</v>
      </c>
      <c r="H389">
        <v>95</v>
      </c>
      <c r="I389">
        <v>80</v>
      </c>
      <c r="J389">
        <v>75</v>
      </c>
      <c r="K389">
        <v>87</v>
      </c>
      <c r="L389">
        <v>166</v>
      </c>
      <c r="M389">
        <v>303</v>
      </c>
      <c r="N389">
        <v>25</v>
      </c>
      <c r="O389" t="s">
        <v>4492</v>
      </c>
      <c r="P389" s="1" t="b">
        <f>NOT(OR(Table1[[#This Row],[State]]="Other Foreign Countries", Table1[[#This Row],[State]]="Unknown", Table1[[#This Row],[State]]="Puerto Rico all counties"))</f>
        <v>1</v>
      </c>
    </row>
    <row r="390" spans="1:16" x14ac:dyDescent="0.25">
      <c r="A390">
        <v>56007</v>
      </c>
      <c r="B390" t="s">
        <v>3117</v>
      </c>
      <c r="C390" t="s">
        <v>2673</v>
      </c>
      <c r="D390">
        <v>353</v>
      </c>
      <c r="E390">
        <v>94</v>
      </c>
      <c r="F390">
        <v>53</v>
      </c>
      <c r="G390">
        <v>47</v>
      </c>
      <c r="H390">
        <v>87</v>
      </c>
      <c r="I390">
        <v>72</v>
      </c>
      <c r="J390">
        <v>89</v>
      </c>
      <c r="K390">
        <v>101</v>
      </c>
      <c r="L390">
        <v>163</v>
      </c>
      <c r="M390">
        <v>324</v>
      </c>
      <c r="N390">
        <v>29</v>
      </c>
      <c r="O390" t="s">
        <v>5016</v>
      </c>
      <c r="P390" s="1" t="b">
        <f>NOT(OR(Table1[[#This Row],[State]]="Other Foreign Countries", Table1[[#This Row],[State]]="Unknown", Table1[[#This Row],[State]]="Puerto Rico all counties"))</f>
        <v>1</v>
      </c>
    </row>
    <row r="391" spans="1:16" x14ac:dyDescent="0.25">
      <c r="A391">
        <v>16029</v>
      </c>
      <c r="B391" t="s">
        <v>1032</v>
      </c>
      <c r="C391" t="s">
        <v>1059</v>
      </c>
      <c r="D391">
        <v>114</v>
      </c>
      <c r="E391">
        <v>36</v>
      </c>
      <c r="F391">
        <v>16</v>
      </c>
      <c r="G391">
        <v>15</v>
      </c>
      <c r="H391">
        <v>24</v>
      </c>
      <c r="I391">
        <v>23</v>
      </c>
      <c r="J391">
        <v>27</v>
      </c>
      <c r="K391">
        <v>14</v>
      </c>
      <c r="L391">
        <v>73</v>
      </c>
      <c r="O391" t="s">
        <v>1060</v>
      </c>
      <c r="P391" s="1" t="b">
        <f>NOT(OR(Table1[[#This Row],[State]]="Other Foreign Countries", Table1[[#This Row],[State]]="Unknown", Table1[[#This Row],[State]]="Puerto Rico all counties"))</f>
        <v>1</v>
      </c>
    </row>
    <row r="392" spans="1:16" x14ac:dyDescent="0.25">
      <c r="A392">
        <v>21039</v>
      </c>
      <c r="B392" t="s">
        <v>1716</v>
      </c>
      <c r="C392" t="s">
        <v>1749</v>
      </c>
      <c r="D392">
        <v>77</v>
      </c>
      <c r="E392">
        <v>21</v>
      </c>
      <c r="H392">
        <v>20</v>
      </c>
      <c r="I392">
        <v>21</v>
      </c>
      <c r="J392">
        <v>18</v>
      </c>
      <c r="K392">
        <v>24</v>
      </c>
      <c r="L392">
        <v>35</v>
      </c>
      <c r="O392" t="s">
        <v>1750</v>
      </c>
      <c r="P392" s="1" t="b">
        <f>NOT(OR(Table1[[#This Row],[State]]="Other Foreign Countries", Table1[[#This Row],[State]]="Unknown", Table1[[#This Row],[State]]="Puerto Rico all counties"))</f>
        <v>1</v>
      </c>
    </row>
    <row r="393" spans="1:16" x14ac:dyDescent="0.25">
      <c r="A393">
        <v>27017</v>
      </c>
      <c r="B393" t="s">
        <v>2245</v>
      </c>
      <c r="C393" t="s">
        <v>2260</v>
      </c>
      <c r="D393">
        <v>1154</v>
      </c>
      <c r="E393">
        <v>439</v>
      </c>
      <c r="F393">
        <v>120</v>
      </c>
      <c r="G393">
        <v>109</v>
      </c>
      <c r="H393">
        <v>282</v>
      </c>
      <c r="I393">
        <v>204</v>
      </c>
      <c r="J393">
        <v>225</v>
      </c>
      <c r="K393">
        <v>345</v>
      </c>
      <c r="L393">
        <v>584</v>
      </c>
      <c r="M393" s="1">
        <v>1060</v>
      </c>
      <c r="N393">
        <v>93</v>
      </c>
      <c r="O393" t="s">
        <v>2261</v>
      </c>
      <c r="P393" s="1" t="b">
        <f>NOT(OR(Table1[[#This Row],[State]]="Other Foreign Countries", Table1[[#This Row],[State]]="Unknown", Table1[[#This Row],[State]]="Puerto Rico all counties"))</f>
        <v>1</v>
      </c>
    </row>
    <row r="394" spans="1:16" x14ac:dyDescent="0.25">
      <c r="A394">
        <v>24011</v>
      </c>
      <c r="B394" t="s">
        <v>2031</v>
      </c>
      <c r="C394" t="s">
        <v>2040</v>
      </c>
      <c r="D394">
        <v>509</v>
      </c>
      <c r="E394">
        <v>108</v>
      </c>
      <c r="F394">
        <v>61</v>
      </c>
      <c r="G394">
        <v>63</v>
      </c>
      <c r="H394">
        <v>151</v>
      </c>
      <c r="I394">
        <v>126</v>
      </c>
      <c r="J394">
        <v>166</v>
      </c>
      <c r="K394">
        <v>153</v>
      </c>
      <c r="L394">
        <v>190</v>
      </c>
      <c r="M394">
        <v>430</v>
      </c>
      <c r="N394">
        <v>79</v>
      </c>
      <c r="O394" t="s">
        <v>2041</v>
      </c>
      <c r="P394" s="1" t="b">
        <f>NOT(OR(Table1[[#This Row],[State]]="Other Foreign Countries", Table1[[#This Row],[State]]="Unknown", Table1[[#This Row],[State]]="Puerto Rico all counties"))</f>
        <v>1</v>
      </c>
    </row>
    <row r="395" spans="1:16" x14ac:dyDescent="0.25">
      <c r="A395">
        <v>51033</v>
      </c>
      <c r="B395" t="s">
        <v>4555</v>
      </c>
      <c r="C395" t="s">
        <v>2040</v>
      </c>
      <c r="D395">
        <v>1159</v>
      </c>
      <c r="E395">
        <v>145</v>
      </c>
      <c r="F395">
        <v>118</v>
      </c>
      <c r="G395">
        <v>132</v>
      </c>
      <c r="H395">
        <v>386</v>
      </c>
      <c r="I395">
        <v>378</v>
      </c>
      <c r="J395">
        <v>350</v>
      </c>
      <c r="K395">
        <v>443</v>
      </c>
      <c r="L395">
        <v>366</v>
      </c>
      <c r="M395">
        <v>982</v>
      </c>
      <c r="N395">
        <v>177</v>
      </c>
      <c r="O395" t="s">
        <v>4582</v>
      </c>
      <c r="P395" s="1" t="b">
        <f>NOT(OR(Table1[[#This Row],[State]]="Other Foreign Countries", Table1[[#This Row],[State]]="Unknown", Table1[[#This Row],[State]]="Puerto Rico all counties"))</f>
        <v>1</v>
      </c>
    </row>
    <row r="396" spans="1:16" x14ac:dyDescent="0.25">
      <c r="A396">
        <v>5015</v>
      </c>
      <c r="B396" t="s">
        <v>242</v>
      </c>
      <c r="C396" t="s">
        <v>255</v>
      </c>
      <c r="D396">
        <v>602</v>
      </c>
      <c r="E396">
        <v>115</v>
      </c>
      <c r="F396">
        <v>62</v>
      </c>
      <c r="G396">
        <v>91</v>
      </c>
      <c r="H396">
        <v>186</v>
      </c>
      <c r="I396">
        <v>148</v>
      </c>
      <c r="J396">
        <v>102</v>
      </c>
      <c r="K396">
        <v>183</v>
      </c>
      <c r="L396">
        <v>317</v>
      </c>
      <c r="M396">
        <v>554</v>
      </c>
      <c r="N396">
        <v>48</v>
      </c>
      <c r="O396" t="s">
        <v>256</v>
      </c>
      <c r="P396" s="1" t="b">
        <f>NOT(OR(Table1[[#This Row],[State]]="Other Foreign Countries", Table1[[#This Row],[State]]="Unknown", Table1[[#This Row],[State]]="Puerto Rico all counties"))</f>
        <v>1</v>
      </c>
    </row>
    <row r="397" spans="1:16" x14ac:dyDescent="0.25">
      <c r="A397">
        <v>13045</v>
      </c>
      <c r="B397" t="s">
        <v>754</v>
      </c>
      <c r="C397" t="s">
        <v>255</v>
      </c>
      <c r="D397">
        <v>2328</v>
      </c>
      <c r="E397">
        <v>466</v>
      </c>
      <c r="F397">
        <v>227</v>
      </c>
      <c r="G397">
        <v>278</v>
      </c>
      <c r="H397">
        <v>712</v>
      </c>
      <c r="I397">
        <v>645</v>
      </c>
      <c r="J397">
        <v>733</v>
      </c>
      <c r="K397">
        <v>770</v>
      </c>
      <c r="L397">
        <v>825</v>
      </c>
      <c r="M397" s="1">
        <v>1993</v>
      </c>
      <c r="N397">
        <v>335</v>
      </c>
      <c r="O397" t="s">
        <v>793</v>
      </c>
      <c r="P397" s="1" t="b">
        <f>NOT(OR(Table1[[#This Row],[State]]="Other Foreign Countries", Table1[[#This Row],[State]]="Unknown", Table1[[#This Row],[State]]="Puerto Rico all counties"))</f>
        <v>1</v>
      </c>
    </row>
    <row r="398" spans="1:16" x14ac:dyDescent="0.25">
      <c r="A398">
        <v>17015</v>
      </c>
      <c r="B398" t="s">
        <v>1109</v>
      </c>
      <c r="C398" t="s">
        <v>255</v>
      </c>
      <c r="D398">
        <v>307</v>
      </c>
      <c r="E398">
        <v>95</v>
      </c>
      <c r="F398">
        <v>33</v>
      </c>
      <c r="G398">
        <v>34</v>
      </c>
      <c r="H398">
        <v>74</v>
      </c>
      <c r="I398">
        <v>71</v>
      </c>
      <c r="J398">
        <v>65</v>
      </c>
      <c r="K398">
        <v>90</v>
      </c>
      <c r="L398">
        <v>152</v>
      </c>
      <c r="M398">
        <v>287</v>
      </c>
      <c r="N398">
        <v>20</v>
      </c>
      <c r="O398" t="s">
        <v>1121</v>
      </c>
      <c r="P398" s="1" t="b">
        <f>NOT(OR(Table1[[#This Row],[State]]="Other Foreign Countries", Table1[[#This Row],[State]]="Unknown", Table1[[#This Row],[State]]="Puerto Rico all counties"))</f>
        <v>1</v>
      </c>
    </row>
    <row r="399" spans="1:16" x14ac:dyDescent="0.25">
      <c r="A399">
        <v>18015</v>
      </c>
      <c r="B399" t="s">
        <v>1266</v>
      </c>
      <c r="C399" t="s">
        <v>255</v>
      </c>
      <c r="D399">
        <v>384</v>
      </c>
      <c r="E399">
        <v>122</v>
      </c>
      <c r="F399">
        <v>42</v>
      </c>
      <c r="G399">
        <v>53</v>
      </c>
      <c r="H399">
        <v>102</v>
      </c>
      <c r="I399">
        <v>65</v>
      </c>
      <c r="J399">
        <v>104</v>
      </c>
      <c r="K399">
        <v>109</v>
      </c>
      <c r="L399">
        <v>171</v>
      </c>
      <c r="M399">
        <v>358</v>
      </c>
      <c r="N399">
        <v>25</v>
      </c>
      <c r="O399" t="s">
        <v>1277</v>
      </c>
      <c r="P399" s="1" t="b">
        <f>NOT(OR(Table1[[#This Row],[State]]="Other Foreign Countries", Table1[[#This Row],[State]]="Unknown", Table1[[#This Row],[State]]="Puerto Rico all counties"))</f>
        <v>1</v>
      </c>
    </row>
    <row r="400" spans="1:16" x14ac:dyDescent="0.25">
      <c r="A400">
        <v>19027</v>
      </c>
      <c r="B400" t="s">
        <v>1399</v>
      </c>
      <c r="C400" t="s">
        <v>255</v>
      </c>
      <c r="D400">
        <v>382</v>
      </c>
      <c r="E400">
        <v>129</v>
      </c>
      <c r="F400">
        <v>58</v>
      </c>
      <c r="G400">
        <v>37</v>
      </c>
      <c r="H400">
        <v>81</v>
      </c>
      <c r="I400">
        <v>77</v>
      </c>
      <c r="J400">
        <v>57</v>
      </c>
      <c r="K400">
        <v>90</v>
      </c>
      <c r="L400">
        <v>235</v>
      </c>
      <c r="M400">
        <v>357</v>
      </c>
      <c r="N400">
        <v>25</v>
      </c>
      <c r="O400" t="s">
        <v>1421</v>
      </c>
      <c r="P400" s="1" t="b">
        <f>NOT(OR(Table1[[#This Row],[State]]="Other Foreign Countries", Table1[[#This Row],[State]]="Unknown", Table1[[#This Row],[State]]="Puerto Rico all counties"))</f>
        <v>1</v>
      </c>
    </row>
    <row r="401" spans="1:16" x14ac:dyDescent="0.25">
      <c r="A401">
        <v>21041</v>
      </c>
      <c r="B401" t="s">
        <v>1716</v>
      </c>
      <c r="C401" t="s">
        <v>255</v>
      </c>
      <c r="D401">
        <v>148</v>
      </c>
      <c r="E401">
        <v>45</v>
      </c>
      <c r="F401">
        <v>14</v>
      </c>
      <c r="G401">
        <v>22</v>
      </c>
      <c r="H401">
        <v>36</v>
      </c>
      <c r="I401">
        <v>31</v>
      </c>
      <c r="J401">
        <v>35</v>
      </c>
      <c r="K401">
        <v>39</v>
      </c>
      <c r="L401">
        <v>74</v>
      </c>
      <c r="O401" t="s">
        <v>1751</v>
      </c>
      <c r="P401" s="1" t="b">
        <f>NOT(OR(Table1[[#This Row],[State]]="Other Foreign Countries", Table1[[#This Row],[State]]="Unknown", Table1[[#This Row],[State]]="Puerto Rico all counties"))</f>
        <v>1</v>
      </c>
    </row>
    <row r="402" spans="1:16" x14ac:dyDescent="0.25">
      <c r="A402">
        <v>24013</v>
      </c>
      <c r="B402" t="s">
        <v>2031</v>
      </c>
      <c r="C402" t="s">
        <v>255</v>
      </c>
      <c r="D402">
        <v>3015</v>
      </c>
      <c r="E402">
        <v>623</v>
      </c>
      <c r="F402">
        <v>362</v>
      </c>
      <c r="G402">
        <v>382</v>
      </c>
      <c r="H402">
        <v>854</v>
      </c>
      <c r="I402">
        <v>794</v>
      </c>
      <c r="J402" s="1">
        <v>1018</v>
      </c>
      <c r="K402" s="1">
        <v>1056</v>
      </c>
      <c r="L402">
        <v>941</v>
      </c>
      <c r="M402" s="1">
        <v>2656</v>
      </c>
      <c r="N402">
        <v>359</v>
      </c>
      <c r="O402" t="s">
        <v>2042</v>
      </c>
      <c r="P402" s="1" t="b">
        <f>NOT(OR(Table1[[#This Row],[State]]="Other Foreign Countries", Table1[[#This Row],[State]]="Unknown", Table1[[#This Row],[State]]="Puerto Rico all counties"))</f>
        <v>1</v>
      </c>
    </row>
    <row r="403" spans="1:16" x14ac:dyDescent="0.25">
      <c r="A403">
        <v>28015</v>
      </c>
      <c r="B403" t="s">
        <v>322</v>
      </c>
      <c r="C403" t="s">
        <v>255</v>
      </c>
      <c r="D403">
        <v>177</v>
      </c>
      <c r="E403">
        <v>29</v>
      </c>
      <c r="F403">
        <v>17</v>
      </c>
      <c r="G403">
        <v>18</v>
      </c>
      <c r="H403">
        <v>51</v>
      </c>
      <c r="I403">
        <v>62</v>
      </c>
      <c r="J403">
        <v>36</v>
      </c>
      <c r="K403">
        <v>44</v>
      </c>
      <c r="L403">
        <v>97</v>
      </c>
      <c r="M403">
        <v>165</v>
      </c>
      <c r="N403">
        <v>12</v>
      </c>
      <c r="O403" t="s">
        <v>2405</v>
      </c>
      <c r="P403" s="1" t="b">
        <f>NOT(OR(Table1[[#This Row],[State]]="Other Foreign Countries", Table1[[#This Row],[State]]="Unknown", Table1[[#This Row],[State]]="Puerto Rico all counties"))</f>
        <v>1</v>
      </c>
    </row>
    <row r="404" spans="1:16" x14ac:dyDescent="0.25">
      <c r="A404">
        <v>29033</v>
      </c>
      <c r="B404" t="s">
        <v>2510</v>
      </c>
      <c r="C404" t="s">
        <v>255</v>
      </c>
      <c r="D404">
        <v>168</v>
      </c>
      <c r="E404">
        <v>54</v>
      </c>
      <c r="F404">
        <v>20</v>
      </c>
      <c r="G404">
        <v>25</v>
      </c>
      <c r="H404">
        <v>44</v>
      </c>
      <c r="I404">
        <v>25</v>
      </c>
      <c r="J404">
        <v>28</v>
      </c>
      <c r="K404">
        <v>51</v>
      </c>
      <c r="L404">
        <v>89</v>
      </c>
      <c r="O404" t="s">
        <v>2533</v>
      </c>
      <c r="P404" s="1" t="b">
        <f>NOT(OR(Table1[[#This Row],[State]]="Other Foreign Countries", Table1[[#This Row],[State]]="Unknown", Table1[[#This Row],[State]]="Puerto Rico all counties"))</f>
        <v>1</v>
      </c>
    </row>
    <row r="405" spans="1:16" x14ac:dyDescent="0.25">
      <c r="A405">
        <v>33003</v>
      </c>
      <c r="B405" t="s">
        <v>2920</v>
      </c>
      <c r="C405" t="s">
        <v>255</v>
      </c>
      <c r="D405">
        <v>1079</v>
      </c>
      <c r="E405">
        <v>260</v>
      </c>
      <c r="F405">
        <v>141</v>
      </c>
      <c r="G405">
        <v>149</v>
      </c>
      <c r="H405">
        <v>308</v>
      </c>
      <c r="I405">
        <v>221</v>
      </c>
      <c r="J405">
        <v>218</v>
      </c>
      <c r="K405">
        <v>316</v>
      </c>
      <c r="L405">
        <v>545</v>
      </c>
      <c r="M405">
        <v>968</v>
      </c>
      <c r="N405">
        <v>111</v>
      </c>
      <c r="O405" t="s">
        <v>2923</v>
      </c>
      <c r="P405" s="1" t="b">
        <f>NOT(OR(Table1[[#This Row],[State]]="Other Foreign Countries", Table1[[#This Row],[State]]="Unknown", Table1[[#This Row],[State]]="Puerto Rico all counties"))</f>
        <v>1</v>
      </c>
    </row>
    <row r="406" spans="1:16" x14ac:dyDescent="0.25">
      <c r="A406">
        <v>39019</v>
      </c>
      <c r="B406" t="s">
        <v>1343</v>
      </c>
      <c r="C406" t="s">
        <v>255</v>
      </c>
      <c r="D406">
        <v>497</v>
      </c>
      <c r="E406">
        <v>135</v>
      </c>
      <c r="F406">
        <v>60</v>
      </c>
      <c r="G406">
        <v>67</v>
      </c>
      <c r="H406">
        <v>134</v>
      </c>
      <c r="I406">
        <v>101</v>
      </c>
      <c r="J406">
        <v>116</v>
      </c>
      <c r="K406">
        <v>153</v>
      </c>
      <c r="L406">
        <v>228</v>
      </c>
      <c r="M406">
        <v>462</v>
      </c>
      <c r="N406">
        <v>35</v>
      </c>
      <c r="O406" t="s">
        <v>3385</v>
      </c>
      <c r="P406" s="1" t="b">
        <f>NOT(OR(Table1[[#This Row],[State]]="Other Foreign Countries", Table1[[#This Row],[State]]="Unknown", Table1[[#This Row],[State]]="Puerto Rico all counties"))</f>
        <v>1</v>
      </c>
    </row>
    <row r="407" spans="1:16" x14ac:dyDescent="0.25">
      <c r="A407">
        <v>47017</v>
      </c>
      <c r="B407" t="s">
        <v>3951</v>
      </c>
      <c r="C407" t="s">
        <v>255</v>
      </c>
      <c r="D407">
        <v>722</v>
      </c>
      <c r="E407">
        <v>140</v>
      </c>
      <c r="F407">
        <v>81</v>
      </c>
      <c r="G407">
        <v>77</v>
      </c>
      <c r="H407">
        <v>209</v>
      </c>
      <c r="I407">
        <v>215</v>
      </c>
      <c r="J407">
        <v>144</v>
      </c>
      <c r="K407">
        <v>254</v>
      </c>
      <c r="L407">
        <v>324</v>
      </c>
      <c r="M407">
        <v>649</v>
      </c>
      <c r="N407">
        <v>73</v>
      </c>
      <c r="O407" t="s">
        <v>3962</v>
      </c>
      <c r="P407" s="1" t="b">
        <f>NOT(OR(Table1[[#This Row],[State]]="Other Foreign Countries", Table1[[#This Row],[State]]="Unknown", Table1[[#This Row],[State]]="Puerto Rico all counties"))</f>
        <v>1</v>
      </c>
    </row>
    <row r="408" spans="1:16" x14ac:dyDescent="0.25">
      <c r="A408">
        <v>51035</v>
      </c>
      <c r="B408" t="s">
        <v>4555</v>
      </c>
      <c r="C408" t="s">
        <v>255</v>
      </c>
      <c r="D408">
        <v>590</v>
      </c>
      <c r="E408">
        <v>117</v>
      </c>
      <c r="F408">
        <v>73</v>
      </c>
      <c r="G408">
        <v>59</v>
      </c>
      <c r="H408">
        <v>184</v>
      </c>
      <c r="I408">
        <v>157</v>
      </c>
      <c r="J408">
        <v>116</v>
      </c>
      <c r="K408">
        <v>177</v>
      </c>
      <c r="L408">
        <v>297</v>
      </c>
      <c r="M408">
        <v>544</v>
      </c>
      <c r="N408">
        <v>46</v>
      </c>
      <c r="O408" t="s">
        <v>4583</v>
      </c>
      <c r="P408" s="1" t="b">
        <f>NOT(OR(Table1[[#This Row],[State]]="Other Foreign Countries", Table1[[#This Row],[State]]="Unknown", Table1[[#This Row],[State]]="Puerto Rico all counties"))</f>
        <v>1</v>
      </c>
    </row>
    <row r="409" spans="1:16" x14ac:dyDescent="0.25">
      <c r="A409">
        <v>48065</v>
      </c>
      <c r="B409" t="s">
        <v>2654</v>
      </c>
      <c r="C409" t="s">
        <v>4129</v>
      </c>
      <c r="D409">
        <v>148</v>
      </c>
      <c r="E409">
        <v>39</v>
      </c>
      <c r="F409">
        <v>18</v>
      </c>
      <c r="G409">
        <v>20</v>
      </c>
      <c r="H409">
        <v>37</v>
      </c>
      <c r="I409">
        <v>34</v>
      </c>
      <c r="J409">
        <v>44</v>
      </c>
      <c r="K409">
        <v>55</v>
      </c>
      <c r="L409">
        <v>49</v>
      </c>
      <c r="M409">
        <v>137</v>
      </c>
      <c r="N409">
        <v>11</v>
      </c>
      <c r="O409" t="s">
        <v>4130</v>
      </c>
      <c r="P409" s="1" t="b">
        <f>NOT(OR(Table1[[#This Row],[State]]="Other Foreign Countries", Table1[[#This Row],[State]]="Unknown", Table1[[#This Row],[State]]="Puerto Rico all counties"))</f>
        <v>1</v>
      </c>
    </row>
    <row r="410" spans="1:16" x14ac:dyDescent="0.25">
      <c r="A410">
        <v>32510</v>
      </c>
      <c r="B410" t="s">
        <v>326</v>
      </c>
      <c r="C410" t="s">
        <v>2918</v>
      </c>
      <c r="D410">
        <v>1341</v>
      </c>
      <c r="E410">
        <v>288</v>
      </c>
      <c r="F410">
        <v>148</v>
      </c>
      <c r="G410">
        <v>134</v>
      </c>
      <c r="H410">
        <v>391</v>
      </c>
      <c r="I410">
        <v>380</v>
      </c>
      <c r="J410">
        <v>356</v>
      </c>
      <c r="K410">
        <v>355</v>
      </c>
      <c r="L410">
        <v>630</v>
      </c>
      <c r="M410" s="1">
        <v>1207</v>
      </c>
      <c r="N410">
        <v>134</v>
      </c>
      <c r="O410" t="s">
        <v>2919</v>
      </c>
      <c r="P410" s="1" t="b">
        <f>NOT(OR(Table1[[#This Row],[State]]="Other Foreign Countries", Table1[[#This Row],[State]]="Unknown", Table1[[#This Row],[State]]="Puerto Rico all counties"))</f>
        <v>1</v>
      </c>
    </row>
    <row r="411" spans="1:16" x14ac:dyDescent="0.25">
      <c r="A411">
        <v>21043</v>
      </c>
      <c r="B411" t="s">
        <v>1716</v>
      </c>
      <c r="C411" t="s">
        <v>1752</v>
      </c>
      <c r="D411">
        <v>443</v>
      </c>
      <c r="E411">
        <v>85</v>
      </c>
      <c r="F411">
        <v>51</v>
      </c>
      <c r="G411">
        <v>43</v>
      </c>
      <c r="H411">
        <v>127</v>
      </c>
      <c r="I411">
        <v>137</v>
      </c>
      <c r="J411">
        <v>85</v>
      </c>
      <c r="K411">
        <v>143</v>
      </c>
      <c r="L411">
        <v>215</v>
      </c>
      <c r="M411">
        <v>414</v>
      </c>
      <c r="N411">
        <v>29</v>
      </c>
      <c r="O411" t="s">
        <v>1753</v>
      </c>
      <c r="P411" s="1" t="b">
        <f>NOT(OR(Table1[[#This Row],[State]]="Other Foreign Countries", Table1[[#This Row],[State]]="Unknown", Table1[[#This Row],[State]]="Puerto Rico all counties"))</f>
        <v>1</v>
      </c>
    </row>
    <row r="412" spans="1:16" x14ac:dyDescent="0.25">
      <c r="A412">
        <v>29035</v>
      </c>
      <c r="B412" t="s">
        <v>2510</v>
      </c>
      <c r="C412" t="s">
        <v>1752</v>
      </c>
      <c r="D412">
        <v>203</v>
      </c>
      <c r="E412">
        <v>54</v>
      </c>
      <c r="F412">
        <v>24</v>
      </c>
      <c r="G412">
        <v>18</v>
      </c>
      <c r="H412">
        <v>55</v>
      </c>
      <c r="I412">
        <v>52</v>
      </c>
      <c r="J412">
        <v>39</v>
      </c>
      <c r="K412">
        <v>65</v>
      </c>
      <c r="L412">
        <v>99</v>
      </c>
      <c r="M412">
        <v>190</v>
      </c>
      <c r="N412">
        <v>13</v>
      </c>
      <c r="O412" t="s">
        <v>2534</v>
      </c>
      <c r="P412" s="1" t="b">
        <f>NOT(OR(Table1[[#This Row],[State]]="Other Foreign Countries", Table1[[#This Row],[State]]="Unknown", Table1[[#This Row],[State]]="Puerto Rico all counties"))</f>
        <v>1</v>
      </c>
    </row>
    <row r="413" spans="1:16" x14ac:dyDescent="0.25">
      <c r="A413">
        <v>30011</v>
      </c>
      <c r="B413" t="s">
        <v>2665</v>
      </c>
      <c r="C413" t="s">
        <v>1752</v>
      </c>
      <c r="D413">
        <v>21</v>
      </c>
      <c r="O413" t="s">
        <v>2675</v>
      </c>
      <c r="P413" s="1" t="b">
        <f>NOT(OR(Table1[[#This Row],[State]]="Other Foreign Countries", Table1[[#This Row],[State]]="Unknown", Table1[[#This Row],[State]]="Puerto Rico all counties"))</f>
        <v>1</v>
      </c>
    </row>
    <row r="414" spans="1:16" x14ac:dyDescent="0.25">
      <c r="A414">
        <v>40019</v>
      </c>
      <c r="B414" t="s">
        <v>3495</v>
      </c>
      <c r="C414" t="s">
        <v>1752</v>
      </c>
      <c r="D414">
        <v>1250</v>
      </c>
      <c r="E414">
        <v>233</v>
      </c>
      <c r="F414">
        <v>118</v>
      </c>
      <c r="G414">
        <v>169</v>
      </c>
      <c r="H414">
        <v>386</v>
      </c>
      <c r="I414">
        <v>344</v>
      </c>
      <c r="J414">
        <v>285</v>
      </c>
      <c r="K414">
        <v>355</v>
      </c>
      <c r="L414">
        <v>610</v>
      </c>
      <c r="M414" s="1">
        <v>1144</v>
      </c>
      <c r="N414">
        <v>106</v>
      </c>
      <c r="O414" t="s">
        <v>3510</v>
      </c>
      <c r="P414" s="1" t="b">
        <f>NOT(OR(Table1[[#This Row],[State]]="Other Foreign Countries", Table1[[#This Row],[State]]="Unknown", Table1[[#This Row],[State]]="Puerto Rico all counties"))</f>
        <v>1</v>
      </c>
    </row>
    <row r="415" spans="1:16" x14ac:dyDescent="0.25">
      <c r="A415">
        <v>47019</v>
      </c>
      <c r="B415" t="s">
        <v>3951</v>
      </c>
      <c r="C415" t="s">
        <v>1752</v>
      </c>
      <c r="D415">
        <v>1930</v>
      </c>
      <c r="E415">
        <v>372</v>
      </c>
      <c r="F415">
        <v>208</v>
      </c>
      <c r="G415">
        <v>271</v>
      </c>
      <c r="H415">
        <v>586</v>
      </c>
      <c r="I415">
        <v>493</v>
      </c>
      <c r="J415">
        <v>363</v>
      </c>
      <c r="K415">
        <v>585</v>
      </c>
      <c r="L415">
        <v>982</v>
      </c>
      <c r="M415" s="1">
        <v>1745</v>
      </c>
      <c r="N415">
        <v>185</v>
      </c>
      <c r="O415" t="s">
        <v>3963</v>
      </c>
      <c r="P415" s="1" t="b">
        <f>NOT(OR(Table1[[#This Row],[State]]="Other Foreign Countries", Table1[[#This Row],[State]]="Unknown", Table1[[#This Row],[State]]="Puerto Rico all counties"))</f>
        <v>1</v>
      </c>
    </row>
    <row r="416" spans="1:16" x14ac:dyDescent="0.25">
      <c r="A416">
        <v>37031</v>
      </c>
      <c r="B416" t="s">
        <v>3121</v>
      </c>
      <c r="C416" t="s">
        <v>3148</v>
      </c>
      <c r="D416">
        <v>3737</v>
      </c>
      <c r="E416">
        <v>618</v>
      </c>
      <c r="F416">
        <v>368</v>
      </c>
      <c r="G416">
        <v>436</v>
      </c>
      <c r="H416" s="1">
        <v>1018</v>
      </c>
      <c r="I416" s="1">
        <v>1297</v>
      </c>
      <c r="J416">
        <v>817</v>
      </c>
      <c r="K416" s="1">
        <v>1380</v>
      </c>
      <c r="L416" s="1">
        <v>1540</v>
      </c>
      <c r="M416" s="1">
        <v>3346</v>
      </c>
      <c r="N416">
        <v>391</v>
      </c>
      <c r="O416" t="s">
        <v>3149</v>
      </c>
      <c r="P416" s="1" t="b">
        <f>NOT(OR(Table1[[#This Row],[State]]="Other Foreign Countries", Table1[[#This Row],[State]]="Unknown", Table1[[#This Row],[State]]="Puerto Rico all counties"))</f>
        <v>1</v>
      </c>
    </row>
    <row r="417" spans="1:16" x14ac:dyDescent="0.25">
      <c r="A417">
        <v>27019</v>
      </c>
      <c r="B417" t="s">
        <v>2245</v>
      </c>
      <c r="C417" t="s">
        <v>2262</v>
      </c>
      <c r="D417">
        <v>1626</v>
      </c>
      <c r="E417">
        <v>678</v>
      </c>
      <c r="F417">
        <v>231</v>
      </c>
      <c r="G417">
        <v>195</v>
      </c>
      <c r="H417">
        <v>301</v>
      </c>
      <c r="I417">
        <v>221</v>
      </c>
      <c r="J417">
        <v>325</v>
      </c>
      <c r="K417">
        <v>390</v>
      </c>
      <c r="L417">
        <v>911</v>
      </c>
      <c r="M417" s="1">
        <v>1534</v>
      </c>
      <c r="N417">
        <v>89</v>
      </c>
      <c r="O417" t="s">
        <v>2263</v>
      </c>
      <c r="P417" s="1" t="b">
        <f>NOT(OR(Table1[[#This Row],[State]]="Other Foreign Countries", Table1[[#This Row],[State]]="Unknown", Table1[[#This Row],[State]]="Puerto Rico all counties"))</f>
        <v>1</v>
      </c>
    </row>
    <row r="418" spans="1:16" x14ac:dyDescent="0.25">
      <c r="A418">
        <v>30013</v>
      </c>
      <c r="B418" t="s">
        <v>2665</v>
      </c>
      <c r="C418" t="s">
        <v>2676</v>
      </c>
      <c r="D418">
        <v>4164</v>
      </c>
      <c r="E418">
        <v>819</v>
      </c>
      <c r="F418">
        <v>612</v>
      </c>
      <c r="G418">
        <v>600</v>
      </c>
      <c r="H418" s="1">
        <v>1202</v>
      </c>
      <c r="I418">
        <v>931</v>
      </c>
      <c r="J418" s="1">
        <v>1220</v>
      </c>
      <c r="K418" s="1">
        <v>1502</v>
      </c>
      <c r="L418" s="1">
        <v>1442</v>
      </c>
      <c r="M418" s="1">
        <v>3576</v>
      </c>
      <c r="N418">
        <v>588</v>
      </c>
      <c r="O418" t="s">
        <v>2677</v>
      </c>
      <c r="P418" s="1" t="b">
        <f>NOT(OR(Table1[[#This Row],[State]]="Other Foreign Countries", Table1[[#This Row],[State]]="Unknown", Table1[[#This Row],[State]]="Puerto Rico all counties"))</f>
        <v>1</v>
      </c>
    </row>
    <row r="419" spans="1:16" x14ac:dyDescent="0.25">
      <c r="A419">
        <v>21045</v>
      </c>
      <c r="B419" t="s">
        <v>1716</v>
      </c>
      <c r="C419" t="s">
        <v>1754</v>
      </c>
      <c r="D419">
        <v>272</v>
      </c>
      <c r="E419">
        <v>59</v>
      </c>
      <c r="F419">
        <v>21</v>
      </c>
      <c r="G419">
        <v>42</v>
      </c>
      <c r="H419">
        <v>77</v>
      </c>
      <c r="I419">
        <v>73</v>
      </c>
      <c r="J419">
        <v>46</v>
      </c>
      <c r="K419">
        <v>84</v>
      </c>
      <c r="L419">
        <v>142</v>
      </c>
      <c r="M419">
        <v>254</v>
      </c>
      <c r="N419">
        <v>18</v>
      </c>
      <c r="O419" t="s">
        <v>1755</v>
      </c>
      <c r="P419" s="1" t="b">
        <f>NOT(OR(Table1[[#This Row],[State]]="Other Foreign Countries", Table1[[#This Row],[State]]="Unknown", Table1[[#This Row],[State]]="Puerto Rico all counties"))</f>
        <v>1</v>
      </c>
    </row>
    <row r="420" spans="1:16" x14ac:dyDescent="0.25">
      <c r="A420">
        <v>17017</v>
      </c>
      <c r="B420" t="s">
        <v>1109</v>
      </c>
      <c r="C420" t="s">
        <v>1122</v>
      </c>
      <c r="D420">
        <v>161</v>
      </c>
      <c r="E420">
        <v>28</v>
      </c>
      <c r="F420">
        <v>13</v>
      </c>
      <c r="G420">
        <v>22</v>
      </c>
      <c r="H420">
        <v>49</v>
      </c>
      <c r="I420">
        <v>49</v>
      </c>
      <c r="J420">
        <v>39</v>
      </c>
      <c r="K420">
        <v>45</v>
      </c>
      <c r="L420">
        <v>77</v>
      </c>
      <c r="O420" t="s">
        <v>1123</v>
      </c>
      <c r="P420" s="1" t="b">
        <f>NOT(OR(Table1[[#This Row],[State]]="Other Foreign Countries", Table1[[#This Row],[State]]="Unknown", Table1[[#This Row],[State]]="Puerto Rico all counties"))</f>
        <v>1</v>
      </c>
    </row>
    <row r="421" spans="1:16" x14ac:dyDescent="0.25">
      <c r="A421">
        <v>18017</v>
      </c>
      <c r="B421" t="s">
        <v>1266</v>
      </c>
      <c r="C421" t="s">
        <v>1122</v>
      </c>
      <c r="D421">
        <v>819</v>
      </c>
      <c r="E421">
        <v>313</v>
      </c>
      <c r="F421">
        <v>103</v>
      </c>
      <c r="G421">
        <v>114</v>
      </c>
      <c r="H421">
        <v>170</v>
      </c>
      <c r="I421">
        <v>119</v>
      </c>
      <c r="J421">
        <v>166</v>
      </c>
      <c r="K421">
        <v>219</v>
      </c>
      <c r="L421">
        <v>434</v>
      </c>
      <c r="M421">
        <v>756</v>
      </c>
      <c r="N421">
        <v>63</v>
      </c>
      <c r="O421" t="s">
        <v>1278</v>
      </c>
      <c r="P421" s="1" t="b">
        <f>NOT(OR(Table1[[#This Row],[State]]="Other Foreign Countries", Table1[[#This Row],[State]]="Unknown", Table1[[#This Row],[State]]="Puerto Rico all counties"))</f>
        <v>1</v>
      </c>
    </row>
    <row r="422" spans="1:16" x14ac:dyDescent="0.25">
      <c r="A422">
        <v>19029</v>
      </c>
      <c r="B422" t="s">
        <v>1399</v>
      </c>
      <c r="C422" t="s">
        <v>1122</v>
      </c>
      <c r="D422">
        <v>249</v>
      </c>
      <c r="E422">
        <v>79</v>
      </c>
      <c r="F422">
        <v>32</v>
      </c>
      <c r="G422">
        <v>38</v>
      </c>
      <c r="H422">
        <v>62</v>
      </c>
      <c r="I422">
        <v>38</v>
      </c>
      <c r="J422">
        <v>55</v>
      </c>
      <c r="K422">
        <v>71</v>
      </c>
      <c r="L422">
        <v>123</v>
      </c>
      <c r="M422">
        <v>226</v>
      </c>
      <c r="N422">
        <v>23</v>
      </c>
      <c r="O422" t="s">
        <v>1422</v>
      </c>
      <c r="P422" s="1" t="b">
        <f>NOT(OR(Table1[[#This Row],[State]]="Other Foreign Countries", Table1[[#This Row],[State]]="Unknown", Table1[[#This Row],[State]]="Puerto Rico all counties"))</f>
        <v>1</v>
      </c>
    </row>
    <row r="423" spans="1:16" x14ac:dyDescent="0.25">
      <c r="A423">
        <v>26027</v>
      </c>
      <c r="B423" t="s">
        <v>2099</v>
      </c>
      <c r="C423" t="s">
        <v>1122</v>
      </c>
      <c r="D423">
        <v>788</v>
      </c>
      <c r="E423">
        <v>161</v>
      </c>
      <c r="F423">
        <v>94</v>
      </c>
      <c r="G423">
        <v>100</v>
      </c>
      <c r="H423">
        <v>230</v>
      </c>
      <c r="I423">
        <v>203</v>
      </c>
      <c r="J423">
        <v>194</v>
      </c>
      <c r="K423">
        <v>197</v>
      </c>
      <c r="L423">
        <v>397</v>
      </c>
      <c r="M423">
        <v>724</v>
      </c>
      <c r="N423">
        <v>64</v>
      </c>
      <c r="O423" t="s">
        <v>2123</v>
      </c>
      <c r="P423" s="1" t="b">
        <f>NOT(OR(Table1[[#This Row],[State]]="Other Foreign Countries", Table1[[#This Row],[State]]="Unknown", Table1[[#This Row],[State]]="Puerto Rico all counties"))</f>
        <v>1</v>
      </c>
    </row>
    <row r="424" spans="1:16" x14ac:dyDescent="0.25">
      <c r="A424">
        <v>27021</v>
      </c>
      <c r="B424" t="s">
        <v>2245</v>
      </c>
      <c r="C424" t="s">
        <v>1122</v>
      </c>
      <c r="D424">
        <v>1134</v>
      </c>
      <c r="E424">
        <v>431</v>
      </c>
      <c r="F424">
        <v>131</v>
      </c>
      <c r="G424">
        <v>128</v>
      </c>
      <c r="H424">
        <v>234</v>
      </c>
      <c r="I424">
        <v>210</v>
      </c>
      <c r="J424">
        <v>141</v>
      </c>
      <c r="K424">
        <v>270</v>
      </c>
      <c r="L424">
        <v>723</v>
      </c>
      <c r="M424" s="1">
        <v>1068</v>
      </c>
      <c r="N424">
        <v>65</v>
      </c>
      <c r="O424" t="s">
        <v>2264</v>
      </c>
      <c r="P424" s="1" t="b">
        <f>NOT(OR(Table1[[#This Row],[State]]="Other Foreign Countries", Table1[[#This Row],[State]]="Unknown", Table1[[#This Row],[State]]="Puerto Rico all counties"))</f>
        <v>1</v>
      </c>
    </row>
    <row r="425" spans="1:16" x14ac:dyDescent="0.25">
      <c r="A425">
        <v>29037</v>
      </c>
      <c r="B425" t="s">
        <v>2510</v>
      </c>
      <c r="C425" t="s">
        <v>1122</v>
      </c>
      <c r="D425">
        <v>2632</v>
      </c>
      <c r="E425">
        <v>552</v>
      </c>
      <c r="F425">
        <v>291</v>
      </c>
      <c r="G425">
        <v>334</v>
      </c>
      <c r="H425">
        <v>829</v>
      </c>
      <c r="I425">
        <v>626</v>
      </c>
      <c r="J425">
        <v>814</v>
      </c>
      <c r="K425">
        <v>863</v>
      </c>
      <c r="L425">
        <v>955</v>
      </c>
      <c r="M425" s="1">
        <v>2380</v>
      </c>
      <c r="N425">
        <v>252</v>
      </c>
      <c r="O425" t="s">
        <v>2535</v>
      </c>
      <c r="P425" s="1" t="b">
        <f>NOT(OR(Table1[[#This Row],[State]]="Other Foreign Countries", Table1[[#This Row],[State]]="Unknown", Table1[[#This Row],[State]]="Puerto Rico all counties"))</f>
        <v>1</v>
      </c>
    </row>
    <row r="426" spans="1:16" x14ac:dyDescent="0.25">
      <c r="A426">
        <v>31025</v>
      </c>
      <c r="B426" t="s">
        <v>2758</v>
      </c>
      <c r="C426" t="s">
        <v>1122</v>
      </c>
      <c r="D426">
        <v>1303</v>
      </c>
      <c r="E426">
        <v>337</v>
      </c>
      <c r="F426">
        <v>162</v>
      </c>
      <c r="G426">
        <v>188</v>
      </c>
      <c r="H426">
        <v>311</v>
      </c>
      <c r="I426">
        <v>305</v>
      </c>
      <c r="J426">
        <v>277</v>
      </c>
      <c r="K426">
        <v>484</v>
      </c>
      <c r="L426">
        <v>542</v>
      </c>
      <c r="M426" s="1">
        <v>1157</v>
      </c>
      <c r="N426">
        <v>146</v>
      </c>
      <c r="O426" t="s">
        <v>2777</v>
      </c>
      <c r="P426" s="1" t="b">
        <f>NOT(OR(Table1[[#This Row],[State]]="Other Foreign Countries", Table1[[#This Row],[State]]="Unknown", Table1[[#This Row],[State]]="Puerto Rico all counties"))</f>
        <v>1</v>
      </c>
    </row>
    <row r="427" spans="1:16" x14ac:dyDescent="0.25">
      <c r="A427">
        <v>38017</v>
      </c>
      <c r="B427" t="s">
        <v>3286</v>
      </c>
      <c r="C427" t="s">
        <v>1122</v>
      </c>
      <c r="D427">
        <v>3568</v>
      </c>
      <c r="E427">
        <v>952</v>
      </c>
      <c r="F427">
        <v>383</v>
      </c>
      <c r="G427">
        <v>476</v>
      </c>
      <c r="H427" s="1">
        <v>1032</v>
      </c>
      <c r="I427">
        <v>725</v>
      </c>
      <c r="J427">
        <v>963</v>
      </c>
      <c r="K427" s="1">
        <v>1109</v>
      </c>
      <c r="L427" s="1">
        <v>1496</v>
      </c>
      <c r="M427" s="1">
        <v>3223</v>
      </c>
      <c r="N427">
        <v>344</v>
      </c>
      <c r="O427" t="s">
        <v>3301</v>
      </c>
      <c r="P427" s="1" t="b">
        <f>NOT(OR(Table1[[#This Row],[State]]="Other Foreign Countries", Table1[[#This Row],[State]]="Unknown", Table1[[#This Row],[State]]="Puerto Rico all counties"))</f>
        <v>1</v>
      </c>
    </row>
    <row r="428" spans="1:16" x14ac:dyDescent="0.25">
      <c r="A428">
        <v>48067</v>
      </c>
      <c r="B428" t="s">
        <v>2654</v>
      </c>
      <c r="C428" t="s">
        <v>1122</v>
      </c>
      <c r="D428">
        <v>983</v>
      </c>
      <c r="E428">
        <v>145</v>
      </c>
      <c r="F428">
        <v>83</v>
      </c>
      <c r="G428">
        <v>135</v>
      </c>
      <c r="H428">
        <v>332</v>
      </c>
      <c r="I428">
        <v>288</v>
      </c>
      <c r="J428">
        <v>214</v>
      </c>
      <c r="K428">
        <v>353</v>
      </c>
      <c r="L428">
        <v>416</v>
      </c>
      <c r="M428">
        <v>887</v>
      </c>
      <c r="N428">
        <v>96</v>
      </c>
      <c r="O428" t="s">
        <v>4131</v>
      </c>
      <c r="P428" s="1" t="b">
        <f>NOT(OR(Table1[[#This Row],[State]]="Other Foreign Countries", Table1[[#This Row],[State]]="Unknown", Table1[[#This Row],[State]]="Puerto Rico all counties"))</f>
        <v>1</v>
      </c>
    </row>
    <row r="429" spans="1:16" x14ac:dyDescent="0.25">
      <c r="A429">
        <v>16031</v>
      </c>
      <c r="B429" t="s">
        <v>1032</v>
      </c>
      <c r="C429" t="s">
        <v>1061</v>
      </c>
      <c r="D429">
        <v>268</v>
      </c>
      <c r="E429">
        <v>65</v>
      </c>
      <c r="F429">
        <v>39</v>
      </c>
      <c r="G429">
        <v>32</v>
      </c>
      <c r="H429">
        <v>74</v>
      </c>
      <c r="I429">
        <v>58</v>
      </c>
      <c r="J429">
        <v>72</v>
      </c>
      <c r="K429">
        <v>75</v>
      </c>
      <c r="L429">
        <v>121</v>
      </c>
      <c r="M429">
        <v>248</v>
      </c>
      <c r="N429">
        <v>20</v>
      </c>
      <c r="O429" t="s">
        <v>1062</v>
      </c>
      <c r="P429" s="1" t="b">
        <f>NOT(OR(Table1[[#This Row],[State]]="Other Foreign Countries", Table1[[#This Row],[State]]="Unknown", Table1[[#This Row],[State]]="Puerto Rico all counties"))</f>
        <v>1</v>
      </c>
    </row>
    <row r="430" spans="1:16" x14ac:dyDescent="0.25">
      <c r="A430">
        <v>48069</v>
      </c>
      <c r="B430" t="s">
        <v>2654</v>
      </c>
      <c r="C430" t="s">
        <v>4132</v>
      </c>
      <c r="D430">
        <v>53</v>
      </c>
      <c r="G430">
        <v>12</v>
      </c>
      <c r="H430">
        <v>14</v>
      </c>
      <c r="I430">
        <v>13</v>
      </c>
      <c r="L430">
        <v>34</v>
      </c>
      <c r="O430" t="s">
        <v>4133</v>
      </c>
      <c r="P430" s="1" t="b">
        <f>NOT(OR(Table1[[#This Row],[State]]="Other Foreign Countries", Table1[[#This Row],[State]]="Unknown", Table1[[#This Row],[State]]="Puerto Rico all counties"))</f>
        <v>1</v>
      </c>
    </row>
    <row r="431" spans="1:16" x14ac:dyDescent="0.25">
      <c r="A431">
        <v>37033</v>
      </c>
      <c r="B431" t="s">
        <v>3121</v>
      </c>
      <c r="C431" t="s">
        <v>3150</v>
      </c>
      <c r="D431">
        <v>475</v>
      </c>
      <c r="E431">
        <v>64</v>
      </c>
      <c r="F431">
        <v>43</v>
      </c>
      <c r="G431">
        <v>48</v>
      </c>
      <c r="H431">
        <v>156</v>
      </c>
      <c r="I431">
        <v>164</v>
      </c>
      <c r="J431">
        <v>91</v>
      </c>
      <c r="K431">
        <v>156</v>
      </c>
      <c r="L431">
        <v>228</v>
      </c>
      <c r="M431">
        <v>433</v>
      </c>
      <c r="N431">
        <v>41</v>
      </c>
      <c r="O431" t="s">
        <v>3151</v>
      </c>
      <c r="P431" s="1" t="b">
        <f>NOT(OR(Table1[[#This Row],[State]]="Other Foreign Countries", Table1[[#This Row],[State]]="Unknown", Table1[[#This Row],[State]]="Puerto Rico all counties"))</f>
        <v>1</v>
      </c>
    </row>
    <row r="432" spans="1:16" x14ac:dyDescent="0.25">
      <c r="A432">
        <v>22025</v>
      </c>
      <c r="B432" t="s">
        <v>1892</v>
      </c>
      <c r="C432" t="s">
        <v>1915</v>
      </c>
      <c r="D432">
        <v>126</v>
      </c>
      <c r="E432">
        <v>21</v>
      </c>
      <c r="F432">
        <v>14</v>
      </c>
      <c r="G432">
        <v>17</v>
      </c>
      <c r="H432">
        <v>37</v>
      </c>
      <c r="I432">
        <v>37</v>
      </c>
      <c r="J432">
        <v>14</v>
      </c>
      <c r="K432">
        <v>48</v>
      </c>
      <c r="L432">
        <v>64</v>
      </c>
      <c r="M432">
        <v>116</v>
      </c>
      <c r="N432">
        <v>10</v>
      </c>
      <c r="O432" t="s">
        <v>1916</v>
      </c>
      <c r="P432" s="1" t="b">
        <f>NOT(OR(Table1[[#This Row],[State]]="Other Foreign Countries", Table1[[#This Row],[State]]="Unknown", Table1[[#This Row],[State]]="Puerto Rico all counties"))</f>
        <v>1</v>
      </c>
    </row>
    <row r="433" spans="1:16" x14ac:dyDescent="0.25">
      <c r="A433">
        <v>37035</v>
      </c>
      <c r="B433" t="s">
        <v>3121</v>
      </c>
      <c r="C433" t="s">
        <v>3152</v>
      </c>
      <c r="D433">
        <v>3330</v>
      </c>
      <c r="E433">
        <v>641</v>
      </c>
      <c r="F433">
        <v>335</v>
      </c>
      <c r="G433">
        <v>403</v>
      </c>
      <c r="H433">
        <v>986</v>
      </c>
      <c r="I433">
        <v>965</v>
      </c>
      <c r="J433">
        <v>931</v>
      </c>
      <c r="K433">
        <v>993</v>
      </c>
      <c r="L433" s="1">
        <v>1406</v>
      </c>
      <c r="M433" s="1">
        <v>3020</v>
      </c>
      <c r="N433">
        <v>309</v>
      </c>
      <c r="O433" t="s">
        <v>3153</v>
      </c>
      <c r="P433" s="1" t="b">
        <f>NOT(OR(Table1[[#This Row],[State]]="Other Foreign Countries", Table1[[#This Row],[State]]="Unknown", Table1[[#This Row],[State]]="Puerto Rico all counties"))</f>
        <v>1</v>
      </c>
    </row>
    <row r="434" spans="1:16" x14ac:dyDescent="0.25">
      <c r="A434">
        <v>13047</v>
      </c>
      <c r="B434" t="s">
        <v>754</v>
      </c>
      <c r="C434" t="s">
        <v>794</v>
      </c>
      <c r="D434">
        <v>1351</v>
      </c>
      <c r="E434">
        <v>271</v>
      </c>
      <c r="F434">
        <v>137</v>
      </c>
      <c r="G434">
        <v>153</v>
      </c>
      <c r="H434">
        <v>439</v>
      </c>
      <c r="I434">
        <v>351</v>
      </c>
      <c r="J434">
        <v>363</v>
      </c>
      <c r="K434">
        <v>413</v>
      </c>
      <c r="L434">
        <v>575</v>
      </c>
      <c r="M434" s="1">
        <v>1234</v>
      </c>
      <c r="N434">
        <v>117</v>
      </c>
      <c r="O434" t="s">
        <v>795</v>
      </c>
      <c r="P434" s="1" t="b">
        <f>NOT(OR(Table1[[#This Row],[State]]="Other Foreign Countries", Table1[[#This Row],[State]]="Unknown", Table1[[#This Row],[State]]="Puerto Rico all counties"))</f>
        <v>1</v>
      </c>
    </row>
    <row r="435" spans="1:16" x14ac:dyDescent="0.25">
      <c r="A435">
        <v>35003</v>
      </c>
      <c r="B435" t="s">
        <v>2971</v>
      </c>
      <c r="C435" t="s">
        <v>2974</v>
      </c>
      <c r="D435">
        <v>134</v>
      </c>
      <c r="E435">
        <v>28</v>
      </c>
      <c r="F435">
        <v>10</v>
      </c>
      <c r="G435">
        <v>11</v>
      </c>
      <c r="H435">
        <v>41</v>
      </c>
      <c r="I435">
        <v>44</v>
      </c>
      <c r="J435">
        <v>13</v>
      </c>
      <c r="K435">
        <v>35</v>
      </c>
      <c r="L435">
        <v>86</v>
      </c>
      <c r="O435" t="s">
        <v>2975</v>
      </c>
      <c r="P435" s="1" t="b">
        <f>NOT(OR(Table1[[#This Row],[State]]="Other Foreign Countries", Table1[[#This Row],[State]]="Unknown", Table1[[#This Row],[State]]="Puerto Rico all counties"))</f>
        <v>1</v>
      </c>
    </row>
    <row r="436" spans="1:16" x14ac:dyDescent="0.25">
      <c r="A436">
        <v>36009</v>
      </c>
      <c r="B436" t="s">
        <v>3029</v>
      </c>
      <c r="C436" t="s">
        <v>3037</v>
      </c>
      <c r="D436">
        <v>1668</v>
      </c>
      <c r="E436">
        <v>308</v>
      </c>
      <c r="F436">
        <v>195</v>
      </c>
      <c r="G436">
        <v>233</v>
      </c>
      <c r="H436">
        <v>531</v>
      </c>
      <c r="I436">
        <v>401</v>
      </c>
      <c r="J436">
        <v>394</v>
      </c>
      <c r="K436">
        <v>486</v>
      </c>
      <c r="L436">
        <v>788</v>
      </c>
      <c r="M436" s="1">
        <v>1538</v>
      </c>
      <c r="N436">
        <v>130</v>
      </c>
      <c r="O436" t="s">
        <v>3038</v>
      </c>
      <c r="P436" s="1" t="b">
        <f>NOT(OR(Table1[[#This Row],[State]]="Other Foreign Countries", Table1[[#This Row],[State]]="Unknown", Table1[[#This Row],[State]]="Puerto Rico all counties"))</f>
        <v>1</v>
      </c>
    </row>
    <row r="437" spans="1:16" x14ac:dyDescent="0.25">
      <c r="A437">
        <v>38019</v>
      </c>
      <c r="B437" t="s">
        <v>3286</v>
      </c>
      <c r="C437" t="s">
        <v>3302</v>
      </c>
      <c r="D437">
        <v>60</v>
      </c>
      <c r="E437">
        <v>20</v>
      </c>
      <c r="F437">
        <v>10</v>
      </c>
      <c r="H437">
        <v>20</v>
      </c>
      <c r="J437">
        <v>10</v>
      </c>
      <c r="K437">
        <v>23</v>
      </c>
      <c r="L437">
        <v>27</v>
      </c>
      <c r="O437" t="s">
        <v>3303</v>
      </c>
      <c r="P437" s="1" t="b">
        <f>NOT(OR(Table1[[#This Row],[State]]="Other Foreign Countries", Table1[[#This Row],[State]]="Unknown", Table1[[#This Row],[State]]="Puerto Rico all counties"))</f>
        <v>1</v>
      </c>
    </row>
    <row r="438" spans="1:16" x14ac:dyDescent="0.25">
      <c r="A438">
        <v>36011</v>
      </c>
      <c r="B438" t="s">
        <v>3029</v>
      </c>
      <c r="C438" t="s">
        <v>3039</v>
      </c>
      <c r="D438">
        <v>1112</v>
      </c>
      <c r="E438">
        <v>240</v>
      </c>
      <c r="F438">
        <v>144</v>
      </c>
      <c r="G438">
        <v>136</v>
      </c>
      <c r="H438">
        <v>330</v>
      </c>
      <c r="I438">
        <v>262</v>
      </c>
      <c r="J438">
        <v>301</v>
      </c>
      <c r="K438">
        <v>332</v>
      </c>
      <c r="L438">
        <v>479</v>
      </c>
      <c r="M438" s="1">
        <v>1006</v>
      </c>
      <c r="N438">
        <v>105</v>
      </c>
      <c r="O438" t="s">
        <v>3040</v>
      </c>
      <c r="P438" s="1" t="b">
        <f>NOT(OR(Table1[[#This Row],[State]]="Other Foreign Countries", Table1[[#This Row],[State]]="Unknown", Table1[[#This Row],[State]]="Puerto Rico all counties"))</f>
        <v>1</v>
      </c>
    </row>
    <row r="439" spans="1:16" x14ac:dyDescent="0.25">
      <c r="A439">
        <v>24015</v>
      </c>
      <c r="B439" t="s">
        <v>2031</v>
      </c>
      <c r="C439" t="s">
        <v>2043</v>
      </c>
      <c r="D439">
        <v>2463</v>
      </c>
      <c r="E439">
        <v>429</v>
      </c>
      <c r="F439">
        <v>247</v>
      </c>
      <c r="G439">
        <v>257</v>
      </c>
      <c r="H439">
        <v>722</v>
      </c>
      <c r="I439">
        <v>808</v>
      </c>
      <c r="J439">
        <v>647</v>
      </c>
      <c r="K439">
        <v>976</v>
      </c>
      <c r="L439">
        <v>840</v>
      </c>
      <c r="M439" s="1">
        <v>2140</v>
      </c>
      <c r="N439">
        <v>323</v>
      </c>
      <c r="O439" t="s">
        <v>2044</v>
      </c>
      <c r="P439" s="1" t="b">
        <f>NOT(OR(Table1[[#This Row],[State]]="Other Foreign Countries", Table1[[#This Row],[State]]="Unknown", Table1[[#This Row],[State]]="Puerto Rico all counties"))</f>
        <v>1</v>
      </c>
    </row>
    <row r="440" spans="1:16" x14ac:dyDescent="0.25">
      <c r="A440">
        <v>19031</v>
      </c>
      <c r="B440" t="s">
        <v>1399</v>
      </c>
      <c r="C440" t="s">
        <v>1423</v>
      </c>
      <c r="D440">
        <v>323</v>
      </c>
      <c r="E440">
        <v>81</v>
      </c>
      <c r="F440">
        <v>44</v>
      </c>
      <c r="G440">
        <v>35</v>
      </c>
      <c r="H440">
        <v>90</v>
      </c>
      <c r="I440">
        <v>73</v>
      </c>
      <c r="J440">
        <v>86</v>
      </c>
      <c r="K440">
        <v>104</v>
      </c>
      <c r="L440">
        <v>133</v>
      </c>
      <c r="M440">
        <v>293</v>
      </c>
      <c r="N440">
        <v>30</v>
      </c>
      <c r="O440" t="s">
        <v>1424</v>
      </c>
      <c r="P440" s="1" t="b">
        <f>NOT(OR(Table1[[#This Row],[State]]="Other Foreign Countries", Table1[[#This Row],[State]]="Unknown", Table1[[#This Row],[State]]="Puerto Rico all counties"))</f>
        <v>1</v>
      </c>
    </row>
    <row r="441" spans="1:16" x14ac:dyDescent="0.25">
      <c r="A441">
        <v>29039</v>
      </c>
      <c r="B441" t="s">
        <v>2510</v>
      </c>
      <c r="C441" t="s">
        <v>1423</v>
      </c>
      <c r="D441">
        <v>417</v>
      </c>
      <c r="E441">
        <v>96</v>
      </c>
      <c r="F441">
        <v>47</v>
      </c>
      <c r="G441">
        <v>58</v>
      </c>
      <c r="H441">
        <v>141</v>
      </c>
      <c r="I441">
        <v>75</v>
      </c>
      <c r="J441">
        <v>76</v>
      </c>
      <c r="K441">
        <v>126</v>
      </c>
      <c r="L441">
        <v>215</v>
      </c>
      <c r="M441">
        <v>377</v>
      </c>
      <c r="N441">
        <v>40</v>
      </c>
      <c r="O441" t="s">
        <v>2536</v>
      </c>
      <c r="P441" s="1" t="b">
        <f>NOT(OR(Table1[[#This Row],[State]]="Other Foreign Countries", Table1[[#This Row],[State]]="Unknown", Table1[[#This Row],[State]]="Puerto Rico all counties"))</f>
        <v>1</v>
      </c>
    </row>
    <row r="442" spans="1:16" x14ac:dyDescent="0.25">
      <c r="A442">
        <v>31027</v>
      </c>
      <c r="B442" t="s">
        <v>2758</v>
      </c>
      <c r="C442" t="s">
        <v>1423</v>
      </c>
      <c r="D442">
        <v>177</v>
      </c>
      <c r="E442">
        <v>73</v>
      </c>
      <c r="F442">
        <v>24</v>
      </c>
      <c r="G442">
        <v>16</v>
      </c>
      <c r="H442">
        <v>36</v>
      </c>
      <c r="I442">
        <v>28</v>
      </c>
      <c r="J442">
        <v>29</v>
      </c>
      <c r="K442">
        <v>43</v>
      </c>
      <c r="L442">
        <v>105</v>
      </c>
      <c r="O442" t="s">
        <v>2778</v>
      </c>
      <c r="P442" s="1" t="b">
        <f>NOT(OR(Table1[[#This Row],[State]]="Other Foreign Countries", Table1[[#This Row],[State]]="Unknown", Table1[[#This Row],[State]]="Puerto Rico all counties"))</f>
        <v>1</v>
      </c>
    </row>
    <row r="443" spans="1:16" x14ac:dyDescent="0.25">
      <c r="A443">
        <v>42027</v>
      </c>
      <c r="B443" t="s">
        <v>3665</v>
      </c>
      <c r="C443" t="s">
        <v>3686</v>
      </c>
      <c r="D443">
        <v>2127</v>
      </c>
      <c r="E443">
        <v>590</v>
      </c>
      <c r="F443">
        <v>253</v>
      </c>
      <c r="G443">
        <v>255</v>
      </c>
      <c r="H443">
        <v>593</v>
      </c>
      <c r="I443">
        <v>436</v>
      </c>
      <c r="J443">
        <v>604</v>
      </c>
      <c r="K443">
        <v>646</v>
      </c>
      <c r="L443">
        <v>877</v>
      </c>
      <c r="M443" s="1">
        <v>1919</v>
      </c>
      <c r="N443">
        <v>208</v>
      </c>
      <c r="O443" t="s">
        <v>3687</v>
      </c>
      <c r="P443" s="1" t="b">
        <f>NOT(OR(Table1[[#This Row],[State]]="Other Foreign Countries", Table1[[#This Row],[State]]="Unknown", Table1[[#This Row],[State]]="Puerto Rico all counties"))</f>
        <v>1</v>
      </c>
    </row>
    <row r="444" spans="1:16" x14ac:dyDescent="0.25">
      <c r="A444">
        <v>19033</v>
      </c>
      <c r="B444" t="s">
        <v>1399</v>
      </c>
      <c r="C444" t="s">
        <v>1425</v>
      </c>
      <c r="D444">
        <v>850</v>
      </c>
      <c r="E444">
        <v>283</v>
      </c>
      <c r="F444">
        <v>126</v>
      </c>
      <c r="G444">
        <v>103</v>
      </c>
      <c r="H444">
        <v>185</v>
      </c>
      <c r="I444">
        <v>153</v>
      </c>
      <c r="J444">
        <v>145</v>
      </c>
      <c r="K444">
        <v>210</v>
      </c>
      <c r="L444">
        <v>495</v>
      </c>
      <c r="M444">
        <v>798</v>
      </c>
      <c r="N444">
        <v>52</v>
      </c>
      <c r="O444" t="s">
        <v>1426</v>
      </c>
      <c r="P444" s="1" t="b">
        <f>NOT(OR(Table1[[#This Row],[State]]="Other Foreign Countries", Table1[[#This Row],[State]]="Unknown", Table1[[#This Row],[State]]="Puerto Rico all counties"))</f>
        <v>1</v>
      </c>
    </row>
    <row r="445" spans="1:16" x14ac:dyDescent="0.25">
      <c r="A445">
        <v>8015</v>
      </c>
      <c r="B445" t="s">
        <v>489</v>
      </c>
      <c r="C445" t="s">
        <v>506</v>
      </c>
      <c r="D445">
        <v>401</v>
      </c>
      <c r="E445">
        <v>93</v>
      </c>
      <c r="F445">
        <v>59</v>
      </c>
      <c r="G445">
        <v>44</v>
      </c>
      <c r="H445">
        <v>105</v>
      </c>
      <c r="I445">
        <v>100</v>
      </c>
      <c r="J445">
        <v>82</v>
      </c>
      <c r="K445">
        <v>119</v>
      </c>
      <c r="L445">
        <v>200</v>
      </c>
      <c r="M445">
        <v>354</v>
      </c>
      <c r="N445">
        <v>47</v>
      </c>
      <c r="O445" t="s">
        <v>507</v>
      </c>
      <c r="P445" s="1" t="b">
        <f>NOT(OR(Table1[[#This Row],[State]]="Other Foreign Countries", Table1[[#This Row],[State]]="Unknown", Table1[[#This Row],[State]]="Puerto Rico all counties"))</f>
        <v>1</v>
      </c>
    </row>
    <row r="446" spans="1:16" x14ac:dyDescent="0.25">
      <c r="A446">
        <v>1017</v>
      </c>
      <c r="B446" t="s">
        <v>15</v>
      </c>
      <c r="C446" t="s">
        <v>32</v>
      </c>
      <c r="D446">
        <v>811</v>
      </c>
      <c r="E446">
        <v>149</v>
      </c>
      <c r="F446">
        <v>71</v>
      </c>
      <c r="G446">
        <v>78</v>
      </c>
      <c r="H446">
        <v>271</v>
      </c>
      <c r="I446">
        <v>242</v>
      </c>
      <c r="J446">
        <v>162</v>
      </c>
      <c r="K446">
        <v>267</v>
      </c>
      <c r="L446">
        <v>382</v>
      </c>
      <c r="M446">
        <v>742</v>
      </c>
      <c r="N446">
        <v>69</v>
      </c>
      <c r="O446" t="s">
        <v>33</v>
      </c>
      <c r="P446" s="1" t="b">
        <f>NOT(OR(Table1[[#This Row],[State]]="Other Foreign Countries", Table1[[#This Row],[State]]="Unknown", Table1[[#This Row],[State]]="Puerto Rico all counties"))</f>
        <v>1</v>
      </c>
    </row>
    <row r="447" spans="1:16" x14ac:dyDescent="0.25">
      <c r="A447">
        <v>48071</v>
      </c>
      <c r="B447" t="s">
        <v>2654</v>
      </c>
      <c r="C447" t="s">
        <v>32</v>
      </c>
      <c r="D447">
        <v>1108</v>
      </c>
      <c r="E447">
        <v>184</v>
      </c>
      <c r="F447">
        <v>86</v>
      </c>
      <c r="G447">
        <v>125</v>
      </c>
      <c r="H447">
        <v>354</v>
      </c>
      <c r="I447">
        <v>359</v>
      </c>
      <c r="J447">
        <v>477</v>
      </c>
      <c r="K447">
        <v>402</v>
      </c>
      <c r="L447">
        <v>229</v>
      </c>
      <c r="M447">
        <v>973</v>
      </c>
      <c r="N447">
        <v>135</v>
      </c>
      <c r="O447" t="s">
        <v>4134</v>
      </c>
      <c r="P447" s="1" t="b">
        <f>NOT(OR(Table1[[#This Row],[State]]="Other Foreign Countries", Table1[[#This Row],[State]]="Unknown", Table1[[#This Row],[State]]="Puerto Rico all counties"))</f>
        <v>1</v>
      </c>
    </row>
    <row r="448" spans="1:16" x14ac:dyDescent="0.25">
      <c r="A448">
        <v>17019</v>
      </c>
      <c r="B448" t="s">
        <v>1109</v>
      </c>
      <c r="C448" t="s">
        <v>1124</v>
      </c>
      <c r="D448">
        <v>1893</v>
      </c>
      <c r="E448">
        <v>357</v>
      </c>
      <c r="F448">
        <v>233</v>
      </c>
      <c r="G448">
        <v>216</v>
      </c>
      <c r="H448">
        <v>575</v>
      </c>
      <c r="I448">
        <v>512</v>
      </c>
      <c r="J448">
        <v>639</v>
      </c>
      <c r="K448">
        <v>580</v>
      </c>
      <c r="L448">
        <v>674</v>
      </c>
      <c r="M448" s="1">
        <v>1640</v>
      </c>
      <c r="N448">
        <v>253</v>
      </c>
      <c r="O448" t="s">
        <v>1125</v>
      </c>
      <c r="P448" s="1" t="b">
        <f>NOT(OR(Table1[[#This Row],[State]]="Other Foreign Countries", Table1[[#This Row],[State]]="Unknown", Table1[[#This Row],[State]]="Puerto Rico all counties"))</f>
        <v>1</v>
      </c>
    </row>
    <row r="449" spans="1:16" x14ac:dyDescent="0.25">
      <c r="A449">
        <v>39021</v>
      </c>
      <c r="B449" t="s">
        <v>1343</v>
      </c>
      <c r="C449" t="s">
        <v>1124</v>
      </c>
      <c r="D449">
        <v>703</v>
      </c>
      <c r="E449">
        <v>177</v>
      </c>
      <c r="F449">
        <v>95</v>
      </c>
      <c r="G449">
        <v>99</v>
      </c>
      <c r="H449">
        <v>196</v>
      </c>
      <c r="I449">
        <v>136</v>
      </c>
      <c r="J449">
        <v>184</v>
      </c>
      <c r="K449">
        <v>231</v>
      </c>
      <c r="L449">
        <v>288</v>
      </c>
      <c r="M449">
        <v>628</v>
      </c>
      <c r="N449">
        <v>75</v>
      </c>
      <c r="O449" t="s">
        <v>3386</v>
      </c>
      <c r="P449" s="1" t="b">
        <f>NOT(OR(Table1[[#This Row],[State]]="Other Foreign Countries", Table1[[#This Row],[State]]="Unknown", Table1[[#This Row],[State]]="Puerto Rico all counties"))</f>
        <v>1</v>
      </c>
    </row>
    <row r="450" spans="1:16" x14ac:dyDescent="0.25">
      <c r="A450">
        <v>29041</v>
      </c>
      <c r="B450" t="s">
        <v>2510</v>
      </c>
      <c r="C450" t="s">
        <v>2537</v>
      </c>
      <c r="D450">
        <v>206</v>
      </c>
      <c r="E450">
        <v>64</v>
      </c>
      <c r="F450">
        <v>25</v>
      </c>
      <c r="G450">
        <v>24</v>
      </c>
      <c r="H450">
        <v>64</v>
      </c>
      <c r="I450">
        <v>29</v>
      </c>
      <c r="J450">
        <v>37</v>
      </c>
      <c r="K450">
        <v>61</v>
      </c>
      <c r="L450">
        <v>108</v>
      </c>
      <c r="M450">
        <v>191</v>
      </c>
      <c r="N450">
        <v>15</v>
      </c>
      <c r="O450" t="s">
        <v>2538</v>
      </c>
      <c r="P450" s="1" t="b">
        <f>NOT(OR(Table1[[#This Row],[State]]="Other Foreign Countries", Table1[[#This Row],[State]]="Unknown", Table1[[#This Row],[State]]="Puerto Rico all counties"))</f>
        <v>1</v>
      </c>
    </row>
    <row r="451" spans="1:16" x14ac:dyDescent="0.25">
      <c r="A451">
        <v>24017</v>
      </c>
      <c r="B451" t="s">
        <v>2031</v>
      </c>
      <c r="C451" t="s">
        <v>2045</v>
      </c>
      <c r="D451">
        <v>8768</v>
      </c>
      <c r="E451" s="1">
        <v>1005</v>
      </c>
      <c r="F451">
        <v>759</v>
      </c>
      <c r="G451">
        <v>852</v>
      </c>
      <c r="H451" s="1">
        <v>2427</v>
      </c>
      <c r="I451" s="1">
        <v>3725</v>
      </c>
      <c r="J451" s="1">
        <v>2223</v>
      </c>
      <c r="K451" s="1">
        <v>4636</v>
      </c>
      <c r="L451" s="1">
        <v>1909</v>
      </c>
      <c r="M451" s="1">
        <v>6432</v>
      </c>
      <c r="N451" s="1">
        <v>2336</v>
      </c>
      <c r="O451" t="s">
        <v>2046</v>
      </c>
      <c r="P451" s="1" t="b">
        <f>NOT(OR(Table1[[#This Row],[State]]="Other Foreign Countries", Table1[[#This Row],[State]]="Unknown", Table1[[#This Row],[State]]="Puerto Rico all counties"))</f>
        <v>1</v>
      </c>
    </row>
    <row r="452" spans="1:16" x14ac:dyDescent="0.25">
      <c r="A452">
        <v>51036</v>
      </c>
      <c r="B452" t="s">
        <v>4555</v>
      </c>
      <c r="C452" t="s">
        <v>4584</v>
      </c>
      <c r="D452">
        <v>168</v>
      </c>
      <c r="E452">
        <v>30</v>
      </c>
      <c r="F452">
        <v>18</v>
      </c>
      <c r="G452">
        <v>20</v>
      </c>
      <c r="H452">
        <v>58</v>
      </c>
      <c r="I452">
        <v>42</v>
      </c>
      <c r="J452">
        <v>24</v>
      </c>
      <c r="K452">
        <v>52</v>
      </c>
      <c r="L452">
        <v>92</v>
      </c>
      <c r="M452">
        <v>153</v>
      </c>
      <c r="N452">
        <v>15</v>
      </c>
      <c r="O452" t="s">
        <v>4585</v>
      </c>
      <c r="P452" s="1" t="b">
        <f>NOT(OR(Table1[[#This Row],[State]]="Other Foreign Countries", Table1[[#This Row],[State]]="Unknown", Table1[[#This Row],[State]]="Puerto Rico all counties"))</f>
        <v>1</v>
      </c>
    </row>
    <row r="453" spans="1:16" x14ac:dyDescent="0.25">
      <c r="A453">
        <v>46023</v>
      </c>
      <c r="B453" t="s">
        <v>3846</v>
      </c>
      <c r="C453" t="s">
        <v>3863</v>
      </c>
      <c r="D453">
        <v>155</v>
      </c>
      <c r="E453">
        <v>52</v>
      </c>
      <c r="F453">
        <v>23</v>
      </c>
      <c r="G453">
        <v>18</v>
      </c>
      <c r="H453">
        <v>37</v>
      </c>
      <c r="I453">
        <v>25</v>
      </c>
      <c r="J453">
        <v>22</v>
      </c>
      <c r="K453">
        <v>51</v>
      </c>
      <c r="L453">
        <v>82</v>
      </c>
      <c r="O453" t="s">
        <v>3864</v>
      </c>
      <c r="P453" s="1" t="b">
        <f>NOT(OR(Table1[[#This Row],[State]]="Other Foreign Countries", Table1[[#This Row],[State]]="Unknown", Table1[[#This Row],[State]]="Puerto Rico all counties"))</f>
        <v>1</v>
      </c>
    </row>
    <row r="454" spans="1:16" x14ac:dyDescent="0.25">
      <c r="A454">
        <v>45019</v>
      </c>
      <c r="B454" t="s">
        <v>3772</v>
      </c>
      <c r="C454" t="s">
        <v>3788</v>
      </c>
      <c r="D454">
        <v>10261</v>
      </c>
      <c r="E454" s="1">
        <v>1927</v>
      </c>
      <c r="F454" s="1">
        <v>1222</v>
      </c>
      <c r="G454" s="1">
        <v>1319</v>
      </c>
      <c r="H454" s="1">
        <v>3155</v>
      </c>
      <c r="I454" s="1">
        <v>2638</v>
      </c>
      <c r="J454" s="1">
        <v>2879</v>
      </c>
      <c r="K454" s="1">
        <v>3367</v>
      </c>
      <c r="L454" s="1">
        <v>4015</v>
      </c>
      <c r="M454" s="1">
        <v>8815</v>
      </c>
      <c r="N454" s="1">
        <v>1446</v>
      </c>
      <c r="O454" t="s">
        <v>3789</v>
      </c>
      <c r="P454" s="1" t="b">
        <f>NOT(OR(Table1[[#This Row],[State]]="Other Foreign Countries", Table1[[#This Row],[State]]="Unknown", Table1[[#This Row],[State]]="Puerto Rico all counties"))</f>
        <v>1</v>
      </c>
    </row>
    <row r="455" spans="1:16" x14ac:dyDescent="0.25">
      <c r="A455">
        <v>26029</v>
      </c>
      <c r="B455" t="s">
        <v>2099</v>
      </c>
      <c r="C455" t="s">
        <v>2124</v>
      </c>
      <c r="D455">
        <v>498</v>
      </c>
      <c r="E455">
        <v>135</v>
      </c>
      <c r="F455">
        <v>65</v>
      </c>
      <c r="G455">
        <v>59</v>
      </c>
      <c r="H455">
        <v>135</v>
      </c>
      <c r="I455">
        <v>104</v>
      </c>
      <c r="J455">
        <v>101</v>
      </c>
      <c r="K455">
        <v>134</v>
      </c>
      <c r="L455">
        <v>263</v>
      </c>
      <c r="M455">
        <v>457</v>
      </c>
      <c r="N455">
        <v>41</v>
      </c>
      <c r="O455" t="s">
        <v>2125</v>
      </c>
      <c r="P455" s="1" t="b">
        <f>NOT(OR(Table1[[#This Row],[State]]="Other Foreign Countries", Table1[[#This Row],[State]]="Unknown", Table1[[#This Row],[State]]="Puerto Rico all counties"))</f>
        <v>1</v>
      </c>
    </row>
    <row r="456" spans="1:16" x14ac:dyDescent="0.25">
      <c r="A456">
        <v>12015</v>
      </c>
      <c r="B456" t="s">
        <v>637</v>
      </c>
      <c r="C456" t="s">
        <v>651</v>
      </c>
      <c r="D456">
        <v>6720</v>
      </c>
      <c r="E456" s="1">
        <v>1605</v>
      </c>
      <c r="F456">
        <v>652</v>
      </c>
      <c r="G456">
        <v>726</v>
      </c>
      <c r="H456" s="1">
        <v>1996</v>
      </c>
      <c r="I456" s="1">
        <v>1741</v>
      </c>
      <c r="J456">
        <v>976</v>
      </c>
      <c r="K456" s="1">
        <v>1813</v>
      </c>
      <c r="L456" s="1">
        <v>3931</v>
      </c>
      <c r="M456" s="1">
        <v>6131</v>
      </c>
      <c r="N456">
        <v>589</v>
      </c>
      <c r="O456" t="s">
        <v>652</v>
      </c>
      <c r="P456" s="1" t="b">
        <f>NOT(OR(Table1[[#This Row],[State]]="Other Foreign Countries", Table1[[#This Row],[State]]="Unknown", Table1[[#This Row],[State]]="Puerto Rico all counties"))</f>
        <v>1</v>
      </c>
    </row>
    <row r="457" spans="1:16" x14ac:dyDescent="0.25">
      <c r="A457">
        <v>51037</v>
      </c>
      <c r="B457" t="s">
        <v>4555</v>
      </c>
      <c r="C457" t="s">
        <v>651</v>
      </c>
      <c r="D457">
        <v>267</v>
      </c>
      <c r="E457">
        <v>54</v>
      </c>
      <c r="F457">
        <v>20</v>
      </c>
      <c r="G457">
        <v>26</v>
      </c>
      <c r="H457">
        <v>95</v>
      </c>
      <c r="I457">
        <v>72</v>
      </c>
      <c r="J457">
        <v>43</v>
      </c>
      <c r="K457">
        <v>97</v>
      </c>
      <c r="L457">
        <v>127</v>
      </c>
      <c r="M457">
        <v>239</v>
      </c>
      <c r="N457">
        <v>28</v>
      </c>
      <c r="O457" t="s">
        <v>4586</v>
      </c>
      <c r="P457" s="1" t="b">
        <f>NOT(OR(Table1[[#This Row],[State]]="Other Foreign Countries", Table1[[#This Row],[State]]="Unknown", Table1[[#This Row],[State]]="Puerto Rico all counties"))</f>
        <v>1</v>
      </c>
    </row>
    <row r="458" spans="1:16" x14ac:dyDescent="0.25">
      <c r="A458">
        <v>51540</v>
      </c>
      <c r="B458" t="s">
        <v>4555</v>
      </c>
      <c r="C458" t="s">
        <v>4702</v>
      </c>
      <c r="D458">
        <v>328</v>
      </c>
      <c r="E458">
        <v>75</v>
      </c>
      <c r="F458">
        <v>42</v>
      </c>
      <c r="G458">
        <v>57</v>
      </c>
      <c r="H458">
        <v>82</v>
      </c>
      <c r="I458">
        <v>72</v>
      </c>
      <c r="J458">
        <v>145</v>
      </c>
      <c r="K458">
        <v>79</v>
      </c>
      <c r="L458">
        <v>104</v>
      </c>
      <c r="M458">
        <v>283</v>
      </c>
      <c r="N458">
        <v>45</v>
      </c>
      <c r="O458" t="s">
        <v>4703</v>
      </c>
      <c r="P458" s="1" t="b">
        <f>NOT(OR(Table1[[#This Row],[State]]="Other Foreign Countries", Table1[[#This Row],[State]]="Unknown", Table1[[#This Row],[State]]="Puerto Rico all counties"))</f>
        <v>1</v>
      </c>
    </row>
    <row r="459" spans="1:16" x14ac:dyDescent="0.25">
      <c r="A459">
        <v>13049</v>
      </c>
      <c r="B459" t="s">
        <v>754</v>
      </c>
      <c r="C459" t="s">
        <v>796</v>
      </c>
      <c r="D459">
        <v>295</v>
      </c>
      <c r="E459">
        <v>72</v>
      </c>
      <c r="F459">
        <v>31</v>
      </c>
      <c r="G459">
        <v>32</v>
      </c>
      <c r="H459">
        <v>88</v>
      </c>
      <c r="I459">
        <v>72</v>
      </c>
      <c r="J459">
        <v>71</v>
      </c>
      <c r="K459">
        <v>94</v>
      </c>
      <c r="L459">
        <v>130</v>
      </c>
      <c r="M459">
        <v>259</v>
      </c>
      <c r="N459">
        <v>36</v>
      </c>
      <c r="O459" t="s">
        <v>797</v>
      </c>
      <c r="P459" s="1" t="b">
        <f>NOT(OR(Table1[[#This Row],[State]]="Other Foreign Countries", Table1[[#This Row],[State]]="Unknown", Table1[[#This Row],[State]]="Puerto Rico all counties"))</f>
        <v>1</v>
      </c>
    </row>
    <row r="460" spans="1:16" x14ac:dyDescent="0.25">
      <c r="A460">
        <v>20017</v>
      </c>
      <c r="B460" t="s">
        <v>1543</v>
      </c>
      <c r="C460" t="s">
        <v>1557</v>
      </c>
      <c r="D460">
        <v>31</v>
      </c>
      <c r="L460">
        <v>12</v>
      </c>
      <c r="O460" t="s">
        <v>1558</v>
      </c>
      <c r="P460" s="1" t="b">
        <f>NOT(OR(Table1[[#This Row],[State]]="Other Foreign Countries", Table1[[#This Row],[State]]="Unknown", Table1[[#This Row],[State]]="Puerto Rico all counties"))</f>
        <v>1</v>
      </c>
    </row>
    <row r="461" spans="1:16" x14ac:dyDescent="0.25">
      <c r="A461">
        <v>31029</v>
      </c>
      <c r="B461" t="s">
        <v>2758</v>
      </c>
      <c r="C461" t="s">
        <v>1557</v>
      </c>
      <c r="D461">
        <v>68</v>
      </c>
      <c r="E461">
        <v>22</v>
      </c>
      <c r="H461">
        <v>15</v>
      </c>
      <c r="I461">
        <v>16</v>
      </c>
      <c r="J461">
        <v>15</v>
      </c>
      <c r="K461">
        <v>18</v>
      </c>
      <c r="L461">
        <v>35</v>
      </c>
      <c r="O461" t="s">
        <v>2779</v>
      </c>
      <c r="P461" s="1" t="b">
        <f>NOT(OR(Table1[[#This Row],[State]]="Other Foreign Countries", Table1[[#This Row],[State]]="Unknown", Table1[[#This Row],[State]]="Puerto Rico all counties"))</f>
        <v>1</v>
      </c>
    </row>
    <row r="462" spans="1:16" x14ac:dyDescent="0.25">
      <c r="A462">
        <v>13051</v>
      </c>
      <c r="B462" t="s">
        <v>754</v>
      </c>
      <c r="C462" t="s">
        <v>798</v>
      </c>
      <c r="D462">
        <v>10532</v>
      </c>
      <c r="E462" s="1">
        <v>1384</v>
      </c>
      <c r="F462" s="1">
        <v>1023</v>
      </c>
      <c r="G462" s="1">
        <v>1146</v>
      </c>
      <c r="H462" s="1">
        <v>3495</v>
      </c>
      <c r="I462" s="1">
        <v>3484</v>
      </c>
      <c r="J462" s="1">
        <v>4012</v>
      </c>
      <c r="K462" s="1">
        <v>3746</v>
      </c>
      <c r="L462" s="1">
        <v>2774</v>
      </c>
      <c r="M462" s="1">
        <v>8419</v>
      </c>
      <c r="N462" s="1">
        <v>2113</v>
      </c>
      <c r="O462" t="s">
        <v>799</v>
      </c>
      <c r="P462" s="1" t="b">
        <f>NOT(OR(Table1[[#This Row],[State]]="Other Foreign Countries", Table1[[#This Row],[State]]="Unknown", Table1[[#This Row],[State]]="Puerto Rico all counties"))</f>
        <v>1</v>
      </c>
    </row>
    <row r="463" spans="1:16" x14ac:dyDescent="0.25">
      <c r="A463">
        <v>37037</v>
      </c>
      <c r="B463" t="s">
        <v>3121</v>
      </c>
      <c r="C463" t="s">
        <v>798</v>
      </c>
      <c r="D463">
        <v>1314</v>
      </c>
      <c r="E463">
        <v>251</v>
      </c>
      <c r="F463">
        <v>156</v>
      </c>
      <c r="G463">
        <v>150</v>
      </c>
      <c r="H463">
        <v>346</v>
      </c>
      <c r="I463">
        <v>411</v>
      </c>
      <c r="J463">
        <v>302</v>
      </c>
      <c r="K463">
        <v>422</v>
      </c>
      <c r="L463">
        <v>590</v>
      </c>
      <c r="M463" s="1">
        <v>1170</v>
      </c>
      <c r="N463">
        <v>144</v>
      </c>
      <c r="O463" t="s">
        <v>3154</v>
      </c>
      <c r="P463" s="1" t="b">
        <f>NOT(OR(Table1[[#This Row],[State]]="Other Foreign Countries", Table1[[#This Row],[State]]="Unknown", Table1[[#This Row],[State]]="Puerto Rico all counties"))</f>
        <v>1</v>
      </c>
    </row>
    <row r="464" spans="1:16" x14ac:dyDescent="0.25">
      <c r="A464">
        <v>13053</v>
      </c>
      <c r="B464" t="s">
        <v>754</v>
      </c>
      <c r="C464" t="s">
        <v>800</v>
      </c>
      <c r="D464">
        <v>404</v>
      </c>
      <c r="E464">
        <v>54</v>
      </c>
      <c r="F464">
        <v>44</v>
      </c>
      <c r="G464">
        <v>38</v>
      </c>
      <c r="H464">
        <v>135</v>
      </c>
      <c r="I464">
        <v>133</v>
      </c>
      <c r="J464">
        <v>186</v>
      </c>
      <c r="K464">
        <v>144</v>
      </c>
      <c r="L464">
        <v>74</v>
      </c>
      <c r="M464">
        <v>317</v>
      </c>
      <c r="N464">
        <v>87</v>
      </c>
      <c r="O464" t="s">
        <v>801</v>
      </c>
      <c r="P464" s="1" t="b">
        <f>NOT(OR(Table1[[#This Row],[State]]="Other Foreign Countries", Table1[[#This Row],[State]]="Unknown", Table1[[#This Row],[State]]="Puerto Rico all counties"))</f>
        <v>1</v>
      </c>
    </row>
    <row r="465" spans="1:16" x14ac:dyDescent="0.25">
      <c r="A465">
        <v>13055</v>
      </c>
      <c r="B465" t="s">
        <v>754</v>
      </c>
      <c r="C465" t="s">
        <v>802</v>
      </c>
      <c r="D465">
        <v>430</v>
      </c>
      <c r="E465">
        <v>104</v>
      </c>
      <c r="F465">
        <v>49</v>
      </c>
      <c r="G465">
        <v>51</v>
      </c>
      <c r="H465">
        <v>122</v>
      </c>
      <c r="I465">
        <v>104</v>
      </c>
      <c r="J465">
        <v>82</v>
      </c>
      <c r="K465">
        <v>121</v>
      </c>
      <c r="L465">
        <v>227</v>
      </c>
      <c r="M465">
        <v>390</v>
      </c>
      <c r="N465">
        <v>40</v>
      </c>
      <c r="O465" t="s">
        <v>803</v>
      </c>
      <c r="P465" s="1" t="b">
        <f>NOT(OR(Table1[[#This Row],[State]]="Other Foreign Countries", Table1[[#This Row],[State]]="Unknown", Table1[[#This Row],[State]]="Puerto Rico all counties"))</f>
        <v>1</v>
      </c>
    </row>
    <row r="466" spans="1:16" x14ac:dyDescent="0.25">
      <c r="A466">
        <v>20019</v>
      </c>
      <c r="B466" t="s">
        <v>1543</v>
      </c>
      <c r="C466" t="s">
        <v>1559</v>
      </c>
      <c r="D466">
        <v>62</v>
      </c>
      <c r="E466">
        <v>16</v>
      </c>
      <c r="F466">
        <v>10</v>
      </c>
      <c r="G466">
        <v>13</v>
      </c>
      <c r="H466">
        <v>13</v>
      </c>
      <c r="I466">
        <v>10</v>
      </c>
      <c r="J466">
        <v>10</v>
      </c>
      <c r="K466">
        <v>18</v>
      </c>
      <c r="L466">
        <v>34</v>
      </c>
      <c r="O466" t="s">
        <v>1560</v>
      </c>
      <c r="P466" s="1" t="b">
        <f>NOT(OR(Table1[[#This Row],[State]]="Other Foreign Countries", Table1[[#This Row],[State]]="Unknown", Table1[[#This Row],[State]]="Puerto Rico all counties"))</f>
        <v>1</v>
      </c>
    </row>
    <row r="467" spans="1:16" x14ac:dyDescent="0.25">
      <c r="A467">
        <v>36013</v>
      </c>
      <c r="B467" t="s">
        <v>3029</v>
      </c>
      <c r="C467" t="s">
        <v>1559</v>
      </c>
      <c r="D467">
        <v>2258</v>
      </c>
      <c r="E467">
        <v>476</v>
      </c>
      <c r="F467">
        <v>234</v>
      </c>
      <c r="G467">
        <v>286</v>
      </c>
      <c r="H467">
        <v>729</v>
      </c>
      <c r="I467">
        <v>533</v>
      </c>
      <c r="J467">
        <v>464</v>
      </c>
      <c r="K467">
        <v>656</v>
      </c>
      <c r="L467" s="1">
        <v>1138</v>
      </c>
      <c r="M467" s="1">
        <v>2078</v>
      </c>
      <c r="N467">
        <v>180</v>
      </c>
      <c r="O467" t="s">
        <v>3041</v>
      </c>
      <c r="P467" s="1" t="b">
        <f>NOT(OR(Table1[[#This Row],[State]]="Other Foreign Countries", Table1[[#This Row],[State]]="Unknown", Table1[[#This Row],[State]]="Puerto Rico all counties"))</f>
        <v>1</v>
      </c>
    </row>
    <row r="468" spans="1:16" x14ac:dyDescent="0.25">
      <c r="A468">
        <v>35005</v>
      </c>
      <c r="B468" t="s">
        <v>2971</v>
      </c>
      <c r="C468" t="s">
        <v>2976</v>
      </c>
      <c r="D468">
        <v>1009</v>
      </c>
      <c r="E468">
        <v>220</v>
      </c>
      <c r="F468">
        <v>98</v>
      </c>
      <c r="G468">
        <v>131</v>
      </c>
      <c r="H468">
        <v>302</v>
      </c>
      <c r="I468">
        <v>258</v>
      </c>
      <c r="J468">
        <v>235</v>
      </c>
      <c r="K468">
        <v>300</v>
      </c>
      <c r="L468">
        <v>474</v>
      </c>
      <c r="M468">
        <v>924</v>
      </c>
      <c r="N468">
        <v>84</v>
      </c>
      <c r="O468" t="s">
        <v>2977</v>
      </c>
      <c r="P468" s="1" t="b">
        <f>NOT(OR(Table1[[#This Row],[State]]="Other Foreign Countries", Table1[[#This Row],[State]]="Unknown", Table1[[#This Row],[State]]="Puerto Rico all counties"))</f>
        <v>1</v>
      </c>
    </row>
    <row r="469" spans="1:16" x14ac:dyDescent="0.25">
      <c r="A469">
        <v>47021</v>
      </c>
      <c r="B469" t="s">
        <v>3951</v>
      </c>
      <c r="C469" t="s">
        <v>3964</v>
      </c>
      <c r="D469">
        <v>1087</v>
      </c>
      <c r="E469">
        <v>189</v>
      </c>
      <c r="F469">
        <v>122</v>
      </c>
      <c r="G469">
        <v>121</v>
      </c>
      <c r="H469">
        <v>299</v>
      </c>
      <c r="I469">
        <v>356</v>
      </c>
      <c r="J469">
        <v>376</v>
      </c>
      <c r="K469">
        <v>341</v>
      </c>
      <c r="L469">
        <v>370</v>
      </c>
      <c r="M469">
        <v>965</v>
      </c>
      <c r="N469">
        <v>122</v>
      </c>
      <c r="O469" t="s">
        <v>3965</v>
      </c>
      <c r="P469" s="1" t="b">
        <f>NOT(OR(Table1[[#This Row],[State]]="Other Foreign Countries", Table1[[#This Row],[State]]="Unknown", Table1[[#This Row],[State]]="Puerto Rico all counties"))</f>
        <v>1</v>
      </c>
    </row>
    <row r="470" spans="1:16" x14ac:dyDescent="0.25">
      <c r="A470">
        <v>26031</v>
      </c>
      <c r="B470" t="s">
        <v>2099</v>
      </c>
      <c r="C470" t="s">
        <v>2126</v>
      </c>
      <c r="D470">
        <v>723</v>
      </c>
      <c r="E470">
        <v>187</v>
      </c>
      <c r="F470">
        <v>79</v>
      </c>
      <c r="G470">
        <v>81</v>
      </c>
      <c r="H470">
        <v>209</v>
      </c>
      <c r="I470">
        <v>167</v>
      </c>
      <c r="J470">
        <v>115</v>
      </c>
      <c r="K470">
        <v>204</v>
      </c>
      <c r="L470">
        <v>404</v>
      </c>
      <c r="M470">
        <v>675</v>
      </c>
      <c r="N470">
        <v>48</v>
      </c>
      <c r="O470" t="s">
        <v>2127</v>
      </c>
      <c r="P470" s="1" t="b">
        <f>NOT(OR(Table1[[#This Row],[State]]="Other Foreign Countries", Table1[[#This Row],[State]]="Unknown", Table1[[#This Row],[State]]="Puerto Rico all counties"))</f>
        <v>1</v>
      </c>
    </row>
    <row r="471" spans="1:16" x14ac:dyDescent="0.25">
      <c r="A471">
        <v>53007</v>
      </c>
      <c r="B471" t="s">
        <v>144</v>
      </c>
      <c r="C471" t="s">
        <v>4776</v>
      </c>
      <c r="D471">
        <v>1264</v>
      </c>
      <c r="E471">
        <v>324</v>
      </c>
      <c r="F471">
        <v>174</v>
      </c>
      <c r="G471">
        <v>132</v>
      </c>
      <c r="H471">
        <v>337</v>
      </c>
      <c r="I471">
        <v>297</v>
      </c>
      <c r="J471">
        <v>295</v>
      </c>
      <c r="K471">
        <v>298</v>
      </c>
      <c r="L471">
        <v>671</v>
      </c>
      <c r="M471" s="1">
        <v>1171</v>
      </c>
      <c r="N471">
        <v>93</v>
      </c>
      <c r="O471" t="s">
        <v>4777</v>
      </c>
      <c r="P471" s="1" t="b">
        <f>NOT(OR(Table1[[#This Row],[State]]="Other Foreign Countries", Table1[[#This Row],[State]]="Unknown", Table1[[#This Row],[State]]="Puerto Rico all counties"))</f>
        <v>1</v>
      </c>
    </row>
    <row r="472" spans="1:16" x14ac:dyDescent="0.25">
      <c r="A472">
        <v>36015</v>
      </c>
      <c r="B472" t="s">
        <v>3029</v>
      </c>
      <c r="C472" t="s">
        <v>3042</v>
      </c>
      <c r="D472">
        <v>1419</v>
      </c>
      <c r="E472">
        <v>269</v>
      </c>
      <c r="F472">
        <v>171</v>
      </c>
      <c r="G472">
        <v>161</v>
      </c>
      <c r="H472">
        <v>476</v>
      </c>
      <c r="I472">
        <v>342</v>
      </c>
      <c r="J472">
        <v>337</v>
      </c>
      <c r="K472">
        <v>416</v>
      </c>
      <c r="L472">
        <v>666</v>
      </c>
      <c r="M472" s="1">
        <v>1288</v>
      </c>
      <c r="N472">
        <v>130</v>
      </c>
      <c r="O472" t="s">
        <v>3043</v>
      </c>
      <c r="P472" s="1" t="b">
        <f>NOT(OR(Table1[[#This Row],[State]]="Other Foreign Countries", Table1[[#This Row],[State]]="Unknown", Table1[[#This Row],[State]]="Puerto Rico all counties"))</f>
        <v>1</v>
      </c>
    </row>
    <row r="473" spans="1:16" x14ac:dyDescent="0.25">
      <c r="A473">
        <v>36017</v>
      </c>
      <c r="B473" t="s">
        <v>3029</v>
      </c>
      <c r="C473" t="s">
        <v>3044</v>
      </c>
      <c r="D473">
        <v>765</v>
      </c>
      <c r="E473">
        <v>177</v>
      </c>
      <c r="F473">
        <v>92</v>
      </c>
      <c r="G473">
        <v>93</v>
      </c>
      <c r="H473">
        <v>216</v>
      </c>
      <c r="I473">
        <v>187</v>
      </c>
      <c r="J473">
        <v>180</v>
      </c>
      <c r="K473">
        <v>214</v>
      </c>
      <c r="L473">
        <v>371</v>
      </c>
      <c r="M473">
        <v>716</v>
      </c>
      <c r="N473">
        <v>49</v>
      </c>
      <c r="O473" t="s">
        <v>3045</v>
      </c>
      <c r="P473" s="1" t="b">
        <f>NOT(OR(Table1[[#This Row],[State]]="Other Foreign Countries", Table1[[#This Row],[State]]="Unknown", Table1[[#This Row],[State]]="Puerto Rico all counties"))</f>
        <v>1</v>
      </c>
    </row>
    <row r="474" spans="1:16" x14ac:dyDescent="0.25">
      <c r="A474">
        <v>1019</v>
      </c>
      <c r="B474" t="s">
        <v>15</v>
      </c>
      <c r="C474" t="s">
        <v>34</v>
      </c>
      <c r="D474">
        <v>576</v>
      </c>
      <c r="E474">
        <v>119</v>
      </c>
      <c r="F474">
        <v>61</v>
      </c>
      <c r="G474">
        <v>66</v>
      </c>
      <c r="H474">
        <v>174</v>
      </c>
      <c r="I474">
        <v>156</v>
      </c>
      <c r="J474">
        <v>98</v>
      </c>
      <c r="K474">
        <v>171</v>
      </c>
      <c r="L474">
        <v>307</v>
      </c>
      <c r="M474">
        <v>524</v>
      </c>
      <c r="N474">
        <v>52</v>
      </c>
      <c r="O474" t="s">
        <v>35</v>
      </c>
      <c r="P474" s="1" t="b">
        <f>NOT(OR(Table1[[#This Row],[State]]="Other Foreign Countries", Table1[[#This Row],[State]]="Unknown", Table1[[#This Row],[State]]="Puerto Rico all counties"))</f>
        <v>1</v>
      </c>
    </row>
    <row r="475" spans="1:16" x14ac:dyDescent="0.25">
      <c r="A475">
        <v>13057</v>
      </c>
      <c r="B475" t="s">
        <v>754</v>
      </c>
      <c r="C475" t="s">
        <v>34</v>
      </c>
      <c r="D475">
        <v>5106</v>
      </c>
      <c r="E475" s="1">
        <v>1036</v>
      </c>
      <c r="F475">
        <v>578</v>
      </c>
      <c r="G475">
        <v>631</v>
      </c>
      <c r="H475" s="1">
        <v>1430</v>
      </c>
      <c r="I475" s="1">
        <v>1431</v>
      </c>
      <c r="J475" s="1">
        <v>1540</v>
      </c>
      <c r="K475" s="1">
        <v>1621</v>
      </c>
      <c r="L475" s="1">
        <v>1945</v>
      </c>
      <c r="M475" s="1">
        <v>4527</v>
      </c>
      <c r="N475">
        <v>578</v>
      </c>
      <c r="O475" t="s">
        <v>804</v>
      </c>
      <c r="P475" s="1" t="b">
        <f>NOT(OR(Table1[[#This Row],[State]]="Other Foreign Countries", Table1[[#This Row],[State]]="Unknown", Table1[[#This Row],[State]]="Puerto Rico all counties"))</f>
        <v>1</v>
      </c>
    </row>
    <row r="476" spans="1:16" x14ac:dyDescent="0.25">
      <c r="A476">
        <v>19035</v>
      </c>
      <c r="B476" t="s">
        <v>1399</v>
      </c>
      <c r="C476" t="s">
        <v>34</v>
      </c>
      <c r="D476">
        <v>242</v>
      </c>
      <c r="E476">
        <v>93</v>
      </c>
      <c r="F476">
        <v>23</v>
      </c>
      <c r="G476">
        <v>29</v>
      </c>
      <c r="H476">
        <v>51</v>
      </c>
      <c r="I476">
        <v>46</v>
      </c>
      <c r="J476">
        <v>33</v>
      </c>
      <c r="K476">
        <v>61</v>
      </c>
      <c r="L476">
        <v>148</v>
      </c>
      <c r="M476">
        <v>225</v>
      </c>
      <c r="N476">
        <v>17</v>
      </c>
      <c r="O476" t="s">
        <v>1427</v>
      </c>
      <c r="P476" s="1" t="b">
        <f>NOT(OR(Table1[[#This Row],[State]]="Other Foreign Countries", Table1[[#This Row],[State]]="Unknown", Table1[[#This Row],[State]]="Puerto Rico all counties"))</f>
        <v>1</v>
      </c>
    </row>
    <row r="477" spans="1:16" x14ac:dyDescent="0.25">
      <c r="A477">
        <v>20021</v>
      </c>
      <c r="B477" t="s">
        <v>1543</v>
      </c>
      <c r="C477" t="s">
        <v>34</v>
      </c>
      <c r="D477">
        <v>336</v>
      </c>
      <c r="E477">
        <v>71</v>
      </c>
      <c r="F477">
        <v>46</v>
      </c>
      <c r="G477">
        <v>46</v>
      </c>
      <c r="H477">
        <v>100</v>
      </c>
      <c r="I477">
        <v>73</v>
      </c>
      <c r="J477">
        <v>89</v>
      </c>
      <c r="K477">
        <v>102</v>
      </c>
      <c r="L477">
        <v>145</v>
      </c>
      <c r="M477">
        <v>308</v>
      </c>
      <c r="N477">
        <v>28</v>
      </c>
      <c r="O477" t="s">
        <v>1561</v>
      </c>
      <c r="P477" s="1" t="b">
        <f>NOT(OR(Table1[[#This Row],[State]]="Other Foreign Countries", Table1[[#This Row],[State]]="Unknown", Table1[[#This Row],[State]]="Puerto Rico all counties"))</f>
        <v>1</v>
      </c>
    </row>
    <row r="478" spans="1:16" x14ac:dyDescent="0.25">
      <c r="A478">
        <v>37039</v>
      </c>
      <c r="B478" t="s">
        <v>3121</v>
      </c>
      <c r="C478" t="s">
        <v>34</v>
      </c>
      <c r="D478">
        <v>1011</v>
      </c>
      <c r="E478">
        <v>234</v>
      </c>
      <c r="F478">
        <v>96</v>
      </c>
      <c r="G478">
        <v>118</v>
      </c>
      <c r="H478">
        <v>292</v>
      </c>
      <c r="I478">
        <v>271</v>
      </c>
      <c r="J478">
        <v>129</v>
      </c>
      <c r="K478">
        <v>291</v>
      </c>
      <c r="L478">
        <v>591</v>
      </c>
      <c r="M478">
        <v>930</v>
      </c>
      <c r="N478">
        <v>81</v>
      </c>
      <c r="O478" t="s">
        <v>3155</v>
      </c>
      <c r="P478" s="1" t="b">
        <f>NOT(OR(Table1[[#This Row],[State]]="Other Foreign Countries", Table1[[#This Row],[State]]="Unknown", Table1[[#This Row],[State]]="Puerto Rico all counties"))</f>
        <v>1</v>
      </c>
    </row>
    <row r="479" spans="1:16" x14ac:dyDescent="0.25">
      <c r="A479">
        <v>40021</v>
      </c>
      <c r="B479" t="s">
        <v>3495</v>
      </c>
      <c r="C479" t="s">
        <v>34</v>
      </c>
      <c r="D479">
        <v>1385</v>
      </c>
      <c r="E479">
        <v>227</v>
      </c>
      <c r="F479">
        <v>119</v>
      </c>
      <c r="G479">
        <v>165</v>
      </c>
      <c r="H479">
        <v>471</v>
      </c>
      <c r="I479">
        <v>403</v>
      </c>
      <c r="J479">
        <v>290</v>
      </c>
      <c r="K479">
        <v>423</v>
      </c>
      <c r="L479">
        <v>672</v>
      </c>
      <c r="M479" s="1">
        <v>1275</v>
      </c>
      <c r="N479">
        <v>110</v>
      </c>
      <c r="O479" t="s">
        <v>3511</v>
      </c>
      <c r="P479" s="1" t="b">
        <f>NOT(OR(Table1[[#This Row],[State]]="Other Foreign Countries", Table1[[#This Row],[State]]="Unknown", Table1[[#This Row],[State]]="Puerto Rico all counties"))</f>
        <v>1</v>
      </c>
    </row>
    <row r="480" spans="1:16" x14ac:dyDescent="0.25">
      <c r="A480">
        <v>45021</v>
      </c>
      <c r="B480" t="s">
        <v>3772</v>
      </c>
      <c r="C480" t="s">
        <v>34</v>
      </c>
      <c r="D480">
        <v>1024</v>
      </c>
      <c r="E480">
        <v>178</v>
      </c>
      <c r="F480">
        <v>105</v>
      </c>
      <c r="G480">
        <v>129</v>
      </c>
      <c r="H480">
        <v>344</v>
      </c>
      <c r="I480">
        <v>268</v>
      </c>
      <c r="J480">
        <v>231</v>
      </c>
      <c r="K480">
        <v>314</v>
      </c>
      <c r="L480">
        <v>479</v>
      </c>
      <c r="M480">
        <v>937</v>
      </c>
      <c r="N480">
        <v>87</v>
      </c>
      <c r="O480" t="s">
        <v>3790</v>
      </c>
      <c r="P480" s="1" t="b">
        <f>NOT(OR(Table1[[#This Row],[State]]="Other Foreign Countries", Table1[[#This Row],[State]]="Unknown", Table1[[#This Row],[State]]="Puerto Rico all counties"))</f>
        <v>1</v>
      </c>
    </row>
    <row r="481" spans="1:16" x14ac:dyDescent="0.25">
      <c r="A481">
        <v>48073</v>
      </c>
      <c r="B481" t="s">
        <v>2654</v>
      </c>
      <c r="C481" t="s">
        <v>34</v>
      </c>
      <c r="D481">
        <v>1008</v>
      </c>
      <c r="E481">
        <v>158</v>
      </c>
      <c r="F481">
        <v>93</v>
      </c>
      <c r="G481">
        <v>119</v>
      </c>
      <c r="H481">
        <v>337</v>
      </c>
      <c r="I481">
        <v>301</v>
      </c>
      <c r="J481">
        <v>250</v>
      </c>
      <c r="K481">
        <v>333</v>
      </c>
      <c r="L481">
        <v>425</v>
      </c>
      <c r="M481">
        <v>915</v>
      </c>
      <c r="N481">
        <v>93</v>
      </c>
      <c r="O481" t="s">
        <v>4135</v>
      </c>
      <c r="P481" s="1" t="b">
        <f>NOT(OR(Table1[[#This Row],[State]]="Other Foreign Countries", Table1[[#This Row],[State]]="Unknown", Table1[[#This Row],[State]]="Puerto Rico all counties"))</f>
        <v>1</v>
      </c>
    </row>
    <row r="482" spans="1:16" x14ac:dyDescent="0.25">
      <c r="A482">
        <v>31031</v>
      </c>
      <c r="B482" t="s">
        <v>2758</v>
      </c>
      <c r="C482" t="s">
        <v>2780</v>
      </c>
      <c r="D482">
        <v>122</v>
      </c>
      <c r="E482">
        <v>38</v>
      </c>
      <c r="F482">
        <v>20</v>
      </c>
      <c r="G482">
        <v>17</v>
      </c>
      <c r="H482">
        <v>29</v>
      </c>
      <c r="I482">
        <v>18</v>
      </c>
      <c r="J482">
        <v>29</v>
      </c>
      <c r="K482">
        <v>29</v>
      </c>
      <c r="L482">
        <v>64</v>
      </c>
      <c r="M482">
        <v>111</v>
      </c>
      <c r="N482">
        <v>11</v>
      </c>
      <c r="O482" t="s">
        <v>2781</v>
      </c>
      <c r="P482" s="1" t="b">
        <f>NOT(OR(Table1[[#This Row],[State]]="Other Foreign Countries", Table1[[#This Row],[State]]="Unknown", Table1[[#This Row],[State]]="Puerto Rico all counties"))</f>
        <v>1</v>
      </c>
    </row>
    <row r="483" spans="1:16" x14ac:dyDescent="0.25">
      <c r="A483">
        <v>51550</v>
      </c>
      <c r="B483" t="s">
        <v>4555</v>
      </c>
      <c r="C483" t="s">
        <v>4704</v>
      </c>
      <c r="D483">
        <v>17037</v>
      </c>
      <c r="E483" s="1">
        <v>1816</v>
      </c>
      <c r="F483" s="1">
        <v>1482</v>
      </c>
      <c r="G483" s="1">
        <v>1901</v>
      </c>
      <c r="H483" s="1">
        <v>4912</v>
      </c>
      <c r="I483" s="1">
        <v>6926</v>
      </c>
      <c r="J483" s="1">
        <v>5273</v>
      </c>
      <c r="K483" s="1">
        <v>7965</v>
      </c>
      <c r="L483" s="1">
        <v>3799</v>
      </c>
      <c r="M483" s="1">
        <v>13219</v>
      </c>
      <c r="N483" s="1">
        <v>3815</v>
      </c>
      <c r="O483" t="s">
        <v>4705</v>
      </c>
      <c r="P483" s="1" t="b">
        <f>NOT(OR(Table1[[#This Row],[State]]="Other Foreign Countries", Table1[[#This Row],[State]]="Unknown", Table1[[#This Row],[State]]="Puerto Rico all counties"))</f>
        <v>1</v>
      </c>
    </row>
    <row r="484" spans="1:16" x14ac:dyDescent="0.25">
      <c r="A484">
        <v>33005</v>
      </c>
      <c r="B484" t="s">
        <v>2920</v>
      </c>
      <c r="C484" t="s">
        <v>2924</v>
      </c>
      <c r="D484">
        <v>1474</v>
      </c>
      <c r="E484">
        <v>315</v>
      </c>
      <c r="F484">
        <v>186</v>
      </c>
      <c r="G484">
        <v>196</v>
      </c>
      <c r="H484">
        <v>427</v>
      </c>
      <c r="I484">
        <v>350</v>
      </c>
      <c r="J484">
        <v>400</v>
      </c>
      <c r="K484">
        <v>436</v>
      </c>
      <c r="L484">
        <v>638</v>
      </c>
      <c r="M484" s="1">
        <v>1324</v>
      </c>
      <c r="N484">
        <v>150</v>
      </c>
      <c r="O484" t="s">
        <v>2925</v>
      </c>
      <c r="P484" s="1" t="b">
        <f>NOT(OR(Table1[[#This Row],[State]]="Other Foreign Countries", Table1[[#This Row],[State]]="Unknown", Table1[[#This Row],[State]]="Puerto Rico all counties"))</f>
        <v>1</v>
      </c>
    </row>
    <row r="485" spans="1:16" x14ac:dyDescent="0.25">
      <c r="A485">
        <v>42029</v>
      </c>
      <c r="B485" t="s">
        <v>3665</v>
      </c>
      <c r="C485" t="s">
        <v>3688</v>
      </c>
      <c r="D485">
        <v>5604</v>
      </c>
      <c r="E485" s="1">
        <v>1155</v>
      </c>
      <c r="F485">
        <v>555</v>
      </c>
      <c r="G485">
        <v>644</v>
      </c>
      <c r="H485" s="1">
        <v>1708</v>
      </c>
      <c r="I485" s="1">
        <v>1542</v>
      </c>
      <c r="J485" s="1">
        <v>1471</v>
      </c>
      <c r="K485" s="1">
        <v>1567</v>
      </c>
      <c r="L485" s="1">
        <v>2566</v>
      </c>
      <c r="M485" s="1">
        <v>5102</v>
      </c>
      <c r="N485">
        <v>502</v>
      </c>
      <c r="O485" t="s">
        <v>3689</v>
      </c>
      <c r="P485" s="1" t="b">
        <f>NOT(OR(Table1[[#This Row],[State]]="Other Foreign Countries", Table1[[#This Row],[State]]="Unknown", Table1[[#This Row],[State]]="Puerto Rico all counties"))</f>
        <v>1</v>
      </c>
    </row>
    <row r="486" spans="1:16" x14ac:dyDescent="0.25">
      <c r="A486">
        <v>45023</v>
      </c>
      <c r="B486" t="s">
        <v>3772</v>
      </c>
      <c r="C486" t="s">
        <v>3688</v>
      </c>
      <c r="D486">
        <v>686</v>
      </c>
      <c r="E486">
        <v>111</v>
      </c>
      <c r="F486">
        <v>74</v>
      </c>
      <c r="G486">
        <v>86</v>
      </c>
      <c r="H486">
        <v>223</v>
      </c>
      <c r="I486">
        <v>192</v>
      </c>
      <c r="J486">
        <v>143</v>
      </c>
      <c r="K486">
        <v>200</v>
      </c>
      <c r="L486">
        <v>343</v>
      </c>
      <c r="M486">
        <v>633</v>
      </c>
      <c r="N486">
        <v>53</v>
      </c>
      <c r="O486" t="s">
        <v>3791</v>
      </c>
      <c r="P486" s="1" t="b">
        <f>NOT(OR(Table1[[#This Row],[State]]="Other Foreign Countries", Table1[[#This Row],[State]]="Unknown", Table1[[#This Row],[State]]="Puerto Rico all counties"))</f>
        <v>1</v>
      </c>
    </row>
    <row r="487" spans="1:16" x14ac:dyDescent="0.25">
      <c r="A487">
        <v>47023</v>
      </c>
      <c r="B487" t="s">
        <v>3951</v>
      </c>
      <c r="C487" t="s">
        <v>3688</v>
      </c>
      <c r="D487">
        <v>369</v>
      </c>
      <c r="E487">
        <v>62</v>
      </c>
      <c r="F487">
        <v>44</v>
      </c>
      <c r="G487">
        <v>49</v>
      </c>
      <c r="H487">
        <v>117</v>
      </c>
      <c r="I487">
        <v>97</v>
      </c>
      <c r="J487">
        <v>106</v>
      </c>
      <c r="K487">
        <v>120</v>
      </c>
      <c r="L487">
        <v>143</v>
      </c>
      <c r="M487">
        <v>334</v>
      </c>
      <c r="N487">
        <v>35</v>
      </c>
      <c r="O487" t="s">
        <v>3966</v>
      </c>
      <c r="P487" s="1" t="b">
        <f>NOT(OR(Table1[[#This Row],[State]]="Other Foreign Countries", Table1[[#This Row],[State]]="Unknown", Table1[[#This Row],[State]]="Puerto Rico all counties"))</f>
        <v>1</v>
      </c>
    </row>
    <row r="488" spans="1:16" x14ac:dyDescent="0.25">
      <c r="A488">
        <v>45025</v>
      </c>
      <c r="B488" t="s">
        <v>3772</v>
      </c>
      <c r="C488" t="s">
        <v>3792</v>
      </c>
      <c r="D488">
        <v>976</v>
      </c>
      <c r="E488">
        <v>150</v>
      </c>
      <c r="F488">
        <v>99</v>
      </c>
      <c r="G488">
        <v>123</v>
      </c>
      <c r="H488">
        <v>336</v>
      </c>
      <c r="I488">
        <v>268</v>
      </c>
      <c r="J488">
        <v>235</v>
      </c>
      <c r="K488">
        <v>318</v>
      </c>
      <c r="L488">
        <v>423</v>
      </c>
      <c r="M488">
        <v>857</v>
      </c>
      <c r="N488">
        <v>119</v>
      </c>
      <c r="O488" t="s">
        <v>3793</v>
      </c>
      <c r="P488" s="1" t="b">
        <f>NOT(OR(Table1[[#This Row],[State]]="Other Foreign Countries", Table1[[#This Row],[State]]="Unknown", Table1[[#This Row],[State]]="Puerto Rico all counties"))</f>
        <v>1</v>
      </c>
    </row>
    <row r="489" spans="1:16" x14ac:dyDescent="0.25">
      <c r="A489">
        <v>51041</v>
      </c>
      <c r="B489" t="s">
        <v>4555</v>
      </c>
      <c r="C489" t="s">
        <v>3792</v>
      </c>
      <c r="D489">
        <v>10811</v>
      </c>
      <c r="E489" s="1">
        <v>1480</v>
      </c>
      <c r="F489" s="1">
        <v>1063</v>
      </c>
      <c r="G489" s="1">
        <v>1138</v>
      </c>
      <c r="H489" s="1">
        <v>3129</v>
      </c>
      <c r="I489" s="1">
        <v>4001</v>
      </c>
      <c r="J489" s="1">
        <v>2778</v>
      </c>
      <c r="K489" s="1">
        <v>4842</v>
      </c>
      <c r="L489" s="1">
        <v>3191</v>
      </c>
      <c r="M489" s="1">
        <v>8678</v>
      </c>
      <c r="N489" s="1">
        <v>2132</v>
      </c>
      <c r="O489" t="s">
        <v>4587</v>
      </c>
      <c r="P489" s="1" t="b">
        <f>NOT(OR(Table1[[#This Row],[State]]="Other Foreign Countries", Table1[[#This Row],[State]]="Unknown", Table1[[#This Row],[State]]="Puerto Rico all counties"))</f>
        <v>1</v>
      </c>
    </row>
    <row r="490" spans="1:16" x14ac:dyDescent="0.25">
      <c r="A490">
        <v>8017</v>
      </c>
      <c r="B490" t="s">
        <v>489</v>
      </c>
      <c r="C490" t="s">
        <v>508</v>
      </c>
      <c r="D490">
        <v>26</v>
      </c>
      <c r="L490">
        <v>10</v>
      </c>
      <c r="O490" t="s">
        <v>509</v>
      </c>
      <c r="P490" s="1" t="b">
        <f>NOT(OR(Table1[[#This Row],[State]]="Other Foreign Countries", Table1[[#This Row],[State]]="Unknown", Table1[[#This Row],[State]]="Puerto Rico all counties"))</f>
        <v>1</v>
      </c>
    </row>
    <row r="491" spans="1:16" x14ac:dyDescent="0.25">
      <c r="A491">
        <v>20023</v>
      </c>
      <c r="B491" t="s">
        <v>1543</v>
      </c>
      <c r="C491" t="s">
        <v>508</v>
      </c>
      <c r="D491">
        <v>39</v>
      </c>
      <c r="F491">
        <v>10</v>
      </c>
      <c r="H491">
        <v>12</v>
      </c>
      <c r="L491">
        <v>28</v>
      </c>
      <c r="O491" t="s">
        <v>1562</v>
      </c>
      <c r="P491" s="1" t="b">
        <f>NOT(OR(Table1[[#This Row],[State]]="Other Foreign Countries", Table1[[#This Row],[State]]="Unknown", Table1[[#This Row],[State]]="Puerto Rico all counties"))</f>
        <v>1</v>
      </c>
    </row>
    <row r="492" spans="1:16" x14ac:dyDescent="0.25">
      <c r="A492">
        <v>31033</v>
      </c>
      <c r="B492" t="s">
        <v>2758</v>
      </c>
      <c r="C492" t="s">
        <v>508</v>
      </c>
      <c r="D492">
        <v>320</v>
      </c>
      <c r="E492">
        <v>128</v>
      </c>
      <c r="F492">
        <v>31</v>
      </c>
      <c r="G492">
        <v>38</v>
      </c>
      <c r="H492">
        <v>69</v>
      </c>
      <c r="I492">
        <v>54</v>
      </c>
      <c r="J492">
        <v>70</v>
      </c>
      <c r="K492">
        <v>83</v>
      </c>
      <c r="L492">
        <v>167</v>
      </c>
      <c r="M492">
        <v>296</v>
      </c>
      <c r="N492">
        <v>24</v>
      </c>
      <c r="O492" t="s">
        <v>2782</v>
      </c>
      <c r="P492" s="1" t="b">
        <f>NOT(OR(Table1[[#This Row],[State]]="Other Foreign Countries", Table1[[#This Row],[State]]="Unknown", Table1[[#This Row],[State]]="Puerto Rico all counties"))</f>
        <v>1</v>
      </c>
    </row>
    <row r="493" spans="1:16" x14ac:dyDescent="0.25">
      <c r="A493">
        <v>19037</v>
      </c>
      <c r="B493" t="s">
        <v>1399</v>
      </c>
      <c r="C493" t="s">
        <v>1428</v>
      </c>
      <c r="D493">
        <v>186</v>
      </c>
      <c r="E493">
        <v>52</v>
      </c>
      <c r="F493">
        <v>20</v>
      </c>
      <c r="G493">
        <v>21</v>
      </c>
      <c r="H493">
        <v>53</v>
      </c>
      <c r="I493">
        <v>40</v>
      </c>
      <c r="J493">
        <v>37</v>
      </c>
      <c r="K493">
        <v>56</v>
      </c>
      <c r="L493">
        <v>93</v>
      </c>
      <c r="M493">
        <v>173</v>
      </c>
      <c r="N493">
        <v>13</v>
      </c>
      <c r="O493" t="s">
        <v>1429</v>
      </c>
      <c r="P493" s="1" t="b">
        <f>NOT(OR(Table1[[#This Row],[State]]="Other Foreign Countries", Table1[[#This Row],[State]]="Unknown", Table1[[#This Row],[State]]="Puerto Rico all counties"))</f>
        <v>1</v>
      </c>
    </row>
    <row r="494" spans="1:16" x14ac:dyDescent="0.25">
      <c r="A494">
        <v>28017</v>
      </c>
      <c r="B494" t="s">
        <v>322</v>
      </c>
      <c r="C494" t="s">
        <v>1428</v>
      </c>
      <c r="D494">
        <v>238</v>
      </c>
      <c r="E494">
        <v>55</v>
      </c>
      <c r="F494">
        <v>14</v>
      </c>
      <c r="G494">
        <v>31</v>
      </c>
      <c r="H494">
        <v>70</v>
      </c>
      <c r="I494">
        <v>68</v>
      </c>
      <c r="J494">
        <v>48</v>
      </c>
      <c r="K494">
        <v>92</v>
      </c>
      <c r="L494">
        <v>98</v>
      </c>
      <c r="M494">
        <v>208</v>
      </c>
      <c r="N494">
        <v>30</v>
      </c>
      <c r="O494" t="s">
        <v>2406</v>
      </c>
      <c r="P494" s="1" t="b">
        <f>NOT(OR(Table1[[#This Row],[State]]="Other Foreign Countries", Table1[[#This Row],[State]]="Unknown", Table1[[#This Row],[State]]="Puerto Rico all counties"))</f>
        <v>1</v>
      </c>
    </row>
    <row r="495" spans="1:16" x14ac:dyDescent="0.25">
      <c r="A495">
        <v>5017</v>
      </c>
      <c r="B495" t="s">
        <v>242</v>
      </c>
      <c r="C495" t="s">
        <v>257</v>
      </c>
      <c r="D495">
        <v>187</v>
      </c>
      <c r="E495">
        <v>26</v>
      </c>
      <c r="F495">
        <v>12</v>
      </c>
      <c r="G495">
        <v>20</v>
      </c>
      <c r="H495">
        <v>75</v>
      </c>
      <c r="I495">
        <v>54</v>
      </c>
      <c r="J495">
        <v>18</v>
      </c>
      <c r="K495">
        <v>69</v>
      </c>
      <c r="L495">
        <v>100</v>
      </c>
      <c r="M495">
        <v>170</v>
      </c>
      <c r="N495">
        <v>17</v>
      </c>
      <c r="O495" t="s">
        <v>258</v>
      </c>
      <c r="P495" s="1" t="b">
        <f>NOT(OR(Table1[[#This Row],[State]]="Other Foreign Countries", Table1[[#This Row],[State]]="Unknown", Table1[[#This Row],[State]]="Puerto Rico all counties"))</f>
        <v>1</v>
      </c>
    </row>
    <row r="496" spans="1:16" x14ac:dyDescent="0.25">
      <c r="A496">
        <v>48075</v>
      </c>
      <c r="B496" t="s">
        <v>2654</v>
      </c>
      <c r="C496" t="s">
        <v>4136</v>
      </c>
      <c r="D496">
        <v>102</v>
      </c>
      <c r="E496">
        <v>28</v>
      </c>
      <c r="F496">
        <v>11</v>
      </c>
      <c r="G496">
        <v>10</v>
      </c>
      <c r="H496">
        <v>30</v>
      </c>
      <c r="I496">
        <v>23</v>
      </c>
      <c r="J496">
        <v>22</v>
      </c>
      <c r="K496">
        <v>36</v>
      </c>
      <c r="L496">
        <v>44</v>
      </c>
      <c r="O496" t="s">
        <v>4137</v>
      </c>
      <c r="P496" s="1" t="b">
        <f>NOT(OR(Table1[[#This Row],[State]]="Other Foreign Countries", Table1[[#This Row],[State]]="Unknown", Table1[[#This Row],[State]]="Puerto Rico all counties"))</f>
        <v>1</v>
      </c>
    </row>
    <row r="497" spans="1:16" x14ac:dyDescent="0.25">
      <c r="A497">
        <v>1021</v>
      </c>
      <c r="B497" t="s">
        <v>15</v>
      </c>
      <c r="C497" t="s">
        <v>36</v>
      </c>
      <c r="D497">
        <v>925</v>
      </c>
      <c r="E497">
        <v>162</v>
      </c>
      <c r="F497">
        <v>76</v>
      </c>
      <c r="G497">
        <v>104</v>
      </c>
      <c r="H497">
        <v>285</v>
      </c>
      <c r="I497">
        <v>298</v>
      </c>
      <c r="J497">
        <v>234</v>
      </c>
      <c r="K497">
        <v>310</v>
      </c>
      <c r="L497">
        <v>381</v>
      </c>
      <c r="M497">
        <v>826</v>
      </c>
      <c r="N497">
        <v>99</v>
      </c>
      <c r="O497" t="s">
        <v>37</v>
      </c>
      <c r="P497" s="1" t="b">
        <f>NOT(OR(Table1[[#This Row],[State]]="Other Foreign Countries", Table1[[#This Row],[State]]="Unknown", Table1[[#This Row],[State]]="Puerto Rico all counties"))</f>
        <v>1</v>
      </c>
    </row>
    <row r="498" spans="1:16" x14ac:dyDescent="0.25">
      <c r="A498">
        <v>26033</v>
      </c>
      <c r="B498" t="s">
        <v>2099</v>
      </c>
      <c r="C498" t="s">
        <v>2128</v>
      </c>
      <c r="D498">
        <v>1094</v>
      </c>
      <c r="E498">
        <v>258</v>
      </c>
      <c r="F498">
        <v>127</v>
      </c>
      <c r="G498">
        <v>140</v>
      </c>
      <c r="H498">
        <v>328</v>
      </c>
      <c r="I498">
        <v>241</v>
      </c>
      <c r="J498">
        <v>224</v>
      </c>
      <c r="K498">
        <v>349</v>
      </c>
      <c r="L498">
        <v>521</v>
      </c>
      <c r="M498" s="1">
        <v>1001</v>
      </c>
      <c r="N498">
        <v>93</v>
      </c>
      <c r="O498" t="s">
        <v>2129</v>
      </c>
      <c r="P498" s="1" t="b">
        <f>NOT(OR(Table1[[#This Row],[State]]="Other Foreign Countries", Table1[[#This Row],[State]]="Unknown", Table1[[#This Row],[State]]="Puerto Rico all counties"))</f>
        <v>1</v>
      </c>
    </row>
    <row r="499" spans="1:16" x14ac:dyDescent="0.25">
      <c r="A499">
        <v>27023</v>
      </c>
      <c r="B499" t="s">
        <v>2245</v>
      </c>
      <c r="C499" t="s">
        <v>2128</v>
      </c>
      <c r="D499">
        <v>320</v>
      </c>
      <c r="E499">
        <v>131</v>
      </c>
      <c r="F499">
        <v>41</v>
      </c>
      <c r="G499">
        <v>30</v>
      </c>
      <c r="H499">
        <v>72</v>
      </c>
      <c r="I499">
        <v>46</v>
      </c>
      <c r="J499">
        <v>38</v>
      </c>
      <c r="K499">
        <v>63</v>
      </c>
      <c r="L499">
        <v>219</v>
      </c>
      <c r="M499">
        <v>310</v>
      </c>
      <c r="N499">
        <v>10</v>
      </c>
      <c r="O499" t="s">
        <v>2265</v>
      </c>
      <c r="P499" s="1" t="b">
        <f>NOT(OR(Table1[[#This Row],[State]]="Other Foreign Countries", Table1[[#This Row],[State]]="Unknown", Table1[[#This Row],[State]]="Puerto Rico all counties"))</f>
        <v>1</v>
      </c>
    </row>
    <row r="500" spans="1:16" x14ac:dyDescent="0.25">
      <c r="A500">
        <v>55017</v>
      </c>
      <c r="B500" t="s">
        <v>4906</v>
      </c>
      <c r="C500" t="s">
        <v>2128</v>
      </c>
      <c r="D500">
        <v>1515</v>
      </c>
      <c r="E500">
        <v>434</v>
      </c>
      <c r="F500">
        <v>175</v>
      </c>
      <c r="G500">
        <v>193</v>
      </c>
      <c r="H500">
        <v>402</v>
      </c>
      <c r="I500">
        <v>311</v>
      </c>
      <c r="J500">
        <v>333</v>
      </c>
      <c r="K500">
        <v>451</v>
      </c>
      <c r="L500">
        <v>731</v>
      </c>
      <c r="M500" s="1">
        <v>1406</v>
      </c>
      <c r="N500">
        <v>106</v>
      </c>
      <c r="O500" t="s">
        <v>4919</v>
      </c>
      <c r="P500" s="1" t="b">
        <f>NOT(OR(Table1[[#This Row],[State]]="Other Foreign Countries", Table1[[#This Row],[State]]="Unknown", Table1[[#This Row],[State]]="Puerto Rico all counties"))</f>
        <v>1</v>
      </c>
    </row>
    <row r="501" spans="1:16" x14ac:dyDescent="0.25">
      <c r="A501">
        <v>27025</v>
      </c>
      <c r="B501" t="s">
        <v>2245</v>
      </c>
      <c r="C501" t="s">
        <v>2266</v>
      </c>
      <c r="D501">
        <v>1453</v>
      </c>
      <c r="E501">
        <v>564</v>
      </c>
      <c r="F501">
        <v>172</v>
      </c>
      <c r="G501">
        <v>161</v>
      </c>
      <c r="H501">
        <v>301</v>
      </c>
      <c r="I501">
        <v>255</v>
      </c>
      <c r="J501">
        <v>339</v>
      </c>
      <c r="K501">
        <v>362</v>
      </c>
      <c r="L501">
        <v>752</v>
      </c>
      <c r="M501" s="1">
        <v>1337</v>
      </c>
      <c r="N501">
        <v>112</v>
      </c>
      <c r="O501" t="s">
        <v>2267</v>
      </c>
      <c r="P501" s="1" t="b">
        <f>NOT(OR(Table1[[#This Row],[State]]="Other Foreign Countries", Table1[[#This Row],[State]]="Unknown", Table1[[#This Row],[State]]="Puerto Rico all counties"))</f>
        <v>1</v>
      </c>
    </row>
    <row r="502" spans="1:16" x14ac:dyDescent="0.25">
      <c r="A502">
        <v>50007</v>
      </c>
      <c r="B502" t="s">
        <v>4531</v>
      </c>
      <c r="C502" t="s">
        <v>4538</v>
      </c>
      <c r="D502">
        <v>1671</v>
      </c>
      <c r="E502">
        <v>366</v>
      </c>
      <c r="F502">
        <v>222</v>
      </c>
      <c r="G502">
        <v>219</v>
      </c>
      <c r="H502">
        <v>501</v>
      </c>
      <c r="I502">
        <v>363</v>
      </c>
      <c r="J502">
        <v>468</v>
      </c>
      <c r="K502">
        <v>541</v>
      </c>
      <c r="L502">
        <v>662</v>
      </c>
      <c r="M502" s="1">
        <v>1460</v>
      </c>
      <c r="N502">
        <v>211</v>
      </c>
      <c r="O502" t="s">
        <v>4539</v>
      </c>
      <c r="P502" s="1" t="b">
        <f>NOT(OR(Table1[[#This Row],[State]]="Other Foreign Countries", Table1[[#This Row],[State]]="Unknown", Table1[[#This Row],[State]]="Puerto Rico all counties"))</f>
        <v>1</v>
      </c>
    </row>
    <row r="503" spans="1:16" x14ac:dyDescent="0.25">
      <c r="A503">
        <v>1023</v>
      </c>
      <c r="B503" t="s">
        <v>15</v>
      </c>
      <c r="C503" t="s">
        <v>38</v>
      </c>
      <c r="D503">
        <v>284</v>
      </c>
      <c r="E503">
        <v>48</v>
      </c>
      <c r="F503">
        <v>31</v>
      </c>
      <c r="G503">
        <v>32</v>
      </c>
      <c r="H503">
        <v>87</v>
      </c>
      <c r="I503">
        <v>86</v>
      </c>
      <c r="J503">
        <v>47</v>
      </c>
      <c r="K503">
        <v>110</v>
      </c>
      <c r="L503">
        <v>127</v>
      </c>
      <c r="M503">
        <v>240</v>
      </c>
      <c r="N503">
        <v>44</v>
      </c>
      <c r="O503" t="s">
        <v>39</v>
      </c>
      <c r="P503" s="1" t="b">
        <f>NOT(OR(Table1[[#This Row],[State]]="Other Foreign Countries", Table1[[#This Row],[State]]="Unknown", Table1[[#This Row],[State]]="Puerto Rico all counties"))</f>
        <v>1</v>
      </c>
    </row>
    <row r="504" spans="1:16" x14ac:dyDescent="0.25">
      <c r="A504">
        <v>28019</v>
      </c>
      <c r="B504" t="s">
        <v>322</v>
      </c>
      <c r="C504" t="s">
        <v>38</v>
      </c>
      <c r="D504">
        <v>150</v>
      </c>
      <c r="E504">
        <v>25</v>
      </c>
      <c r="F504">
        <v>15</v>
      </c>
      <c r="G504">
        <v>15</v>
      </c>
      <c r="H504">
        <v>59</v>
      </c>
      <c r="I504">
        <v>36</v>
      </c>
      <c r="J504">
        <v>36</v>
      </c>
      <c r="K504">
        <v>59</v>
      </c>
      <c r="L504">
        <v>55</v>
      </c>
      <c r="M504">
        <v>134</v>
      </c>
      <c r="N504">
        <v>16</v>
      </c>
      <c r="O504" t="s">
        <v>2407</v>
      </c>
      <c r="P504" s="1" t="b">
        <f>NOT(OR(Table1[[#This Row],[State]]="Other Foreign Countries", Table1[[#This Row],[State]]="Unknown", Table1[[#This Row],[State]]="Puerto Rico all counties"))</f>
        <v>1</v>
      </c>
    </row>
    <row r="505" spans="1:16" x14ac:dyDescent="0.25">
      <c r="A505">
        <v>40023</v>
      </c>
      <c r="B505" t="s">
        <v>3495</v>
      </c>
      <c r="C505" t="s">
        <v>38</v>
      </c>
      <c r="D505">
        <v>372</v>
      </c>
      <c r="E505">
        <v>66</v>
      </c>
      <c r="F505">
        <v>47</v>
      </c>
      <c r="G505">
        <v>48</v>
      </c>
      <c r="H505">
        <v>111</v>
      </c>
      <c r="I505">
        <v>100</v>
      </c>
      <c r="J505">
        <v>48</v>
      </c>
      <c r="K505">
        <v>100</v>
      </c>
      <c r="L505">
        <v>224</v>
      </c>
      <c r="M505">
        <v>351</v>
      </c>
      <c r="N505">
        <v>21</v>
      </c>
      <c r="O505" t="s">
        <v>3512</v>
      </c>
      <c r="P505" s="1" t="b">
        <f>NOT(OR(Table1[[#This Row],[State]]="Other Foreign Countries", Table1[[#This Row],[State]]="Unknown", Table1[[#This Row],[State]]="Puerto Rico all counties"))</f>
        <v>1</v>
      </c>
    </row>
    <row r="506" spans="1:16" x14ac:dyDescent="0.25">
      <c r="A506">
        <v>30015</v>
      </c>
      <c r="B506" t="s">
        <v>2665</v>
      </c>
      <c r="C506" t="s">
        <v>2678</v>
      </c>
      <c r="D506">
        <v>132</v>
      </c>
      <c r="E506">
        <v>31</v>
      </c>
      <c r="F506">
        <v>19</v>
      </c>
      <c r="G506">
        <v>12</v>
      </c>
      <c r="H506">
        <v>37</v>
      </c>
      <c r="I506">
        <v>33</v>
      </c>
      <c r="J506">
        <v>28</v>
      </c>
      <c r="K506">
        <v>47</v>
      </c>
      <c r="L506">
        <v>57</v>
      </c>
      <c r="M506">
        <v>116</v>
      </c>
      <c r="N506">
        <v>16</v>
      </c>
      <c r="O506" t="s">
        <v>2679</v>
      </c>
      <c r="P506" s="1" t="b">
        <f>NOT(OR(Table1[[#This Row],[State]]="Other Foreign Countries", Table1[[#This Row],[State]]="Unknown", Table1[[#This Row],[State]]="Puerto Rico all counties"))</f>
        <v>1</v>
      </c>
    </row>
    <row r="507" spans="1:16" x14ac:dyDescent="0.25">
      <c r="A507">
        <v>37041</v>
      </c>
      <c r="B507" t="s">
        <v>3121</v>
      </c>
      <c r="C507" t="s">
        <v>3156</v>
      </c>
      <c r="D507">
        <v>397</v>
      </c>
      <c r="E507">
        <v>79</v>
      </c>
      <c r="F507">
        <v>48</v>
      </c>
      <c r="G507">
        <v>54</v>
      </c>
      <c r="H507">
        <v>116</v>
      </c>
      <c r="I507">
        <v>100</v>
      </c>
      <c r="J507">
        <v>79</v>
      </c>
      <c r="K507">
        <v>112</v>
      </c>
      <c r="L507">
        <v>206</v>
      </c>
      <c r="M507">
        <v>357</v>
      </c>
      <c r="N507">
        <v>40</v>
      </c>
      <c r="O507" t="s">
        <v>3157</v>
      </c>
      <c r="P507" s="1" t="b">
        <f>NOT(OR(Table1[[#This Row],[State]]="Other Foreign Countries", Table1[[#This Row],[State]]="Unknown", Table1[[#This Row],[State]]="Puerto Rico all counties"))</f>
        <v>1</v>
      </c>
    </row>
    <row r="508" spans="1:16" x14ac:dyDescent="0.25">
      <c r="A508">
        <v>17021</v>
      </c>
      <c r="B508" t="s">
        <v>1109</v>
      </c>
      <c r="C508" t="s">
        <v>1126</v>
      </c>
      <c r="D508">
        <v>570</v>
      </c>
      <c r="E508">
        <v>109</v>
      </c>
      <c r="F508">
        <v>57</v>
      </c>
      <c r="G508">
        <v>62</v>
      </c>
      <c r="H508">
        <v>174</v>
      </c>
      <c r="I508">
        <v>168</v>
      </c>
      <c r="J508">
        <v>172</v>
      </c>
      <c r="K508">
        <v>155</v>
      </c>
      <c r="L508">
        <v>243</v>
      </c>
      <c r="M508">
        <v>526</v>
      </c>
      <c r="N508">
        <v>44</v>
      </c>
      <c r="O508" t="s">
        <v>1127</v>
      </c>
      <c r="P508" s="1" t="b">
        <f>NOT(OR(Table1[[#This Row],[State]]="Other Foreign Countries", Table1[[#This Row],[State]]="Unknown", Table1[[#This Row],[State]]="Puerto Rico all counties"))</f>
        <v>1</v>
      </c>
    </row>
    <row r="509" spans="1:16" x14ac:dyDescent="0.25">
      <c r="A509">
        <v>21047</v>
      </c>
      <c r="B509" t="s">
        <v>1716</v>
      </c>
      <c r="C509" t="s">
        <v>1126</v>
      </c>
      <c r="D509">
        <v>3825</v>
      </c>
      <c r="E509">
        <v>558</v>
      </c>
      <c r="F509">
        <v>393</v>
      </c>
      <c r="G509">
        <v>407</v>
      </c>
      <c r="H509" s="1">
        <v>1335</v>
      </c>
      <c r="I509" s="1">
        <v>1132</v>
      </c>
      <c r="J509" s="1">
        <v>1791</v>
      </c>
      <c r="K509" s="1">
        <v>1247</v>
      </c>
      <c r="L509">
        <v>787</v>
      </c>
      <c r="M509" s="1">
        <v>3198</v>
      </c>
      <c r="N509">
        <v>627</v>
      </c>
      <c r="O509" t="s">
        <v>1756</v>
      </c>
      <c r="P509" s="1" t="b">
        <f>NOT(OR(Table1[[#This Row],[State]]="Other Foreign Countries", Table1[[#This Row],[State]]="Unknown", Table1[[#This Row],[State]]="Puerto Rico all counties"))</f>
        <v>1</v>
      </c>
    </row>
    <row r="510" spans="1:16" x14ac:dyDescent="0.25">
      <c r="A510">
        <v>29043</v>
      </c>
      <c r="B510" t="s">
        <v>2510</v>
      </c>
      <c r="C510" t="s">
        <v>1126</v>
      </c>
      <c r="D510">
        <v>2235</v>
      </c>
      <c r="E510">
        <v>466</v>
      </c>
      <c r="F510">
        <v>240</v>
      </c>
      <c r="G510">
        <v>305</v>
      </c>
      <c r="H510">
        <v>725</v>
      </c>
      <c r="I510">
        <v>499</v>
      </c>
      <c r="J510">
        <v>681</v>
      </c>
      <c r="K510">
        <v>709</v>
      </c>
      <c r="L510">
        <v>845</v>
      </c>
      <c r="M510" s="1">
        <v>2016</v>
      </c>
      <c r="N510">
        <v>218</v>
      </c>
      <c r="O510" t="s">
        <v>2539</v>
      </c>
      <c r="P510" s="1" t="b">
        <f>NOT(OR(Table1[[#This Row],[State]]="Other Foreign Countries", Table1[[#This Row],[State]]="Unknown", Table1[[#This Row],[State]]="Puerto Rico all counties"))</f>
        <v>1</v>
      </c>
    </row>
    <row r="511" spans="1:16" x14ac:dyDescent="0.25">
      <c r="A511">
        <v>2063</v>
      </c>
      <c r="B511" t="s">
        <v>150</v>
      </c>
      <c r="C511" t="s">
        <v>161</v>
      </c>
      <c r="D511">
        <v>129</v>
      </c>
      <c r="E511">
        <v>37</v>
      </c>
      <c r="F511">
        <v>24</v>
      </c>
      <c r="G511">
        <v>10</v>
      </c>
      <c r="H511">
        <v>40</v>
      </c>
      <c r="I511">
        <v>18</v>
      </c>
      <c r="J511">
        <v>30</v>
      </c>
      <c r="K511">
        <v>59</v>
      </c>
      <c r="L511">
        <v>40</v>
      </c>
      <c r="M511">
        <v>116</v>
      </c>
      <c r="N511">
        <v>13</v>
      </c>
      <c r="O511" t="s">
        <v>162</v>
      </c>
      <c r="P511" s="1" t="b">
        <f>NOT(OR(Table1[[#This Row],[State]]="Other Foreign Countries", Table1[[#This Row],[State]]="Unknown", Table1[[#This Row],[State]]="Puerto Rico all counties"))</f>
        <v>1</v>
      </c>
    </row>
    <row r="512" spans="1:16" x14ac:dyDescent="0.25">
      <c r="A512">
        <v>32001</v>
      </c>
      <c r="B512" t="s">
        <v>326</v>
      </c>
      <c r="C512" t="s">
        <v>2892</v>
      </c>
      <c r="D512">
        <v>1694</v>
      </c>
      <c r="E512">
        <v>238</v>
      </c>
      <c r="F512">
        <v>152</v>
      </c>
      <c r="G512">
        <v>187</v>
      </c>
      <c r="H512">
        <v>570</v>
      </c>
      <c r="I512">
        <v>547</v>
      </c>
      <c r="J512">
        <v>535</v>
      </c>
      <c r="K512">
        <v>569</v>
      </c>
      <c r="L512">
        <v>590</v>
      </c>
      <c r="M512" s="1">
        <v>1485</v>
      </c>
      <c r="N512">
        <v>209</v>
      </c>
      <c r="O512" t="s">
        <v>2893</v>
      </c>
      <c r="P512" s="1" t="b">
        <f>NOT(OR(Table1[[#This Row],[State]]="Other Foreign Countries", Table1[[#This Row],[State]]="Unknown", Table1[[#This Row],[State]]="Puerto Rico all counties"))</f>
        <v>1</v>
      </c>
    </row>
    <row r="513" spans="1:16" x14ac:dyDescent="0.25">
      <c r="A513">
        <v>35006</v>
      </c>
      <c r="B513" t="s">
        <v>2971</v>
      </c>
      <c r="C513" t="s">
        <v>2978</v>
      </c>
      <c r="D513">
        <v>447</v>
      </c>
      <c r="E513">
        <v>73</v>
      </c>
      <c r="F513">
        <v>29</v>
      </c>
      <c r="G513">
        <v>62</v>
      </c>
      <c r="H513">
        <v>155</v>
      </c>
      <c r="I513">
        <v>128</v>
      </c>
      <c r="J513">
        <v>67</v>
      </c>
      <c r="K513">
        <v>134</v>
      </c>
      <c r="L513">
        <v>246</v>
      </c>
      <c r="M513">
        <v>407</v>
      </c>
      <c r="N513">
        <v>40</v>
      </c>
      <c r="O513" t="s">
        <v>2979</v>
      </c>
      <c r="P513" s="1" t="b">
        <f>NOT(OR(Table1[[#This Row],[State]]="Other Foreign Countries", Table1[[#This Row],[State]]="Unknown", Table1[[#This Row],[State]]="Puerto Rico all counties"))</f>
        <v>1</v>
      </c>
    </row>
    <row r="514" spans="1:16" x14ac:dyDescent="0.25">
      <c r="A514">
        <v>40025</v>
      </c>
      <c r="B514" t="s">
        <v>3495</v>
      </c>
      <c r="C514" t="s">
        <v>3513</v>
      </c>
      <c r="D514">
        <v>15</v>
      </c>
      <c r="O514" t="s">
        <v>3514</v>
      </c>
      <c r="P514" s="1" t="b">
        <f>NOT(OR(Table1[[#This Row],[State]]="Other Foreign Countries", Table1[[#This Row],[State]]="Unknown", Table1[[#This Row],[State]]="Puerto Rico all counties"))</f>
        <v>1</v>
      </c>
    </row>
    <row r="515" spans="1:16" x14ac:dyDescent="0.25">
      <c r="A515">
        <v>12017</v>
      </c>
      <c r="B515" t="s">
        <v>637</v>
      </c>
      <c r="C515" t="s">
        <v>653</v>
      </c>
      <c r="D515">
        <v>6667</v>
      </c>
      <c r="E515" s="1">
        <v>1362</v>
      </c>
      <c r="F515">
        <v>732</v>
      </c>
      <c r="G515">
        <v>731</v>
      </c>
      <c r="H515" s="1">
        <v>1970</v>
      </c>
      <c r="I515" s="1">
        <v>1872</v>
      </c>
      <c r="J515" s="1">
        <v>1070</v>
      </c>
      <c r="K515" s="1">
        <v>1976</v>
      </c>
      <c r="L515" s="1">
        <v>3621</v>
      </c>
      <c r="M515" s="1">
        <v>5952</v>
      </c>
      <c r="N515">
        <v>715</v>
      </c>
      <c r="O515" t="s">
        <v>654</v>
      </c>
      <c r="P515" s="1" t="b">
        <f>NOT(OR(Table1[[#This Row],[State]]="Other Foreign Countries", Table1[[#This Row],[State]]="Unknown", Table1[[#This Row],[State]]="Puerto Rico all counties"))</f>
        <v>1</v>
      </c>
    </row>
    <row r="516" spans="1:16" x14ac:dyDescent="0.25">
      <c r="A516">
        <v>41005</v>
      </c>
      <c r="B516" t="s">
        <v>2607</v>
      </c>
      <c r="C516" t="s">
        <v>3615</v>
      </c>
      <c r="D516">
        <v>7239</v>
      </c>
      <c r="E516" s="1">
        <v>1768</v>
      </c>
      <c r="F516" s="1">
        <v>1004</v>
      </c>
      <c r="G516" s="1">
        <v>1026</v>
      </c>
      <c r="H516" s="1">
        <v>2056</v>
      </c>
      <c r="I516" s="1">
        <v>1385</v>
      </c>
      <c r="J516" s="1">
        <v>2048</v>
      </c>
      <c r="K516" s="1">
        <v>2026</v>
      </c>
      <c r="L516" s="1">
        <v>3165</v>
      </c>
      <c r="M516" s="1">
        <v>6533</v>
      </c>
      <c r="N516">
        <v>702</v>
      </c>
      <c r="O516" t="s">
        <v>3616</v>
      </c>
      <c r="P516" s="1" t="b">
        <f>NOT(OR(Table1[[#This Row],[State]]="Other Foreign Countries", Table1[[#This Row],[State]]="Unknown", Table1[[#This Row],[State]]="Puerto Rico all counties"))</f>
        <v>1</v>
      </c>
    </row>
    <row r="517" spans="1:16" x14ac:dyDescent="0.25">
      <c r="A517">
        <v>22027</v>
      </c>
      <c r="B517" t="s">
        <v>1892</v>
      </c>
      <c r="C517" t="s">
        <v>1917</v>
      </c>
      <c r="D517">
        <v>264</v>
      </c>
      <c r="E517">
        <v>48</v>
      </c>
      <c r="F517">
        <v>28</v>
      </c>
      <c r="G517">
        <v>34</v>
      </c>
      <c r="H517">
        <v>87</v>
      </c>
      <c r="I517">
        <v>67</v>
      </c>
      <c r="J517">
        <v>46</v>
      </c>
      <c r="K517">
        <v>80</v>
      </c>
      <c r="L517">
        <v>138</v>
      </c>
      <c r="M517">
        <v>245</v>
      </c>
      <c r="N517">
        <v>19</v>
      </c>
      <c r="O517" t="s">
        <v>1918</v>
      </c>
      <c r="P517" s="1" t="b">
        <f>NOT(OR(Table1[[#This Row],[State]]="Other Foreign Countries", Table1[[#This Row],[State]]="Unknown", Table1[[#This Row],[State]]="Puerto Rico all counties"))</f>
        <v>1</v>
      </c>
    </row>
    <row r="518" spans="1:16" x14ac:dyDescent="0.25">
      <c r="A518">
        <v>28021</v>
      </c>
      <c r="B518" t="s">
        <v>322</v>
      </c>
      <c r="C518" t="s">
        <v>1917</v>
      </c>
      <c r="D518">
        <v>115</v>
      </c>
      <c r="E518">
        <v>16</v>
      </c>
      <c r="F518">
        <v>11</v>
      </c>
      <c r="G518">
        <v>14</v>
      </c>
      <c r="H518">
        <v>33</v>
      </c>
      <c r="I518">
        <v>41</v>
      </c>
      <c r="J518">
        <v>21</v>
      </c>
      <c r="K518">
        <v>43</v>
      </c>
      <c r="L518">
        <v>51</v>
      </c>
      <c r="M518">
        <v>102</v>
      </c>
      <c r="N518">
        <v>13</v>
      </c>
      <c r="O518" t="s">
        <v>2408</v>
      </c>
      <c r="P518" s="1" t="b">
        <f>NOT(OR(Table1[[#This Row],[State]]="Other Foreign Countries", Table1[[#This Row],[State]]="Unknown", Table1[[#This Row],[State]]="Puerto Rico all counties"))</f>
        <v>1</v>
      </c>
    </row>
    <row r="519" spans="1:16" x14ac:dyDescent="0.25">
      <c r="A519">
        <v>47025</v>
      </c>
      <c r="B519" t="s">
        <v>3951</v>
      </c>
      <c r="C519" t="s">
        <v>1917</v>
      </c>
      <c r="D519">
        <v>746</v>
      </c>
      <c r="E519">
        <v>138</v>
      </c>
      <c r="F519">
        <v>65</v>
      </c>
      <c r="G519">
        <v>73</v>
      </c>
      <c r="H519">
        <v>232</v>
      </c>
      <c r="I519">
        <v>238</v>
      </c>
      <c r="J519">
        <v>162</v>
      </c>
      <c r="K519">
        <v>236</v>
      </c>
      <c r="L519">
        <v>348</v>
      </c>
      <c r="M519">
        <v>689</v>
      </c>
      <c r="N519">
        <v>57</v>
      </c>
      <c r="O519" t="s">
        <v>3967</v>
      </c>
      <c r="P519" s="1" t="b">
        <f>NOT(OR(Table1[[#This Row],[State]]="Other Foreign Countries", Table1[[#This Row],[State]]="Unknown", Table1[[#This Row],[State]]="Puerto Rico all counties"))</f>
        <v>1</v>
      </c>
    </row>
    <row r="520" spans="1:16" x14ac:dyDescent="0.25">
      <c r="A520">
        <v>53009</v>
      </c>
      <c r="B520" t="s">
        <v>144</v>
      </c>
      <c r="C520" t="s">
        <v>4778</v>
      </c>
      <c r="D520">
        <v>2332</v>
      </c>
      <c r="E520">
        <v>611</v>
      </c>
      <c r="F520">
        <v>296</v>
      </c>
      <c r="G520">
        <v>295</v>
      </c>
      <c r="H520">
        <v>615</v>
      </c>
      <c r="I520">
        <v>515</v>
      </c>
      <c r="J520">
        <v>368</v>
      </c>
      <c r="K520">
        <v>629</v>
      </c>
      <c r="L520" s="1">
        <v>1335</v>
      </c>
      <c r="M520" s="1">
        <v>2079</v>
      </c>
      <c r="N520">
        <v>253</v>
      </c>
      <c r="O520" t="s">
        <v>4779</v>
      </c>
      <c r="P520" s="1" t="b">
        <f>NOT(OR(Table1[[#This Row],[State]]="Other Foreign Countries", Table1[[#This Row],[State]]="Unknown", Table1[[#This Row],[State]]="Puerto Rico all counties"))</f>
        <v>1</v>
      </c>
    </row>
    <row r="521" spans="1:16" x14ac:dyDescent="0.25">
      <c r="A521">
        <v>26035</v>
      </c>
      <c r="B521" t="s">
        <v>2099</v>
      </c>
      <c r="C521" t="s">
        <v>2130</v>
      </c>
      <c r="D521">
        <v>887</v>
      </c>
      <c r="E521">
        <v>241</v>
      </c>
      <c r="F521">
        <v>98</v>
      </c>
      <c r="G521">
        <v>92</v>
      </c>
      <c r="H521">
        <v>250</v>
      </c>
      <c r="I521">
        <v>206</v>
      </c>
      <c r="J521">
        <v>148</v>
      </c>
      <c r="K521">
        <v>238</v>
      </c>
      <c r="L521">
        <v>501</v>
      </c>
      <c r="M521">
        <v>809</v>
      </c>
      <c r="N521">
        <v>78</v>
      </c>
      <c r="O521" t="s">
        <v>2131</v>
      </c>
      <c r="P521" s="1" t="b">
        <f>NOT(OR(Table1[[#This Row],[State]]="Other Foreign Countries", Table1[[#This Row],[State]]="Unknown", Table1[[#This Row],[State]]="Puerto Rico all counties"))</f>
        <v>1</v>
      </c>
    </row>
    <row r="522" spans="1:16" x14ac:dyDescent="0.25">
      <c r="A522">
        <v>45027</v>
      </c>
      <c r="B522" t="s">
        <v>3772</v>
      </c>
      <c r="C522" t="s">
        <v>3794</v>
      </c>
      <c r="D522">
        <v>1161</v>
      </c>
      <c r="E522">
        <v>230</v>
      </c>
      <c r="F522">
        <v>110</v>
      </c>
      <c r="G522">
        <v>148</v>
      </c>
      <c r="H522">
        <v>352</v>
      </c>
      <c r="I522">
        <v>321</v>
      </c>
      <c r="J522">
        <v>147</v>
      </c>
      <c r="K522">
        <v>354</v>
      </c>
      <c r="L522">
        <v>660</v>
      </c>
      <c r="M522" s="1">
        <v>1047</v>
      </c>
      <c r="N522">
        <v>114</v>
      </c>
      <c r="O522" t="s">
        <v>3795</v>
      </c>
      <c r="P522" s="1" t="b">
        <f>NOT(OR(Table1[[#This Row],[State]]="Other Foreign Countries", Table1[[#This Row],[State]]="Unknown", Table1[[#This Row],[State]]="Puerto Rico all counties"))</f>
        <v>1</v>
      </c>
    </row>
    <row r="523" spans="1:16" x14ac:dyDescent="0.25">
      <c r="A523">
        <v>42031</v>
      </c>
      <c r="B523" t="s">
        <v>3665</v>
      </c>
      <c r="C523" t="s">
        <v>3690</v>
      </c>
      <c r="D523">
        <v>633</v>
      </c>
      <c r="E523">
        <v>145</v>
      </c>
      <c r="F523">
        <v>78</v>
      </c>
      <c r="G523">
        <v>85</v>
      </c>
      <c r="H523">
        <v>188</v>
      </c>
      <c r="I523">
        <v>137</v>
      </c>
      <c r="J523">
        <v>153</v>
      </c>
      <c r="K523">
        <v>202</v>
      </c>
      <c r="L523">
        <v>278</v>
      </c>
      <c r="M523">
        <v>590</v>
      </c>
      <c r="N523">
        <v>42</v>
      </c>
      <c r="O523" t="s">
        <v>3691</v>
      </c>
      <c r="P523" s="1" t="b">
        <f>NOT(OR(Table1[[#This Row],[State]]="Other Foreign Countries", Table1[[#This Row],[State]]="Unknown", Table1[[#This Row],[State]]="Puerto Rico all counties"))</f>
        <v>1</v>
      </c>
    </row>
    <row r="524" spans="1:16" x14ac:dyDescent="0.25">
      <c r="A524">
        <v>5019</v>
      </c>
      <c r="B524" t="s">
        <v>242</v>
      </c>
      <c r="C524" t="s">
        <v>259</v>
      </c>
      <c r="D524">
        <v>366</v>
      </c>
      <c r="E524">
        <v>63</v>
      </c>
      <c r="F524">
        <v>39</v>
      </c>
      <c r="G524">
        <v>44</v>
      </c>
      <c r="H524">
        <v>119</v>
      </c>
      <c r="I524">
        <v>101</v>
      </c>
      <c r="J524">
        <v>80</v>
      </c>
      <c r="K524">
        <v>105</v>
      </c>
      <c r="L524">
        <v>181</v>
      </c>
      <c r="M524">
        <v>337</v>
      </c>
      <c r="N524">
        <v>29</v>
      </c>
      <c r="O524" t="s">
        <v>260</v>
      </c>
      <c r="P524" s="1" t="b">
        <f>NOT(OR(Table1[[#This Row],[State]]="Other Foreign Countries", Table1[[#This Row],[State]]="Unknown", Table1[[#This Row],[State]]="Puerto Rico all counties"))</f>
        <v>1</v>
      </c>
    </row>
    <row r="525" spans="1:16" x14ac:dyDescent="0.25">
      <c r="A525">
        <v>16033</v>
      </c>
      <c r="B525" t="s">
        <v>1032</v>
      </c>
      <c r="C525" t="s">
        <v>259</v>
      </c>
      <c r="O525" t="s">
        <v>1063</v>
      </c>
      <c r="P525" s="1" t="b">
        <f>NOT(OR(Table1[[#This Row],[State]]="Other Foreign Countries", Table1[[#This Row],[State]]="Unknown", Table1[[#This Row],[State]]="Puerto Rico all counties"))</f>
        <v>1</v>
      </c>
    </row>
    <row r="526" spans="1:16" x14ac:dyDescent="0.25">
      <c r="A526">
        <v>17023</v>
      </c>
      <c r="B526" t="s">
        <v>1109</v>
      </c>
      <c r="C526" t="s">
        <v>259</v>
      </c>
      <c r="D526">
        <v>278</v>
      </c>
      <c r="E526">
        <v>45</v>
      </c>
      <c r="F526">
        <v>39</v>
      </c>
      <c r="G526">
        <v>34</v>
      </c>
      <c r="H526">
        <v>93</v>
      </c>
      <c r="I526">
        <v>67</v>
      </c>
      <c r="J526">
        <v>74</v>
      </c>
      <c r="K526">
        <v>81</v>
      </c>
      <c r="L526">
        <v>123</v>
      </c>
      <c r="M526">
        <v>252</v>
      </c>
      <c r="N526">
        <v>26</v>
      </c>
      <c r="O526" t="s">
        <v>1128</v>
      </c>
      <c r="P526" s="1" t="b">
        <f>NOT(OR(Table1[[#This Row],[State]]="Other Foreign Countries", Table1[[#This Row],[State]]="Unknown", Table1[[#This Row],[State]]="Puerto Rico all counties"))</f>
        <v>1</v>
      </c>
    </row>
    <row r="527" spans="1:16" x14ac:dyDescent="0.25">
      <c r="A527">
        <v>18019</v>
      </c>
      <c r="B527" t="s">
        <v>1266</v>
      </c>
      <c r="C527" t="s">
        <v>259</v>
      </c>
      <c r="D527">
        <v>2978</v>
      </c>
      <c r="E527">
        <v>876</v>
      </c>
      <c r="F527">
        <v>325</v>
      </c>
      <c r="G527">
        <v>324</v>
      </c>
      <c r="H527">
        <v>821</v>
      </c>
      <c r="I527">
        <v>632</v>
      </c>
      <c r="J527">
        <v>753</v>
      </c>
      <c r="K527" s="1">
        <v>1094</v>
      </c>
      <c r="L527" s="1">
        <v>1131</v>
      </c>
      <c r="M527" s="1">
        <v>2652</v>
      </c>
      <c r="N527">
        <v>326</v>
      </c>
      <c r="O527" t="s">
        <v>1279</v>
      </c>
      <c r="P527" s="1" t="b">
        <f>NOT(OR(Table1[[#This Row],[State]]="Other Foreign Countries", Table1[[#This Row],[State]]="Unknown", Table1[[#This Row],[State]]="Puerto Rico all counties"))</f>
        <v>1</v>
      </c>
    </row>
    <row r="528" spans="1:16" x14ac:dyDescent="0.25">
      <c r="A528">
        <v>20025</v>
      </c>
      <c r="B528" t="s">
        <v>1543</v>
      </c>
      <c r="C528" t="s">
        <v>259</v>
      </c>
      <c r="D528">
        <v>28</v>
      </c>
      <c r="L528">
        <v>14</v>
      </c>
      <c r="O528" t="s">
        <v>1563</v>
      </c>
      <c r="P528" s="1" t="b">
        <f>NOT(OR(Table1[[#This Row],[State]]="Other Foreign Countries", Table1[[#This Row],[State]]="Unknown", Table1[[#This Row],[State]]="Puerto Rico all counties"))</f>
        <v>1</v>
      </c>
    </row>
    <row r="529" spans="1:16" x14ac:dyDescent="0.25">
      <c r="A529">
        <v>21049</v>
      </c>
      <c r="B529" t="s">
        <v>1716</v>
      </c>
      <c r="C529" t="s">
        <v>259</v>
      </c>
      <c r="D529">
        <v>732</v>
      </c>
      <c r="E529">
        <v>152</v>
      </c>
      <c r="F529">
        <v>87</v>
      </c>
      <c r="G529">
        <v>98</v>
      </c>
      <c r="H529">
        <v>238</v>
      </c>
      <c r="I529">
        <v>157</v>
      </c>
      <c r="J529">
        <v>203</v>
      </c>
      <c r="K529">
        <v>237</v>
      </c>
      <c r="L529">
        <v>292</v>
      </c>
      <c r="M529">
        <v>642</v>
      </c>
      <c r="N529">
        <v>90</v>
      </c>
      <c r="O529" t="s">
        <v>1757</v>
      </c>
      <c r="P529" s="1" t="b">
        <f>NOT(OR(Table1[[#This Row],[State]]="Other Foreign Countries", Table1[[#This Row],[State]]="Unknown", Table1[[#This Row],[State]]="Puerto Rico all counties"))</f>
        <v>1</v>
      </c>
    </row>
    <row r="530" spans="1:16" x14ac:dyDescent="0.25">
      <c r="A530">
        <v>29045</v>
      </c>
      <c r="B530" t="s">
        <v>2510</v>
      </c>
      <c r="C530" t="s">
        <v>259</v>
      </c>
      <c r="D530">
        <v>117</v>
      </c>
      <c r="E530">
        <v>28</v>
      </c>
      <c r="F530">
        <v>10</v>
      </c>
      <c r="G530">
        <v>17</v>
      </c>
      <c r="H530">
        <v>34</v>
      </c>
      <c r="I530">
        <v>28</v>
      </c>
      <c r="J530">
        <v>22</v>
      </c>
      <c r="K530">
        <v>35</v>
      </c>
      <c r="L530">
        <v>60</v>
      </c>
      <c r="O530" t="s">
        <v>2540</v>
      </c>
      <c r="P530" s="1" t="b">
        <f>NOT(OR(Table1[[#This Row],[State]]="Other Foreign Countries", Table1[[#This Row],[State]]="Unknown", Table1[[#This Row],[State]]="Puerto Rico all counties"))</f>
        <v>1</v>
      </c>
    </row>
    <row r="531" spans="1:16" x14ac:dyDescent="0.25">
      <c r="A531">
        <v>32003</v>
      </c>
      <c r="B531" t="s">
        <v>326</v>
      </c>
      <c r="C531" t="s">
        <v>259</v>
      </c>
      <c r="D531">
        <v>58508</v>
      </c>
      <c r="E531" s="1">
        <v>8428</v>
      </c>
      <c r="F531" s="1">
        <v>4806</v>
      </c>
      <c r="G531" s="1">
        <v>5818</v>
      </c>
      <c r="H531" s="1">
        <v>17980</v>
      </c>
      <c r="I531" s="1">
        <v>21476</v>
      </c>
      <c r="J531" s="1">
        <v>18308</v>
      </c>
      <c r="K531" s="1">
        <v>20149</v>
      </c>
      <c r="L531" s="1">
        <v>20051</v>
      </c>
      <c r="M531" s="1">
        <v>50400</v>
      </c>
      <c r="N531" s="1">
        <v>8107</v>
      </c>
      <c r="O531" t="s">
        <v>2894</v>
      </c>
      <c r="P531" s="1" t="b">
        <f>NOT(OR(Table1[[#This Row],[State]]="Other Foreign Countries", Table1[[#This Row],[State]]="Unknown", Table1[[#This Row],[State]]="Puerto Rico all counties"))</f>
        <v>1</v>
      </c>
    </row>
    <row r="532" spans="1:16" x14ac:dyDescent="0.25">
      <c r="A532">
        <v>39023</v>
      </c>
      <c r="B532" t="s">
        <v>1343</v>
      </c>
      <c r="C532" t="s">
        <v>259</v>
      </c>
      <c r="D532">
        <v>3076</v>
      </c>
      <c r="E532">
        <v>675</v>
      </c>
      <c r="F532">
        <v>423</v>
      </c>
      <c r="G532">
        <v>428</v>
      </c>
      <c r="H532">
        <v>930</v>
      </c>
      <c r="I532">
        <v>620</v>
      </c>
      <c r="J532">
        <v>735</v>
      </c>
      <c r="K532">
        <v>978</v>
      </c>
      <c r="L532" s="1">
        <v>1363</v>
      </c>
      <c r="M532" s="1">
        <v>2722</v>
      </c>
      <c r="N532">
        <v>353</v>
      </c>
      <c r="O532" t="s">
        <v>3387</v>
      </c>
      <c r="P532" s="1" t="b">
        <f>NOT(OR(Table1[[#This Row],[State]]="Other Foreign Countries", Table1[[#This Row],[State]]="Unknown", Table1[[#This Row],[State]]="Puerto Rico all counties"))</f>
        <v>1</v>
      </c>
    </row>
    <row r="533" spans="1:16" x14ac:dyDescent="0.25">
      <c r="A533">
        <v>46025</v>
      </c>
      <c r="B533" t="s">
        <v>3846</v>
      </c>
      <c r="C533" t="s">
        <v>259</v>
      </c>
      <c r="D533">
        <v>65</v>
      </c>
      <c r="E533">
        <v>17</v>
      </c>
      <c r="H533">
        <v>15</v>
      </c>
      <c r="I533">
        <v>12</v>
      </c>
      <c r="J533">
        <v>12</v>
      </c>
      <c r="K533">
        <v>14</v>
      </c>
      <c r="L533">
        <v>39</v>
      </c>
      <c r="O533" t="s">
        <v>3865</v>
      </c>
      <c r="P533" s="1" t="b">
        <f>NOT(OR(Table1[[#This Row],[State]]="Other Foreign Countries", Table1[[#This Row],[State]]="Unknown", Table1[[#This Row],[State]]="Puerto Rico all counties"))</f>
        <v>1</v>
      </c>
    </row>
    <row r="534" spans="1:16" x14ac:dyDescent="0.25">
      <c r="A534">
        <v>53011</v>
      </c>
      <c r="B534" t="s">
        <v>144</v>
      </c>
      <c r="C534" t="s">
        <v>259</v>
      </c>
      <c r="D534">
        <v>10476</v>
      </c>
      <c r="E534" s="1">
        <v>2377</v>
      </c>
      <c r="F534" s="1">
        <v>1416</v>
      </c>
      <c r="G534" s="1">
        <v>1441</v>
      </c>
      <c r="H534" s="1">
        <v>3085</v>
      </c>
      <c r="I534" s="1">
        <v>2157</v>
      </c>
      <c r="J534" s="1">
        <v>3212</v>
      </c>
      <c r="K534" s="1">
        <v>3439</v>
      </c>
      <c r="L534" s="1">
        <v>3825</v>
      </c>
      <c r="M534" s="1">
        <v>9183</v>
      </c>
      <c r="N534" s="1">
        <v>1293</v>
      </c>
      <c r="O534" t="s">
        <v>4780</v>
      </c>
      <c r="P534" s="1" t="b">
        <f>NOT(OR(Table1[[#This Row],[State]]="Other Foreign Countries", Table1[[#This Row],[State]]="Unknown", Table1[[#This Row],[State]]="Puerto Rico all counties"))</f>
        <v>1</v>
      </c>
    </row>
    <row r="535" spans="1:16" x14ac:dyDescent="0.25">
      <c r="A535">
        <v>55019</v>
      </c>
      <c r="B535" t="s">
        <v>4906</v>
      </c>
      <c r="C535" t="s">
        <v>259</v>
      </c>
      <c r="D535">
        <v>542</v>
      </c>
      <c r="E535">
        <v>175</v>
      </c>
      <c r="F535">
        <v>79</v>
      </c>
      <c r="G535">
        <v>63</v>
      </c>
      <c r="H535">
        <v>122</v>
      </c>
      <c r="I535">
        <v>103</v>
      </c>
      <c r="J535">
        <v>96</v>
      </c>
      <c r="K535">
        <v>128</v>
      </c>
      <c r="L535">
        <v>318</v>
      </c>
      <c r="M535">
        <v>499</v>
      </c>
      <c r="N535">
        <v>43</v>
      </c>
      <c r="O535" t="s">
        <v>4920</v>
      </c>
      <c r="P535" s="1" t="b">
        <f>NOT(OR(Table1[[#This Row],[State]]="Other Foreign Countries", Table1[[#This Row],[State]]="Unknown", Table1[[#This Row],[State]]="Puerto Rico all counties"))</f>
        <v>1</v>
      </c>
    </row>
    <row r="536" spans="1:16" x14ac:dyDescent="0.25">
      <c r="A536">
        <v>1025</v>
      </c>
      <c r="B536" t="s">
        <v>15</v>
      </c>
      <c r="C536" t="s">
        <v>40</v>
      </c>
      <c r="D536">
        <v>557</v>
      </c>
      <c r="E536">
        <v>116</v>
      </c>
      <c r="F536">
        <v>55</v>
      </c>
      <c r="G536">
        <v>53</v>
      </c>
      <c r="H536">
        <v>180</v>
      </c>
      <c r="I536">
        <v>153</v>
      </c>
      <c r="J536">
        <v>80</v>
      </c>
      <c r="K536">
        <v>228</v>
      </c>
      <c r="L536">
        <v>249</v>
      </c>
      <c r="M536">
        <v>489</v>
      </c>
      <c r="N536">
        <v>68</v>
      </c>
      <c r="O536" t="s">
        <v>41</v>
      </c>
      <c r="P536" s="1" t="b">
        <f>NOT(OR(Table1[[#This Row],[State]]="Other Foreign Countries", Table1[[#This Row],[State]]="Unknown", Table1[[#This Row],[State]]="Puerto Rico all counties"))</f>
        <v>1</v>
      </c>
    </row>
    <row r="537" spans="1:16" x14ac:dyDescent="0.25">
      <c r="A537">
        <v>13059</v>
      </c>
      <c r="B537" t="s">
        <v>754</v>
      </c>
      <c r="C537" t="s">
        <v>40</v>
      </c>
      <c r="D537">
        <v>1308</v>
      </c>
      <c r="E537">
        <v>277</v>
      </c>
      <c r="F537">
        <v>152</v>
      </c>
      <c r="G537">
        <v>156</v>
      </c>
      <c r="H537">
        <v>392</v>
      </c>
      <c r="I537">
        <v>331</v>
      </c>
      <c r="J537">
        <v>369</v>
      </c>
      <c r="K537">
        <v>389</v>
      </c>
      <c r="L537">
        <v>550</v>
      </c>
      <c r="M537" s="1">
        <v>1129</v>
      </c>
      <c r="N537">
        <v>178</v>
      </c>
      <c r="O537" t="s">
        <v>805</v>
      </c>
      <c r="P537" s="1" t="b">
        <f>NOT(OR(Table1[[#This Row],[State]]="Other Foreign Countries", Table1[[#This Row],[State]]="Unknown", Table1[[#This Row],[State]]="Puerto Rico all counties"))</f>
        <v>1</v>
      </c>
    </row>
    <row r="538" spans="1:16" x14ac:dyDescent="0.25">
      <c r="A538">
        <v>19039</v>
      </c>
      <c r="B538" t="s">
        <v>1399</v>
      </c>
      <c r="C538" t="s">
        <v>40</v>
      </c>
      <c r="D538">
        <v>214</v>
      </c>
      <c r="E538">
        <v>63</v>
      </c>
      <c r="F538">
        <v>26</v>
      </c>
      <c r="G538">
        <v>30</v>
      </c>
      <c r="H538">
        <v>54</v>
      </c>
      <c r="I538">
        <v>41</v>
      </c>
      <c r="J538">
        <v>44</v>
      </c>
      <c r="K538">
        <v>55</v>
      </c>
      <c r="L538">
        <v>115</v>
      </c>
      <c r="M538">
        <v>203</v>
      </c>
      <c r="N538">
        <v>11</v>
      </c>
      <c r="O538" t="s">
        <v>1430</v>
      </c>
      <c r="P538" s="1" t="b">
        <f>NOT(OR(Table1[[#This Row],[State]]="Other Foreign Countries", Table1[[#This Row],[State]]="Unknown", Table1[[#This Row],[State]]="Puerto Rico all counties"))</f>
        <v>1</v>
      </c>
    </row>
    <row r="539" spans="1:16" x14ac:dyDescent="0.25">
      <c r="A539">
        <v>28023</v>
      </c>
      <c r="B539" t="s">
        <v>322</v>
      </c>
      <c r="C539" t="s">
        <v>40</v>
      </c>
      <c r="D539">
        <v>322</v>
      </c>
      <c r="E539">
        <v>52</v>
      </c>
      <c r="F539">
        <v>29</v>
      </c>
      <c r="G539">
        <v>29</v>
      </c>
      <c r="H539">
        <v>105</v>
      </c>
      <c r="I539">
        <v>107</v>
      </c>
      <c r="J539">
        <v>72</v>
      </c>
      <c r="K539">
        <v>100</v>
      </c>
      <c r="L539">
        <v>150</v>
      </c>
      <c r="M539">
        <v>297</v>
      </c>
      <c r="N539">
        <v>25</v>
      </c>
      <c r="O539" t="s">
        <v>2409</v>
      </c>
      <c r="P539" s="1" t="b">
        <f>NOT(OR(Table1[[#This Row],[State]]="Other Foreign Countries", Table1[[#This Row],[State]]="Unknown", Table1[[#This Row],[State]]="Puerto Rico all counties"))</f>
        <v>1</v>
      </c>
    </row>
    <row r="540" spans="1:16" x14ac:dyDescent="0.25">
      <c r="A540">
        <v>51043</v>
      </c>
      <c r="B540" t="s">
        <v>4555</v>
      </c>
      <c r="C540" t="s">
        <v>40</v>
      </c>
      <c r="D540">
        <v>352</v>
      </c>
      <c r="E540">
        <v>64</v>
      </c>
      <c r="F540">
        <v>43</v>
      </c>
      <c r="G540">
        <v>45</v>
      </c>
      <c r="H540">
        <v>100</v>
      </c>
      <c r="I540">
        <v>100</v>
      </c>
      <c r="J540">
        <v>101</v>
      </c>
      <c r="K540">
        <v>131</v>
      </c>
      <c r="L540">
        <v>120</v>
      </c>
      <c r="M540">
        <v>319</v>
      </c>
      <c r="N540">
        <v>33</v>
      </c>
      <c r="O540" t="s">
        <v>4588</v>
      </c>
      <c r="P540" s="1" t="b">
        <f>NOT(OR(Table1[[#This Row],[State]]="Other Foreign Countries", Table1[[#This Row],[State]]="Unknown", Table1[[#This Row],[State]]="Puerto Rico all counties"))</f>
        <v>1</v>
      </c>
    </row>
    <row r="541" spans="1:16" x14ac:dyDescent="0.25">
      <c r="A541">
        <v>41007</v>
      </c>
      <c r="B541" t="s">
        <v>2607</v>
      </c>
      <c r="C541" t="s">
        <v>3617</v>
      </c>
      <c r="D541">
        <v>1165</v>
      </c>
      <c r="E541">
        <v>281</v>
      </c>
      <c r="F541">
        <v>152</v>
      </c>
      <c r="G541">
        <v>165</v>
      </c>
      <c r="H541">
        <v>319</v>
      </c>
      <c r="I541">
        <v>248</v>
      </c>
      <c r="J541">
        <v>234</v>
      </c>
      <c r="K541">
        <v>351</v>
      </c>
      <c r="L541">
        <v>580</v>
      </c>
      <c r="M541" s="1">
        <v>1047</v>
      </c>
      <c r="N541">
        <v>118</v>
      </c>
      <c r="O541" t="s">
        <v>3618</v>
      </c>
      <c r="P541" s="1" t="b">
        <f>NOT(OR(Table1[[#This Row],[State]]="Other Foreign Countries", Table1[[#This Row],[State]]="Unknown", Table1[[#This Row],[State]]="Puerto Rico all counties"))</f>
        <v>1</v>
      </c>
    </row>
    <row r="542" spans="1:16" x14ac:dyDescent="0.25">
      <c r="A542">
        <v>1027</v>
      </c>
      <c r="B542" t="s">
        <v>15</v>
      </c>
      <c r="C542" t="s">
        <v>42</v>
      </c>
      <c r="D542">
        <v>303</v>
      </c>
      <c r="E542">
        <v>48</v>
      </c>
      <c r="F542">
        <v>27</v>
      </c>
      <c r="G542">
        <v>40</v>
      </c>
      <c r="H542">
        <v>105</v>
      </c>
      <c r="I542">
        <v>83</v>
      </c>
      <c r="J542">
        <v>61</v>
      </c>
      <c r="K542">
        <v>103</v>
      </c>
      <c r="L542">
        <v>139</v>
      </c>
      <c r="M542">
        <v>287</v>
      </c>
      <c r="N542">
        <v>16</v>
      </c>
      <c r="O542" t="s">
        <v>43</v>
      </c>
      <c r="P542" s="1" t="b">
        <f>NOT(OR(Table1[[#This Row],[State]]="Other Foreign Countries", Table1[[#This Row],[State]]="Unknown", Table1[[#This Row],[State]]="Puerto Rico all counties"))</f>
        <v>1</v>
      </c>
    </row>
    <row r="543" spans="1:16" x14ac:dyDescent="0.25">
      <c r="A543">
        <v>5021</v>
      </c>
      <c r="B543" t="s">
        <v>242</v>
      </c>
      <c r="C543" t="s">
        <v>42</v>
      </c>
      <c r="D543">
        <v>283</v>
      </c>
      <c r="E543">
        <v>53</v>
      </c>
      <c r="F543">
        <v>37</v>
      </c>
      <c r="G543">
        <v>36</v>
      </c>
      <c r="H543">
        <v>82</v>
      </c>
      <c r="I543">
        <v>75</v>
      </c>
      <c r="J543">
        <v>52</v>
      </c>
      <c r="K543">
        <v>91</v>
      </c>
      <c r="L543">
        <v>140</v>
      </c>
      <c r="M543">
        <v>267</v>
      </c>
      <c r="N543">
        <v>16</v>
      </c>
      <c r="O543" t="s">
        <v>261</v>
      </c>
      <c r="P543" s="1" t="b">
        <f>NOT(OR(Table1[[#This Row],[State]]="Other Foreign Countries", Table1[[#This Row],[State]]="Unknown", Table1[[#This Row],[State]]="Puerto Rico all counties"))</f>
        <v>1</v>
      </c>
    </row>
    <row r="544" spans="1:16" x14ac:dyDescent="0.25">
      <c r="A544">
        <v>12019</v>
      </c>
      <c r="B544" t="s">
        <v>637</v>
      </c>
      <c r="C544" t="s">
        <v>42</v>
      </c>
      <c r="D544">
        <v>15187</v>
      </c>
      <c r="E544" s="1">
        <v>2321</v>
      </c>
      <c r="F544" s="1">
        <v>1351</v>
      </c>
      <c r="G544" s="1">
        <v>1593</v>
      </c>
      <c r="H544" s="1">
        <v>4165</v>
      </c>
      <c r="I544" s="1">
        <v>5757</v>
      </c>
      <c r="J544" s="1">
        <v>3754</v>
      </c>
      <c r="K544" s="1">
        <v>6801</v>
      </c>
      <c r="L544" s="1">
        <v>4632</v>
      </c>
      <c r="M544" s="1">
        <v>12637</v>
      </c>
      <c r="N544" s="1">
        <v>2550</v>
      </c>
      <c r="O544" t="s">
        <v>655</v>
      </c>
      <c r="P544" s="1" t="b">
        <f>NOT(OR(Table1[[#This Row],[State]]="Other Foreign Countries", Table1[[#This Row],[State]]="Unknown", Table1[[#This Row],[State]]="Puerto Rico all counties"))</f>
        <v>1</v>
      </c>
    </row>
    <row r="545" spans="1:16" x14ac:dyDescent="0.25">
      <c r="A545">
        <v>13061</v>
      </c>
      <c r="B545" t="s">
        <v>754</v>
      </c>
      <c r="C545" t="s">
        <v>42</v>
      </c>
      <c r="D545">
        <v>80</v>
      </c>
      <c r="E545">
        <v>16</v>
      </c>
      <c r="H545">
        <v>30</v>
      </c>
      <c r="I545">
        <v>15</v>
      </c>
      <c r="J545">
        <v>14</v>
      </c>
      <c r="K545">
        <v>21</v>
      </c>
      <c r="L545">
        <v>45</v>
      </c>
      <c r="O545" t="s">
        <v>806</v>
      </c>
      <c r="P545" s="1" t="b">
        <f>NOT(OR(Table1[[#This Row],[State]]="Other Foreign Countries", Table1[[#This Row],[State]]="Unknown", Table1[[#This Row],[State]]="Puerto Rico all counties"))</f>
        <v>1</v>
      </c>
    </row>
    <row r="546" spans="1:16" x14ac:dyDescent="0.25">
      <c r="A546">
        <v>17025</v>
      </c>
      <c r="B546" t="s">
        <v>1109</v>
      </c>
      <c r="C546" t="s">
        <v>42</v>
      </c>
      <c r="D546">
        <v>216</v>
      </c>
      <c r="E546">
        <v>39</v>
      </c>
      <c r="F546">
        <v>27</v>
      </c>
      <c r="G546">
        <v>26</v>
      </c>
      <c r="H546">
        <v>82</v>
      </c>
      <c r="I546">
        <v>42</v>
      </c>
      <c r="J546">
        <v>49</v>
      </c>
      <c r="K546">
        <v>64</v>
      </c>
      <c r="L546">
        <v>103</v>
      </c>
      <c r="M546">
        <v>204</v>
      </c>
      <c r="N546">
        <v>12</v>
      </c>
      <c r="O546" t="s">
        <v>1129</v>
      </c>
      <c r="P546" s="1" t="b">
        <f>NOT(OR(Table1[[#This Row],[State]]="Other Foreign Countries", Table1[[#This Row],[State]]="Unknown", Table1[[#This Row],[State]]="Puerto Rico all counties"))</f>
        <v>1</v>
      </c>
    </row>
    <row r="547" spans="1:16" x14ac:dyDescent="0.25">
      <c r="A547">
        <v>18021</v>
      </c>
      <c r="B547" t="s">
        <v>1266</v>
      </c>
      <c r="C547" t="s">
        <v>42</v>
      </c>
      <c r="D547">
        <v>572</v>
      </c>
      <c r="E547">
        <v>130</v>
      </c>
      <c r="F547">
        <v>73</v>
      </c>
      <c r="G547">
        <v>88</v>
      </c>
      <c r="H547">
        <v>165</v>
      </c>
      <c r="I547">
        <v>116</v>
      </c>
      <c r="J547">
        <v>128</v>
      </c>
      <c r="K547">
        <v>217</v>
      </c>
      <c r="L547">
        <v>227</v>
      </c>
      <c r="M547">
        <v>518</v>
      </c>
      <c r="N547">
        <v>54</v>
      </c>
      <c r="O547" t="s">
        <v>1280</v>
      </c>
      <c r="P547" s="1" t="b">
        <f>NOT(OR(Table1[[#This Row],[State]]="Other Foreign Countries", Table1[[#This Row],[State]]="Unknown", Table1[[#This Row],[State]]="Puerto Rico all counties"))</f>
        <v>1</v>
      </c>
    </row>
    <row r="548" spans="1:16" x14ac:dyDescent="0.25">
      <c r="A548">
        <v>19041</v>
      </c>
      <c r="B548" t="s">
        <v>1399</v>
      </c>
      <c r="C548" t="s">
        <v>42</v>
      </c>
      <c r="D548">
        <v>253</v>
      </c>
      <c r="E548">
        <v>82</v>
      </c>
      <c r="F548">
        <v>39</v>
      </c>
      <c r="G548">
        <v>44</v>
      </c>
      <c r="H548">
        <v>38</v>
      </c>
      <c r="I548">
        <v>50</v>
      </c>
      <c r="J548">
        <v>61</v>
      </c>
      <c r="K548">
        <v>58</v>
      </c>
      <c r="L548">
        <v>134</v>
      </c>
      <c r="M548">
        <v>236</v>
      </c>
      <c r="N548">
        <v>17</v>
      </c>
      <c r="O548" t="s">
        <v>1431</v>
      </c>
      <c r="P548" s="1" t="b">
        <f>NOT(OR(Table1[[#This Row],[State]]="Other Foreign Countries", Table1[[#This Row],[State]]="Unknown", Table1[[#This Row],[State]]="Puerto Rico all counties"))</f>
        <v>1</v>
      </c>
    </row>
    <row r="549" spans="1:16" x14ac:dyDescent="0.25">
      <c r="A549">
        <v>20027</v>
      </c>
      <c r="B549" t="s">
        <v>1543</v>
      </c>
      <c r="C549" t="s">
        <v>42</v>
      </c>
      <c r="D549">
        <v>382</v>
      </c>
      <c r="E549">
        <v>35</v>
      </c>
      <c r="F549">
        <v>40</v>
      </c>
      <c r="G549">
        <v>46</v>
      </c>
      <c r="H549">
        <v>136</v>
      </c>
      <c r="I549">
        <v>125</v>
      </c>
      <c r="J549">
        <v>97</v>
      </c>
      <c r="K549">
        <v>172</v>
      </c>
      <c r="L549">
        <v>113</v>
      </c>
      <c r="M549">
        <v>336</v>
      </c>
      <c r="N549">
        <v>46</v>
      </c>
      <c r="O549" t="s">
        <v>1564</v>
      </c>
      <c r="P549" s="1" t="b">
        <f>NOT(OR(Table1[[#This Row],[State]]="Other Foreign Countries", Table1[[#This Row],[State]]="Unknown", Table1[[#This Row],[State]]="Puerto Rico all counties"))</f>
        <v>1</v>
      </c>
    </row>
    <row r="550" spans="1:16" x14ac:dyDescent="0.25">
      <c r="A550">
        <v>21051</v>
      </c>
      <c r="B550" t="s">
        <v>1716</v>
      </c>
      <c r="C550" t="s">
        <v>42</v>
      </c>
      <c r="D550">
        <v>218</v>
      </c>
      <c r="E550">
        <v>35</v>
      </c>
      <c r="F550">
        <v>29</v>
      </c>
      <c r="G550">
        <v>27</v>
      </c>
      <c r="H550">
        <v>74</v>
      </c>
      <c r="I550">
        <v>53</v>
      </c>
      <c r="J550">
        <v>50</v>
      </c>
      <c r="K550">
        <v>72</v>
      </c>
      <c r="L550">
        <v>96</v>
      </c>
      <c r="M550">
        <v>201</v>
      </c>
      <c r="N550">
        <v>17</v>
      </c>
      <c r="O550" t="s">
        <v>1758</v>
      </c>
      <c r="P550" s="1" t="b">
        <f>NOT(OR(Table1[[#This Row],[State]]="Other Foreign Countries", Table1[[#This Row],[State]]="Unknown", Table1[[#This Row],[State]]="Puerto Rico all counties"))</f>
        <v>1</v>
      </c>
    </row>
    <row r="551" spans="1:16" x14ac:dyDescent="0.25">
      <c r="A551">
        <v>27027</v>
      </c>
      <c r="B551" t="s">
        <v>2245</v>
      </c>
      <c r="C551" t="s">
        <v>42</v>
      </c>
      <c r="D551">
        <v>1302</v>
      </c>
      <c r="E551">
        <v>359</v>
      </c>
      <c r="F551">
        <v>123</v>
      </c>
      <c r="G551">
        <v>156</v>
      </c>
      <c r="H551">
        <v>377</v>
      </c>
      <c r="I551">
        <v>287</v>
      </c>
      <c r="J551">
        <v>326</v>
      </c>
      <c r="K551">
        <v>359</v>
      </c>
      <c r="L551">
        <v>617</v>
      </c>
      <c r="M551" s="1">
        <v>1160</v>
      </c>
      <c r="N551">
        <v>142</v>
      </c>
      <c r="O551" t="s">
        <v>2268</v>
      </c>
      <c r="P551" s="1" t="b">
        <f>NOT(OR(Table1[[#This Row],[State]]="Other Foreign Countries", Table1[[#This Row],[State]]="Unknown", Table1[[#This Row],[State]]="Puerto Rico all counties"))</f>
        <v>1</v>
      </c>
    </row>
    <row r="552" spans="1:16" x14ac:dyDescent="0.25">
      <c r="A552">
        <v>28025</v>
      </c>
      <c r="B552" t="s">
        <v>322</v>
      </c>
      <c r="C552" t="s">
        <v>42</v>
      </c>
      <c r="D552">
        <v>337</v>
      </c>
      <c r="E552">
        <v>56</v>
      </c>
      <c r="F552">
        <v>35</v>
      </c>
      <c r="G552">
        <v>36</v>
      </c>
      <c r="H552">
        <v>106</v>
      </c>
      <c r="I552">
        <v>104</v>
      </c>
      <c r="J552">
        <v>65</v>
      </c>
      <c r="K552">
        <v>126</v>
      </c>
      <c r="L552">
        <v>146</v>
      </c>
      <c r="M552">
        <v>294</v>
      </c>
      <c r="N552">
        <v>43</v>
      </c>
      <c r="O552" t="s">
        <v>2410</v>
      </c>
      <c r="P552" s="1" t="b">
        <f>NOT(OR(Table1[[#This Row],[State]]="Other Foreign Countries", Table1[[#This Row],[State]]="Unknown", Table1[[#This Row],[State]]="Puerto Rico all counties"))</f>
        <v>1</v>
      </c>
    </row>
    <row r="553" spans="1:16" x14ac:dyDescent="0.25">
      <c r="A553">
        <v>29047</v>
      </c>
      <c r="B553" t="s">
        <v>2510</v>
      </c>
      <c r="C553" t="s">
        <v>42</v>
      </c>
      <c r="D553">
        <v>4689</v>
      </c>
      <c r="E553">
        <v>915</v>
      </c>
      <c r="F553">
        <v>549</v>
      </c>
      <c r="G553">
        <v>571</v>
      </c>
      <c r="H553" s="1">
        <v>1523</v>
      </c>
      <c r="I553" s="1">
        <v>1131</v>
      </c>
      <c r="J553" s="1">
        <v>1562</v>
      </c>
      <c r="K553" s="1">
        <v>1475</v>
      </c>
      <c r="L553" s="1">
        <v>1652</v>
      </c>
      <c r="M553" s="1">
        <v>4200</v>
      </c>
      <c r="N553">
        <v>488</v>
      </c>
      <c r="O553" t="s">
        <v>2541</v>
      </c>
      <c r="P553" s="1" t="b">
        <f>NOT(OR(Table1[[#This Row],[State]]="Other Foreign Countries", Table1[[#This Row],[State]]="Unknown", Table1[[#This Row],[State]]="Puerto Rico all counties"))</f>
        <v>1</v>
      </c>
    </row>
    <row r="554" spans="1:16" x14ac:dyDescent="0.25">
      <c r="A554">
        <v>31035</v>
      </c>
      <c r="B554" t="s">
        <v>2758</v>
      </c>
      <c r="C554" t="s">
        <v>42</v>
      </c>
      <c r="D554">
        <v>182</v>
      </c>
      <c r="E554">
        <v>70</v>
      </c>
      <c r="F554">
        <v>22</v>
      </c>
      <c r="G554">
        <v>21</v>
      </c>
      <c r="H554">
        <v>41</v>
      </c>
      <c r="I554">
        <v>28</v>
      </c>
      <c r="J554">
        <v>40</v>
      </c>
      <c r="K554">
        <v>33</v>
      </c>
      <c r="L554">
        <v>109</v>
      </c>
      <c r="O554" t="s">
        <v>2783</v>
      </c>
      <c r="P554" s="1" t="b">
        <f>NOT(OR(Table1[[#This Row],[State]]="Other Foreign Countries", Table1[[#This Row],[State]]="Unknown", Table1[[#This Row],[State]]="Puerto Rico all counties"))</f>
        <v>1</v>
      </c>
    </row>
    <row r="555" spans="1:16" x14ac:dyDescent="0.25">
      <c r="A555">
        <v>37043</v>
      </c>
      <c r="B555" t="s">
        <v>3121</v>
      </c>
      <c r="C555" t="s">
        <v>42</v>
      </c>
      <c r="D555">
        <v>420</v>
      </c>
      <c r="E555">
        <v>94</v>
      </c>
      <c r="F555">
        <v>42</v>
      </c>
      <c r="G555">
        <v>49</v>
      </c>
      <c r="H555">
        <v>129</v>
      </c>
      <c r="I555">
        <v>106</v>
      </c>
      <c r="J555">
        <v>71</v>
      </c>
      <c r="K555">
        <v>100</v>
      </c>
      <c r="L555">
        <v>249</v>
      </c>
      <c r="M555">
        <v>382</v>
      </c>
      <c r="N555">
        <v>38</v>
      </c>
      <c r="O555" t="s">
        <v>3158</v>
      </c>
      <c r="P555" s="1" t="b">
        <f>NOT(OR(Table1[[#This Row],[State]]="Other Foreign Countries", Table1[[#This Row],[State]]="Unknown", Table1[[#This Row],[State]]="Puerto Rico all counties"))</f>
        <v>1</v>
      </c>
    </row>
    <row r="556" spans="1:16" x14ac:dyDescent="0.25">
      <c r="A556">
        <v>46027</v>
      </c>
      <c r="B556" t="s">
        <v>3846</v>
      </c>
      <c r="C556" t="s">
        <v>42</v>
      </c>
      <c r="D556">
        <v>247</v>
      </c>
      <c r="E556">
        <v>65</v>
      </c>
      <c r="F556">
        <v>32</v>
      </c>
      <c r="G556">
        <v>35</v>
      </c>
      <c r="H556">
        <v>73</v>
      </c>
      <c r="I556">
        <v>42</v>
      </c>
      <c r="J556">
        <v>70</v>
      </c>
      <c r="K556">
        <v>86</v>
      </c>
      <c r="L556">
        <v>91</v>
      </c>
      <c r="M556">
        <v>231</v>
      </c>
      <c r="N556">
        <v>16</v>
      </c>
      <c r="O556" t="s">
        <v>3866</v>
      </c>
      <c r="P556" s="1" t="b">
        <f>NOT(OR(Table1[[#This Row],[State]]="Other Foreign Countries", Table1[[#This Row],[State]]="Unknown", Table1[[#This Row],[State]]="Puerto Rico all counties"))</f>
        <v>1</v>
      </c>
    </row>
    <row r="557" spans="1:16" x14ac:dyDescent="0.25">
      <c r="A557">
        <v>47027</v>
      </c>
      <c r="B557" t="s">
        <v>3951</v>
      </c>
      <c r="C557" t="s">
        <v>42</v>
      </c>
      <c r="D557">
        <v>194</v>
      </c>
      <c r="E557">
        <v>42</v>
      </c>
      <c r="F557">
        <v>16</v>
      </c>
      <c r="G557">
        <v>20</v>
      </c>
      <c r="H557">
        <v>56</v>
      </c>
      <c r="I557">
        <v>60</v>
      </c>
      <c r="J557">
        <v>38</v>
      </c>
      <c r="K557">
        <v>76</v>
      </c>
      <c r="L557">
        <v>80</v>
      </c>
      <c r="M557">
        <v>178</v>
      </c>
      <c r="N557">
        <v>16</v>
      </c>
      <c r="O557" t="s">
        <v>3968</v>
      </c>
      <c r="P557" s="1" t="b">
        <f>NOT(OR(Table1[[#This Row],[State]]="Other Foreign Countries", Table1[[#This Row],[State]]="Unknown", Table1[[#This Row],[State]]="Puerto Rico all counties"))</f>
        <v>1</v>
      </c>
    </row>
    <row r="558" spans="1:16" x14ac:dyDescent="0.25">
      <c r="A558">
        <v>48077</v>
      </c>
      <c r="B558" t="s">
        <v>2654</v>
      </c>
      <c r="C558" t="s">
        <v>42</v>
      </c>
      <c r="D558">
        <v>386</v>
      </c>
      <c r="E558">
        <v>65</v>
      </c>
      <c r="F558">
        <v>35</v>
      </c>
      <c r="G558">
        <v>46</v>
      </c>
      <c r="H558">
        <v>117</v>
      </c>
      <c r="I558">
        <v>123</v>
      </c>
      <c r="J558">
        <v>89</v>
      </c>
      <c r="K558">
        <v>137</v>
      </c>
      <c r="L558">
        <v>160</v>
      </c>
      <c r="M558">
        <v>351</v>
      </c>
      <c r="N558">
        <v>35</v>
      </c>
      <c r="O558" t="s">
        <v>4138</v>
      </c>
      <c r="P558" s="1" t="b">
        <f>NOT(OR(Table1[[#This Row],[State]]="Other Foreign Countries", Table1[[#This Row],[State]]="Unknown", Table1[[#This Row],[State]]="Puerto Rico all counties"))</f>
        <v>1</v>
      </c>
    </row>
    <row r="559" spans="1:16" x14ac:dyDescent="0.25">
      <c r="A559">
        <v>54015</v>
      </c>
      <c r="B559" t="s">
        <v>4833</v>
      </c>
      <c r="C559" t="s">
        <v>42</v>
      </c>
      <c r="D559">
        <v>208</v>
      </c>
      <c r="E559">
        <v>42</v>
      </c>
      <c r="F559">
        <v>18</v>
      </c>
      <c r="G559">
        <v>21</v>
      </c>
      <c r="H559">
        <v>66</v>
      </c>
      <c r="I559">
        <v>61</v>
      </c>
      <c r="J559">
        <v>36</v>
      </c>
      <c r="K559">
        <v>76</v>
      </c>
      <c r="L559">
        <v>96</v>
      </c>
      <c r="M559">
        <v>198</v>
      </c>
      <c r="N559">
        <v>10</v>
      </c>
      <c r="O559" t="s">
        <v>4844</v>
      </c>
      <c r="P559" s="1" t="b">
        <f>NOT(OR(Table1[[#This Row],[State]]="Other Foreign Countries", Table1[[#This Row],[State]]="Unknown", Table1[[#This Row],[State]]="Puerto Rico all counties"))</f>
        <v>1</v>
      </c>
    </row>
    <row r="560" spans="1:16" x14ac:dyDescent="0.25">
      <c r="A560">
        <v>13063</v>
      </c>
      <c r="B560" t="s">
        <v>754</v>
      </c>
      <c r="C560" t="s">
        <v>807</v>
      </c>
      <c r="D560">
        <v>7518</v>
      </c>
      <c r="E560" s="1">
        <v>1190</v>
      </c>
      <c r="F560">
        <v>669</v>
      </c>
      <c r="G560">
        <v>781</v>
      </c>
      <c r="H560" s="1">
        <v>2466</v>
      </c>
      <c r="I560" s="1">
        <v>2412</v>
      </c>
      <c r="J560" s="1">
        <v>1892</v>
      </c>
      <c r="K560" s="1">
        <v>3018</v>
      </c>
      <c r="L560" s="1">
        <v>2608</v>
      </c>
      <c r="M560" s="1">
        <v>5692</v>
      </c>
      <c r="N560" s="1">
        <v>1826</v>
      </c>
      <c r="O560" t="s">
        <v>808</v>
      </c>
      <c r="P560" s="1" t="b">
        <f>NOT(OR(Table1[[#This Row],[State]]="Other Foreign Countries", Table1[[#This Row],[State]]="Unknown", Table1[[#This Row],[State]]="Puerto Rico all counties"))</f>
        <v>1</v>
      </c>
    </row>
    <row r="561" spans="1:16" x14ac:dyDescent="0.25">
      <c r="A561">
        <v>19043</v>
      </c>
      <c r="B561" t="s">
        <v>1399</v>
      </c>
      <c r="C561" t="s">
        <v>807</v>
      </c>
      <c r="D561">
        <v>322</v>
      </c>
      <c r="E561">
        <v>73</v>
      </c>
      <c r="F561">
        <v>40</v>
      </c>
      <c r="G561">
        <v>47</v>
      </c>
      <c r="H561">
        <v>91</v>
      </c>
      <c r="I561">
        <v>71</v>
      </c>
      <c r="J561">
        <v>63</v>
      </c>
      <c r="K561">
        <v>69</v>
      </c>
      <c r="L561">
        <v>190</v>
      </c>
      <c r="M561">
        <v>300</v>
      </c>
      <c r="N561">
        <v>22</v>
      </c>
      <c r="O561" t="s">
        <v>1432</v>
      </c>
      <c r="P561" s="1" t="b">
        <f>NOT(OR(Table1[[#This Row],[State]]="Other Foreign Countries", Table1[[#This Row],[State]]="Unknown", Table1[[#This Row],[State]]="Puerto Rico all counties"))</f>
        <v>1</v>
      </c>
    </row>
    <row r="562" spans="1:16" x14ac:dyDescent="0.25">
      <c r="A562">
        <v>8019</v>
      </c>
      <c r="B562" t="s">
        <v>489</v>
      </c>
      <c r="C562" t="s">
        <v>510</v>
      </c>
      <c r="D562">
        <v>160</v>
      </c>
      <c r="E562">
        <v>40</v>
      </c>
      <c r="F562">
        <v>19</v>
      </c>
      <c r="G562">
        <v>31</v>
      </c>
      <c r="H562">
        <v>36</v>
      </c>
      <c r="I562">
        <v>34</v>
      </c>
      <c r="J562">
        <v>42</v>
      </c>
      <c r="K562">
        <v>53</v>
      </c>
      <c r="L562">
        <v>65</v>
      </c>
      <c r="M562">
        <v>143</v>
      </c>
      <c r="N562">
        <v>17</v>
      </c>
      <c r="O562" t="s">
        <v>511</v>
      </c>
      <c r="P562" s="1" t="b">
        <f>NOT(OR(Table1[[#This Row],[State]]="Other Foreign Countries", Table1[[#This Row],[State]]="Unknown", Table1[[#This Row],[State]]="Puerto Rico all counties"))</f>
        <v>1</v>
      </c>
    </row>
    <row r="563" spans="1:16" x14ac:dyDescent="0.25">
      <c r="A563">
        <v>42033</v>
      </c>
      <c r="B563" t="s">
        <v>3665</v>
      </c>
      <c r="C563" t="s">
        <v>3692</v>
      </c>
      <c r="D563">
        <v>1682</v>
      </c>
      <c r="E563">
        <v>388</v>
      </c>
      <c r="F563">
        <v>224</v>
      </c>
      <c r="G563">
        <v>204</v>
      </c>
      <c r="H563">
        <v>469</v>
      </c>
      <c r="I563">
        <v>397</v>
      </c>
      <c r="J563">
        <v>361</v>
      </c>
      <c r="K563">
        <v>551</v>
      </c>
      <c r="L563">
        <v>770</v>
      </c>
      <c r="M563" s="1">
        <v>1557</v>
      </c>
      <c r="N563">
        <v>124</v>
      </c>
      <c r="O563" t="s">
        <v>3693</v>
      </c>
      <c r="P563" s="1" t="b">
        <f>NOT(OR(Table1[[#This Row],[State]]="Other Foreign Countries", Table1[[#This Row],[State]]="Unknown", Table1[[#This Row],[State]]="Puerto Rico all counties"))</f>
        <v>1</v>
      </c>
    </row>
    <row r="564" spans="1:16" x14ac:dyDescent="0.25">
      <c r="A564">
        <v>16035</v>
      </c>
      <c r="B564" t="s">
        <v>1032</v>
      </c>
      <c r="C564" t="s">
        <v>1064</v>
      </c>
      <c r="D564">
        <v>355</v>
      </c>
      <c r="E564">
        <v>94</v>
      </c>
      <c r="F564">
        <v>36</v>
      </c>
      <c r="G564">
        <v>55</v>
      </c>
      <c r="H564">
        <v>89</v>
      </c>
      <c r="I564">
        <v>81</v>
      </c>
      <c r="J564">
        <v>55</v>
      </c>
      <c r="K564">
        <v>93</v>
      </c>
      <c r="L564">
        <v>207</v>
      </c>
      <c r="M564">
        <v>335</v>
      </c>
      <c r="N564">
        <v>20</v>
      </c>
      <c r="O564" t="s">
        <v>1065</v>
      </c>
      <c r="P564" s="1" t="b">
        <f>NOT(OR(Table1[[#This Row],[State]]="Other Foreign Countries", Table1[[#This Row],[State]]="Unknown", Table1[[#This Row],[State]]="Puerto Rico all counties"))</f>
        <v>1</v>
      </c>
    </row>
    <row r="565" spans="1:16" x14ac:dyDescent="0.25">
      <c r="A565">
        <v>27029</v>
      </c>
      <c r="B565" t="s">
        <v>2245</v>
      </c>
      <c r="C565" t="s">
        <v>1064</v>
      </c>
      <c r="D565">
        <v>275</v>
      </c>
      <c r="E565">
        <v>81</v>
      </c>
      <c r="F565">
        <v>40</v>
      </c>
      <c r="G565">
        <v>34</v>
      </c>
      <c r="H565">
        <v>79</v>
      </c>
      <c r="I565">
        <v>41</v>
      </c>
      <c r="J565">
        <v>46</v>
      </c>
      <c r="K565">
        <v>57</v>
      </c>
      <c r="L565">
        <v>172</v>
      </c>
      <c r="M565">
        <v>257</v>
      </c>
      <c r="N565">
        <v>18</v>
      </c>
      <c r="O565" t="s">
        <v>2269</v>
      </c>
      <c r="P565" s="1" t="b">
        <f>NOT(OR(Table1[[#This Row],[State]]="Other Foreign Countries", Table1[[#This Row],[State]]="Unknown", Table1[[#This Row],[State]]="Puerto Rico all counties"))</f>
        <v>1</v>
      </c>
    </row>
    <row r="566" spans="1:16" x14ac:dyDescent="0.25">
      <c r="A566">
        <v>1029</v>
      </c>
      <c r="B566" t="s">
        <v>15</v>
      </c>
      <c r="C566" t="s">
        <v>44</v>
      </c>
      <c r="D566">
        <v>246</v>
      </c>
      <c r="E566">
        <v>44</v>
      </c>
      <c r="F566">
        <v>19</v>
      </c>
      <c r="G566">
        <v>35</v>
      </c>
      <c r="H566">
        <v>74</v>
      </c>
      <c r="I566">
        <v>74</v>
      </c>
      <c r="J566">
        <v>44</v>
      </c>
      <c r="K566">
        <v>74</v>
      </c>
      <c r="L566">
        <v>128</v>
      </c>
      <c r="M566">
        <v>228</v>
      </c>
      <c r="N566">
        <v>18</v>
      </c>
      <c r="O566" t="s">
        <v>45</v>
      </c>
      <c r="P566" s="1" t="b">
        <f>NOT(OR(Table1[[#This Row],[State]]="Other Foreign Countries", Table1[[#This Row],[State]]="Unknown", Table1[[#This Row],[State]]="Puerto Rico all counties"))</f>
        <v>1</v>
      </c>
    </row>
    <row r="567" spans="1:16" x14ac:dyDescent="0.25">
      <c r="A567">
        <v>5023</v>
      </c>
      <c r="B567" t="s">
        <v>242</v>
      </c>
      <c r="C567" t="s">
        <v>44</v>
      </c>
      <c r="D567">
        <v>791</v>
      </c>
      <c r="E567">
        <v>103</v>
      </c>
      <c r="F567">
        <v>87</v>
      </c>
      <c r="G567">
        <v>86</v>
      </c>
      <c r="H567">
        <v>262</v>
      </c>
      <c r="I567">
        <v>253</v>
      </c>
      <c r="J567">
        <v>132</v>
      </c>
      <c r="K567">
        <v>248</v>
      </c>
      <c r="L567">
        <v>411</v>
      </c>
      <c r="M567">
        <v>712</v>
      </c>
      <c r="N567">
        <v>79</v>
      </c>
      <c r="O567" t="s">
        <v>262</v>
      </c>
      <c r="P567" s="1" t="b">
        <f>NOT(OR(Table1[[#This Row],[State]]="Other Foreign Countries", Table1[[#This Row],[State]]="Unknown", Table1[[#This Row],[State]]="Puerto Rico all counties"))</f>
        <v>1</v>
      </c>
    </row>
    <row r="568" spans="1:16" x14ac:dyDescent="0.25">
      <c r="A568">
        <v>39025</v>
      </c>
      <c r="B568" t="s">
        <v>1343</v>
      </c>
      <c r="C568" t="s">
        <v>3388</v>
      </c>
      <c r="D568">
        <v>4098</v>
      </c>
      <c r="E568" s="1">
        <v>1154</v>
      </c>
      <c r="F568">
        <v>552</v>
      </c>
      <c r="G568">
        <v>554</v>
      </c>
      <c r="H568" s="1">
        <v>1107</v>
      </c>
      <c r="I568">
        <v>731</v>
      </c>
      <c r="J568" s="1">
        <v>1256</v>
      </c>
      <c r="K568" s="1">
        <v>1120</v>
      </c>
      <c r="L568" s="1">
        <v>1722</v>
      </c>
      <c r="M568" s="1">
        <v>3782</v>
      </c>
      <c r="N568">
        <v>315</v>
      </c>
      <c r="O568" t="s">
        <v>3389</v>
      </c>
      <c r="P568" s="1" t="b">
        <f>NOT(OR(Table1[[#This Row],[State]]="Other Foreign Countries", Table1[[#This Row],[State]]="Unknown", Table1[[#This Row],[State]]="Puerto Rico all counties"))</f>
        <v>1</v>
      </c>
    </row>
    <row r="569" spans="1:16" x14ac:dyDescent="0.25">
      <c r="A569">
        <v>5025</v>
      </c>
      <c r="B569" t="s">
        <v>242</v>
      </c>
      <c r="C569" t="s">
        <v>263</v>
      </c>
      <c r="D569">
        <v>148</v>
      </c>
      <c r="E569">
        <v>23</v>
      </c>
      <c r="F569">
        <v>16</v>
      </c>
      <c r="G569">
        <v>13</v>
      </c>
      <c r="H569">
        <v>52</v>
      </c>
      <c r="I569">
        <v>44</v>
      </c>
      <c r="J569">
        <v>26</v>
      </c>
      <c r="K569">
        <v>48</v>
      </c>
      <c r="L569">
        <v>74</v>
      </c>
      <c r="M569">
        <v>132</v>
      </c>
      <c r="N569">
        <v>16</v>
      </c>
      <c r="O569" t="s">
        <v>264</v>
      </c>
      <c r="P569" s="1" t="b">
        <f>NOT(OR(Table1[[#This Row],[State]]="Other Foreign Countries", Table1[[#This Row],[State]]="Unknown", Table1[[#This Row],[State]]="Puerto Rico all counties"))</f>
        <v>1</v>
      </c>
    </row>
    <row r="570" spans="1:16" x14ac:dyDescent="0.25">
      <c r="A570">
        <v>37045</v>
      </c>
      <c r="B570" t="s">
        <v>3121</v>
      </c>
      <c r="C570" t="s">
        <v>263</v>
      </c>
      <c r="D570">
        <v>2026</v>
      </c>
      <c r="E570">
        <v>348</v>
      </c>
      <c r="F570">
        <v>202</v>
      </c>
      <c r="G570">
        <v>247</v>
      </c>
      <c r="H570">
        <v>627</v>
      </c>
      <c r="I570">
        <v>602</v>
      </c>
      <c r="J570">
        <v>541</v>
      </c>
      <c r="K570">
        <v>553</v>
      </c>
      <c r="L570">
        <v>932</v>
      </c>
      <c r="M570" s="1">
        <v>1855</v>
      </c>
      <c r="N570">
        <v>171</v>
      </c>
      <c r="O570" t="s">
        <v>3159</v>
      </c>
      <c r="P570" s="1" t="b">
        <f>NOT(OR(Table1[[#This Row],[State]]="Other Foreign Countries", Table1[[#This Row],[State]]="Unknown", Table1[[#This Row],[State]]="Puerto Rico all counties"))</f>
        <v>1</v>
      </c>
    </row>
    <row r="571" spans="1:16" x14ac:dyDescent="0.25">
      <c r="A571">
        <v>40027</v>
      </c>
      <c r="B571" t="s">
        <v>3495</v>
      </c>
      <c r="C571" t="s">
        <v>263</v>
      </c>
      <c r="D571">
        <v>10741</v>
      </c>
      <c r="E571" s="1">
        <v>1705</v>
      </c>
      <c r="F571">
        <v>900</v>
      </c>
      <c r="G571" s="1">
        <v>1110</v>
      </c>
      <c r="H571" s="1">
        <v>3301</v>
      </c>
      <c r="I571" s="1">
        <v>3725</v>
      </c>
      <c r="J571" s="1">
        <v>3084</v>
      </c>
      <c r="K571" s="1">
        <v>4013</v>
      </c>
      <c r="L571" s="1">
        <v>3644</v>
      </c>
      <c r="M571" s="1">
        <v>9404</v>
      </c>
      <c r="N571" s="1">
        <v>1336</v>
      </c>
      <c r="O571" t="s">
        <v>3515</v>
      </c>
      <c r="P571" s="1" t="b">
        <f>NOT(OR(Table1[[#This Row],[State]]="Other Foreign Countries", Table1[[#This Row],[State]]="Unknown", Table1[[#This Row],[State]]="Puerto Rico all counties"))</f>
        <v>1</v>
      </c>
    </row>
    <row r="572" spans="1:16" x14ac:dyDescent="0.25">
      <c r="A572">
        <v>13065</v>
      </c>
      <c r="B572" t="s">
        <v>754</v>
      </c>
      <c r="C572" t="s">
        <v>809</v>
      </c>
      <c r="D572">
        <v>109</v>
      </c>
      <c r="E572">
        <v>22</v>
      </c>
      <c r="F572">
        <v>18</v>
      </c>
      <c r="G572">
        <v>12</v>
      </c>
      <c r="H572">
        <v>29</v>
      </c>
      <c r="I572">
        <v>28</v>
      </c>
      <c r="J572">
        <v>17</v>
      </c>
      <c r="K572">
        <v>41</v>
      </c>
      <c r="L572">
        <v>51</v>
      </c>
      <c r="M572">
        <v>87</v>
      </c>
      <c r="N572">
        <v>22</v>
      </c>
      <c r="O572" t="s">
        <v>810</v>
      </c>
      <c r="P572" s="1" t="b">
        <f>NOT(OR(Table1[[#This Row],[State]]="Other Foreign Countries", Table1[[#This Row],[State]]="Unknown", Table1[[#This Row],[State]]="Puerto Rico all counties"))</f>
        <v>1</v>
      </c>
    </row>
    <row r="573" spans="1:16" x14ac:dyDescent="0.25">
      <c r="A573">
        <v>17027</v>
      </c>
      <c r="B573" t="s">
        <v>1109</v>
      </c>
      <c r="C573" t="s">
        <v>1130</v>
      </c>
      <c r="D573">
        <v>846</v>
      </c>
      <c r="E573">
        <v>159</v>
      </c>
      <c r="F573">
        <v>92</v>
      </c>
      <c r="G573">
        <v>91</v>
      </c>
      <c r="H573">
        <v>268</v>
      </c>
      <c r="I573">
        <v>236</v>
      </c>
      <c r="J573">
        <v>213</v>
      </c>
      <c r="K573">
        <v>317</v>
      </c>
      <c r="L573">
        <v>316</v>
      </c>
      <c r="M573">
        <v>731</v>
      </c>
      <c r="N573">
        <v>115</v>
      </c>
      <c r="O573" t="s">
        <v>1131</v>
      </c>
      <c r="P573" s="1" t="b">
        <f>NOT(OR(Table1[[#This Row],[State]]="Other Foreign Countries", Table1[[#This Row],[State]]="Unknown", Table1[[#This Row],[State]]="Puerto Rico all counties"))</f>
        <v>1</v>
      </c>
    </row>
    <row r="574" spans="1:16" x14ac:dyDescent="0.25">
      <c r="A574">
        <v>18023</v>
      </c>
      <c r="B574" t="s">
        <v>1266</v>
      </c>
      <c r="C574" t="s">
        <v>1130</v>
      </c>
      <c r="D574">
        <v>420</v>
      </c>
      <c r="E574">
        <v>135</v>
      </c>
      <c r="F574">
        <v>53</v>
      </c>
      <c r="G574">
        <v>63</v>
      </c>
      <c r="H574">
        <v>91</v>
      </c>
      <c r="I574">
        <v>78</v>
      </c>
      <c r="J574">
        <v>125</v>
      </c>
      <c r="K574">
        <v>103</v>
      </c>
      <c r="L574">
        <v>192</v>
      </c>
      <c r="M574">
        <v>392</v>
      </c>
      <c r="N574">
        <v>28</v>
      </c>
      <c r="O574" t="s">
        <v>1281</v>
      </c>
      <c r="P574" s="1" t="b">
        <f>NOT(OR(Table1[[#This Row],[State]]="Other Foreign Countries", Table1[[#This Row],[State]]="Unknown", Table1[[#This Row],[State]]="Puerto Rico all counties"))</f>
        <v>1</v>
      </c>
    </row>
    <row r="575" spans="1:16" x14ac:dyDescent="0.25">
      <c r="A575">
        <v>19045</v>
      </c>
      <c r="B575" t="s">
        <v>1399</v>
      </c>
      <c r="C575" t="s">
        <v>1130</v>
      </c>
      <c r="D575">
        <v>728</v>
      </c>
      <c r="E575">
        <v>145</v>
      </c>
      <c r="F575">
        <v>103</v>
      </c>
      <c r="G575">
        <v>124</v>
      </c>
      <c r="H575">
        <v>209</v>
      </c>
      <c r="I575">
        <v>147</v>
      </c>
      <c r="J575">
        <v>190</v>
      </c>
      <c r="K575">
        <v>223</v>
      </c>
      <c r="L575">
        <v>315</v>
      </c>
      <c r="M575">
        <v>666</v>
      </c>
      <c r="N575">
        <v>62</v>
      </c>
      <c r="O575" t="s">
        <v>1433</v>
      </c>
      <c r="P575" s="1" t="b">
        <f>NOT(OR(Table1[[#This Row],[State]]="Other Foreign Countries", Table1[[#This Row],[State]]="Unknown", Table1[[#This Row],[State]]="Puerto Rico all counties"))</f>
        <v>1</v>
      </c>
    </row>
    <row r="576" spans="1:16" x14ac:dyDescent="0.25">
      <c r="A576">
        <v>21053</v>
      </c>
      <c r="B576" t="s">
        <v>1716</v>
      </c>
      <c r="C576" t="s">
        <v>1130</v>
      </c>
      <c r="D576">
        <v>143</v>
      </c>
      <c r="E576">
        <v>24</v>
      </c>
      <c r="F576">
        <v>21</v>
      </c>
      <c r="G576">
        <v>19</v>
      </c>
      <c r="H576">
        <v>41</v>
      </c>
      <c r="I576">
        <v>38</v>
      </c>
      <c r="J576">
        <v>25</v>
      </c>
      <c r="K576">
        <v>35</v>
      </c>
      <c r="L576">
        <v>83</v>
      </c>
      <c r="O576" t="s">
        <v>1759</v>
      </c>
      <c r="P576" s="1" t="b">
        <f>NOT(OR(Table1[[#This Row],[State]]="Other Foreign Countries", Table1[[#This Row],[State]]="Unknown", Table1[[#This Row],[State]]="Puerto Rico all counties"))</f>
        <v>1</v>
      </c>
    </row>
    <row r="577" spans="1:16" x14ac:dyDescent="0.25">
      <c r="A577">
        <v>26037</v>
      </c>
      <c r="B577" t="s">
        <v>2099</v>
      </c>
      <c r="C577" t="s">
        <v>1130</v>
      </c>
      <c r="D577">
        <v>1072</v>
      </c>
      <c r="E577">
        <v>219</v>
      </c>
      <c r="F577">
        <v>117</v>
      </c>
      <c r="G577">
        <v>141</v>
      </c>
      <c r="H577">
        <v>340</v>
      </c>
      <c r="I577">
        <v>255</v>
      </c>
      <c r="J577">
        <v>332</v>
      </c>
      <c r="K577">
        <v>301</v>
      </c>
      <c r="L577">
        <v>439</v>
      </c>
      <c r="M577">
        <v>974</v>
      </c>
      <c r="N577">
        <v>98</v>
      </c>
      <c r="O577" t="s">
        <v>2132</v>
      </c>
      <c r="P577" s="1" t="b">
        <f>NOT(OR(Table1[[#This Row],[State]]="Other Foreign Countries", Table1[[#This Row],[State]]="Unknown", Table1[[#This Row],[State]]="Puerto Rico all counties"))</f>
        <v>1</v>
      </c>
    </row>
    <row r="578" spans="1:16" x14ac:dyDescent="0.25">
      <c r="A578">
        <v>29049</v>
      </c>
      <c r="B578" t="s">
        <v>2510</v>
      </c>
      <c r="C578" t="s">
        <v>1130</v>
      </c>
      <c r="D578">
        <v>575</v>
      </c>
      <c r="E578">
        <v>140</v>
      </c>
      <c r="F578">
        <v>65</v>
      </c>
      <c r="G578">
        <v>57</v>
      </c>
      <c r="H578">
        <v>168</v>
      </c>
      <c r="I578">
        <v>145</v>
      </c>
      <c r="J578">
        <v>130</v>
      </c>
      <c r="K578">
        <v>143</v>
      </c>
      <c r="L578">
        <v>302</v>
      </c>
      <c r="M578">
        <v>526</v>
      </c>
      <c r="N578">
        <v>49</v>
      </c>
      <c r="O578" t="s">
        <v>2542</v>
      </c>
      <c r="P578" s="1" t="b">
        <f>NOT(OR(Table1[[#This Row],[State]]="Other Foreign Countries", Table1[[#This Row],[State]]="Unknown", Table1[[#This Row],[State]]="Puerto Rico all counties"))</f>
        <v>1</v>
      </c>
    </row>
    <row r="579" spans="1:16" x14ac:dyDescent="0.25">
      <c r="A579">
        <v>36019</v>
      </c>
      <c r="B579" t="s">
        <v>3029</v>
      </c>
      <c r="C579" t="s">
        <v>1130</v>
      </c>
      <c r="D579">
        <v>1653</v>
      </c>
      <c r="E579">
        <v>428</v>
      </c>
      <c r="F579">
        <v>231</v>
      </c>
      <c r="G579">
        <v>211</v>
      </c>
      <c r="H579">
        <v>468</v>
      </c>
      <c r="I579">
        <v>315</v>
      </c>
      <c r="J579">
        <v>298</v>
      </c>
      <c r="K579">
        <v>489</v>
      </c>
      <c r="L579">
        <v>865</v>
      </c>
      <c r="M579" s="1">
        <v>1526</v>
      </c>
      <c r="N579">
        <v>127</v>
      </c>
      <c r="O579" t="s">
        <v>3046</v>
      </c>
      <c r="P579" s="1" t="b">
        <f>NOT(OR(Table1[[#This Row],[State]]="Other Foreign Countries", Table1[[#This Row],[State]]="Unknown", Table1[[#This Row],[State]]="Puerto Rico all counties"))</f>
        <v>1</v>
      </c>
    </row>
    <row r="580" spans="1:16" x14ac:dyDescent="0.25">
      <c r="A580">
        <v>39027</v>
      </c>
      <c r="B580" t="s">
        <v>1343</v>
      </c>
      <c r="C580" t="s">
        <v>1130</v>
      </c>
      <c r="D580">
        <v>889</v>
      </c>
      <c r="E580">
        <v>201</v>
      </c>
      <c r="F580">
        <v>133</v>
      </c>
      <c r="G580">
        <v>113</v>
      </c>
      <c r="H580">
        <v>263</v>
      </c>
      <c r="I580">
        <v>179</v>
      </c>
      <c r="J580">
        <v>221</v>
      </c>
      <c r="K580">
        <v>281</v>
      </c>
      <c r="L580">
        <v>387</v>
      </c>
      <c r="M580">
        <v>831</v>
      </c>
      <c r="N580">
        <v>58</v>
      </c>
      <c r="O580" t="s">
        <v>3390</v>
      </c>
      <c r="P580" s="1" t="b">
        <f>NOT(OR(Table1[[#This Row],[State]]="Other Foreign Countries", Table1[[#This Row],[State]]="Unknown", Table1[[#This Row],[State]]="Puerto Rico all counties"))</f>
        <v>1</v>
      </c>
    </row>
    <row r="581" spans="1:16" x14ac:dyDescent="0.25">
      <c r="A581">
        <v>42035</v>
      </c>
      <c r="B581" t="s">
        <v>3665</v>
      </c>
      <c r="C581" t="s">
        <v>1130</v>
      </c>
      <c r="D581">
        <v>1008</v>
      </c>
      <c r="E581">
        <v>266</v>
      </c>
      <c r="F581">
        <v>120</v>
      </c>
      <c r="G581">
        <v>139</v>
      </c>
      <c r="H581">
        <v>269</v>
      </c>
      <c r="I581">
        <v>214</v>
      </c>
      <c r="J581">
        <v>203</v>
      </c>
      <c r="K581">
        <v>292</v>
      </c>
      <c r="L581">
        <v>513</v>
      </c>
      <c r="M581">
        <v>940</v>
      </c>
      <c r="N581">
        <v>68</v>
      </c>
      <c r="O581" t="s">
        <v>3694</v>
      </c>
      <c r="P581" s="1" t="b">
        <f>NOT(OR(Table1[[#This Row],[State]]="Other Foreign Countries", Table1[[#This Row],[State]]="Unknown", Table1[[#This Row],[State]]="Puerto Rico all counties"))</f>
        <v>1</v>
      </c>
    </row>
    <row r="582" spans="1:16" x14ac:dyDescent="0.25">
      <c r="A582">
        <v>20029</v>
      </c>
      <c r="B582" t="s">
        <v>1543</v>
      </c>
      <c r="C582" t="s">
        <v>1565</v>
      </c>
      <c r="D582">
        <v>154</v>
      </c>
      <c r="E582">
        <v>34</v>
      </c>
      <c r="F582">
        <v>16</v>
      </c>
      <c r="G582">
        <v>22</v>
      </c>
      <c r="H582">
        <v>41</v>
      </c>
      <c r="I582">
        <v>41</v>
      </c>
      <c r="J582">
        <v>31</v>
      </c>
      <c r="K582">
        <v>57</v>
      </c>
      <c r="L582">
        <v>66</v>
      </c>
      <c r="M582">
        <v>140</v>
      </c>
      <c r="N582">
        <v>14</v>
      </c>
      <c r="O582" t="s">
        <v>1566</v>
      </c>
      <c r="P582" s="1" t="b">
        <f>NOT(OR(Table1[[#This Row],[State]]="Other Foreign Countries", Table1[[#This Row],[State]]="Unknown", Table1[[#This Row],[State]]="Puerto Rico all counties"))</f>
        <v>1</v>
      </c>
    </row>
    <row r="583" spans="1:16" x14ac:dyDescent="0.25">
      <c r="A583">
        <v>28027</v>
      </c>
      <c r="B583" t="s">
        <v>322</v>
      </c>
      <c r="C583" t="s">
        <v>2411</v>
      </c>
      <c r="D583">
        <v>286</v>
      </c>
      <c r="E583">
        <v>55</v>
      </c>
      <c r="F583">
        <v>27</v>
      </c>
      <c r="G583">
        <v>33</v>
      </c>
      <c r="H583">
        <v>87</v>
      </c>
      <c r="I583">
        <v>84</v>
      </c>
      <c r="J583">
        <v>46</v>
      </c>
      <c r="K583">
        <v>95</v>
      </c>
      <c r="L583">
        <v>145</v>
      </c>
      <c r="M583">
        <v>254</v>
      </c>
      <c r="N583">
        <v>32</v>
      </c>
      <c r="O583" t="s">
        <v>2412</v>
      </c>
      <c r="P583" s="1" t="b">
        <f>NOT(OR(Table1[[#This Row],[State]]="Other Foreign Countries", Table1[[#This Row],[State]]="Unknown", Table1[[#This Row],[State]]="Puerto Rico all counties"))</f>
        <v>1</v>
      </c>
    </row>
    <row r="584" spans="1:16" x14ac:dyDescent="0.25">
      <c r="A584">
        <v>40029</v>
      </c>
      <c r="B584" t="s">
        <v>3495</v>
      </c>
      <c r="C584" t="s">
        <v>3516</v>
      </c>
      <c r="D584">
        <v>128</v>
      </c>
      <c r="E584">
        <v>22</v>
      </c>
      <c r="F584">
        <v>15</v>
      </c>
      <c r="G584">
        <v>18</v>
      </c>
      <c r="H584">
        <v>38</v>
      </c>
      <c r="I584">
        <v>35</v>
      </c>
      <c r="J584">
        <v>22</v>
      </c>
      <c r="K584">
        <v>39</v>
      </c>
      <c r="L584">
        <v>67</v>
      </c>
      <c r="M584">
        <v>118</v>
      </c>
      <c r="N584">
        <v>10</v>
      </c>
      <c r="O584" t="s">
        <v>3517</v>
      </c>
      <c r="P584" s="1" t="b">
        <f>NOT(OR(Table1[[#This Row],[State]]="Other Foreign Countries", Table1[[#This Row],[State]]="Unknown", Table1[[#This Row],[State]]="Puerto Rico all counties"))</f>
        <v>1</v>
      </c>
    </row>
    <row r="585" spans="1:16" x14ac:dyDescent="0.25">
      <c r="A585">
        <v>13067</v>
      </c>
      <c r="B585" t="s">
        <v>754</v>
      </c>
      <c r="C585" t="s">
        <v>811</v>
      </c>
      <c r="D585">
        <v>13189</v>
      </c>
      <c r="E585" s="1">
        <v>2318</v>
      </c>
      <c r="F585" s="1">
        <v>1316</v>
      </c>
      <c r="G585" s="1">
        <v>1480</v>
      </c>
      <c r="H585" s="1">
        <v>4025</v>
      </c>
      <c r="I585" s="1">
        <v>4050</v>
      </c>
      <c r="J585" s="1">
        <v>4011</v>
      </c>
      <c r="K585" s="1">
        <v>5002</v>
      </c>
      <c r="L585" s="1">
        <v>4176</v>
      </c>
      <c r="M585" s="1">
        <v>10789</v>
      </c>
      <c r="N585" s="1">
        <v>2400</v>
      </c>
      <c r="O585" t="s">
        <v>812</v>
      </c>
      <c r="P585" s="1" t="b">
        <f>NOT(OR(Table1[[#This Row],[State]]="Other Foreign Countries", Table1[[#This Row],[State]]="Unknown", Table1[[#This Row],[State]]="Puerto Rico all counties"))</f>
        <v>1</v>
      </c>
    </row>
    <row r="586" spans="1:16" x14ac:dyDescent="0.25">
      <c r="A586">
        <v>4003</v>
      </c>
      <c r="B586" t="s">
        <v>211</v>
      </c>
      <c r="C586" t="s">
        <v>214</v>
      </c>
      <c r="D586">
        <v>8672</v>
      </c>
      <c r="E586" s="1">
        <v>1426</v>
      </c>
      <c r="F586">
        <v>961</v>
      </c>
      <c r="G586" s="1">
        <v>1044</v>
      </c>
      <c r="H586" s="1">
        <v>2535</v>
      </c>
      <c r="I586" s="1">
        <v>2706</v>
      </c>
      <c r="J586" s="1">
        <v>1769</v>
      </c>
      <c r="K586" s="1">
        <v>3345</v>
      </c>
      <c r="L586" s="1">
        <v>3558</v>
      </c>
      <c r="M586" s="1">
        <v>7318</v>
      </c>
      <c r="N586" s="1">
        <v>1353</v>
      </c>
      <c r="O586" t="s">
        <v>215</v>
      </c>
      <c r="P586" s="1" t="b">
        <f>NOT(OR(Table1[[#This Row],[State]]="Other Foreign Countries", Table1[[#This Row],[State]]="Unknown", Table1[[#This Row],[State]]="Puerto Rico all counties"))</f>
        <v>1</v>
      </c>
    </row>
    <row r="587" spans="1:16" x14ac:dyDescent="0.25">
      <c r="A587">
        <v>48079</v>
      </c>
      <c r="B587" t="s">
        <v>2654</v>
      </c>
      <c r="C587" t="s">
        <v>4139</v>
      </c>
      <c r="D587">
        <v>22</v>
      </c>
      <c r="K587">
        <v>12</v>
      </c>
      <c r="O587" t="s">
        <v>4140</v>
      </c>
      <c r="P587" s="1" t="b">
        <f>NOT(OR(Table1[[#This Row],[State]]="Other Foreign Countries", Table1[[#This Row],[State]]="Unknown", Table1[[#This Row],[State]]="Puerto Rico all counties"))</f>
        <v>1</v>
      </c>
    </row>
    <row r="588" spans="1:16" x14ac:dyDescent="0.25">
      <c r="A588">
        <v>47029</v>
      </c>
      <c r="B588" t="s">
        <v>3951</v>
      </c>
      <c r="C588" t="s">
        <v>3969</v>
      </c>
      <c r="D588">
        <v>1050</v>
      </c>
      <c r="E588">
        <v>212</v>
      </c>
      <c r="F588">
        <v>95</v>
      </c>
      <c r="G588">
        <v>136</v>
      </c>
      <c r="H588">
        <v>303</v>
      </c>
      <c r="I588">
        <v>304</v>
      </c>
      <c r="J588">
        <v>183</v>
      </c>
      <c r="K588">
        <v>317</v>
      </c>
      <c r="L588">
        <v>550</v>
      </c>
      <c r="M588">
        <v>950</v>
      </c>
      <c r="N588">
        <v>100</v>
      </c>
      <c r="O588" t="s">
        <v>3970</v>
      </c>
      <c r="P588" s="1" t="b">
        <f>NOT(OR(Table1[[#This Row],[State]]="Other Foreign Countries", Table1[[#This Row],[State]]="Unknown", Table1[[#This Row],[State]]="Puerto Rico all counties"))</f>
        <v>1</v>
      </c>
    </row>
    <row r="589" spans="1:16" x14ac:dyDescent="0.25">
      <c r="A589">
        <v>4005</v>
      </c>
      <c r="B589" t="s">
        <v>211</v>
      </c>
      <c r="C589" t="s">
        <v>216</v>
      </c>
      <c r="D589">
        <v>2150</v>
      </c>
      <c r="E589">
        <v>487</v>
      </c>
      <c r="F589">
        <v>260</v>
      </c>
      <c r="G589">
        <v>280</v>
      </c>
      <c r="H589">
        <v>619</v>
      </c>
      <c r="I589">
        <v>504</v>
      </c>
      <c r="J589">
        <v>768</v>
      </c>
      <c r="K589">
        <v>629</v>
      </c>
      <c r="L589">
        <v>753</v>
      </c>
      <c r="M589" s="1">
        <v>1870</v>
      </c>
      <c r="N589">
        <v>280</v>
      </c>
      <c r="O589" t="s">
        <v>217</v>
      </c>
      <c r="P589" s="1" t="b">
        <f>NOT(OR(Table1[[#This Row],[State]]="Other Foreign Countries", Table1[[#This Row],[State]]="Unknown", Table1[[#This Row],[State]]="Puerto Rico all counties"))</f>
        <v>1</v>
      </c>
    </row>
    <row r="590" spans="1:16" x14ac:dyDescent="0.25">
      <c r="A590">
        <v>46029</v>
      </c>
      <c r="B590" t="s">
        <v>3846</v>
      </c>
      <c r="C590" t="s">
        <v>3867</v>
      </c>
      <c r="D590">
        <v>635</v>
      </c>
      <c r="E590">
        <v>196</v>
      </c>
      <c r="F590">
        <v>95</v>
      </c>
      <c r="G590">
        <v>71</v>
      </c>
      <c r="H590">
        <v>154</v>
      </c>
      <c r="I590">
        <v>119</v>
      </c>
      <c r="J590">
        <v>124</v>
      </c>
      <c r="K590">
        <v>216</v>
      </c>
      <c r="L590">
        <v>295</v>
      </c>
      <c r="M590">
        <v>586</v>
      </c>
      <c r="N590">
        <v>49</v>
      </c>
      <c r="O590" t="s">
        <v>3868</v>
      </c>
      <c r="P590" s="1" t="b">
        <f>NOT(OR(Table1[[#This Row],[State]]="Other Foreign Countries", Table1[[#This Row],[State]]="Unknown", Table1[[#This Row],[State]]="Puerto Rico all counties"))</f>
        <v>1</v>
      </c>
    </row>
    <row r="591" spans="1:16" x14ac:dyDescent="0.25">
      <c r="A591">
        <v>1031</v>
      </c>
      <c r="B591" t="s">
        <v>15</v>
      </c>
      <c r="C591" t="s">
        <v>46</v>
      </c>
      <c r="D591">
        <v>4257</v>
      </c>
      <c r="E591">
        <v>495</v>
      </c>
      <c r="F591">
        <v>344</v>
      </c>
      <c r="G591">
        <v>415</v>
      </c>
      <c r="H591" s="1">
        <v>1221</v>
      </c>
      <c r="I591" s="1">
        <v>1782</v>
      </c>
      <c r="J591" s="1">
        <v>1052</v>
      </c>
      <c r="K591" s="1">
        <v>1930</v>
      </c>
      <c r="L591" s="1">
        <v>1275</v>
      </c>
      <c r="M591" s="1">
        <v>3623</v>
      </c>
      <c r="N591">
        <v>634</v>
      </c>
      <c r="O591" t="s">
        <v>47</v>
      </c>
      <c r="P591" s="1" t="b">
        <f>NOT(OR(Table1[[#This Row],[State]]="Other Foreign Countries", Table1[[#This Row],[State]]="Unknown", Table1[[#This Row],[State]]="Puerto Rico all counties"))</f>
        <v>1</v>
      </c>
    </row>
    <row r="592" spans="1:16" x14ac:dyDescent="0.25">
      <c r="A592">
        <v>13069</v>
      </c>
      <c r="B592" t="s">
        <v>754</v>
      </c>
      <c r="C592" t="s">
        <v>46</v>
      </c>
      <c r="D592">
        <v>645</v>
      </c>
      <c r="E592">
        <v>114</v>
      </c>
      <c r="F592">
        <v>63</v>
      </c>
      <c r="G592">
        <v>66</v>
      </c>
      <c r="H592">
        <v>214</v>
      </c>
      <c r="I592">
        <v>188</v>
      </c>
      <c r="J592">
        <v>164</v>
      </c>
      <c r="K592">
        <v>230</v>
      </c>
      <c r="L592">
        <v>251</v>
      </c>
      <c r="M592">
        <v>551</v>
      </c>
      <c r="N592">
        <v>94</v>
      </c>
      <c r="O592" t="s">
        <v>813</v>
      </c>
      <c r="P592" s="1" t="b">
        <f>NOT(OR(Table1[[#This Row],[State]]="Other Foreign Countries", Table1[[#This Row],[State]]="Unknown", Table1[[#This Row],[State]]="Puerto Rico all counties"))</f>
        <v>1</v>
      </c>
    </row>
    <row r="593" spans="1:16" x14ac:dyDescent="0.25">
      <c r="A593">
        <v>47031</v>
      </c>
      <c r="B593" t="s">
        <v>3951</v>
      </c>
      <c r="C593" t="s">
        <v>46</v>
      </c>
      <c r="D593">
        <v>1559</v>
      </c>
      <c r="E593">
        <v>283</v>
      </c>
      <c r="F593">
        <v>142</v>
      </c>
      <c r="G593">
        <v>169</v>
      </c>
      <c r="H593">
        <v>468</v>
      </c>
      <c r="I593">
        <v>497</v>
      </c>
      <c r="J593">
        <v>408</v>
      </c>
      <c r="K593">
        <v>563</v>
      </c>
      <c r="L593">
        <v>588</v>
      </c>
      <c r="M593" s="1">
        <v>1384</v>
      </c>
      <c r="N593">
        <v>175</v>
      </c>
      <c r="O593" t="s">
        <v>3971</v>
      </c>
      <c r="P593" s="1" t="b">
        <f>NOT(OR(Table1[[#This Row],[State]]="Other Foreign Countries", Table1[[#This Row],[State]]="Unknown", Table1[[#This Row],[State]]="Puerto Rico all counties"))</f>
        <v>1</v>
      </c>
    </row>
    <row r="594" spans="1:16" x14ac:dyDescent="0.25">
      <c r="A594">
        <v>20031</v>
      </c>
      <c r="B594" t="s">
        <v>1543</v>
      </c>
      <c r="C594" t="s">
        <v>1567</v>
      </c>
      <c r="D594">
        <v>152</v>
      </c>
      <c r="E594">
        <v>41</v>
      </c>
      <c r="F594">
        <v>27</v>
      </c>
      <c r="G594">
        <v>13</v>
      </c>
      <c r="H594">
        <v>41</v>
      </c>
      <c r="I594">
        <v>30</v>
      </c>
      <c r="J594">
        <v>40</v>
      </c>
      <c r="K594">
        <v>51</v>
      </c>
      <c r="L594">
        <v>61</v>
      </c>
      <c r="M594">
        <v>140</v>
      </c>
      <c r="N594">
        <v>12</v>
      </c>
      <c r="O594" t="s">
        <v>1568</v>
      </c>
      <c r="P594" s="1" t="b">
        <f>NOT(OR(Table1[[#This Row],[State]]="Other Foreign Countries", Table1[[#This Row],[State]]="Unknown", Table1[[#This Row],[State]]="Puerto Rico all counties"))</f>
        <v>1</v>
      </c>
    </row>
    <row r="595" spans="1:16" x14ac:dyDescent="0.25">
      <c r="A595">
        <v>48081</v>
      </c>
      <c r="B595" t="s">
        <v>2654</v>
      </c>
      <c r="C595" t="s">
        <v>4141</v>
      </c>
      <c r="D595">
        <v>77</v>
      </c>
      <c r="F595">
        <v>12</v>
      </c>
      <c r="H595">
        <v>29</v>
      </c>
      <c r="I595">
        <v>18</v>
      </c>
      <c r="J595">
        <v>13</v>
      </c>
      <c r="K595">
        <v>26</v>
      </c>
      <c r="L595">
        <v>38</v>
      </c>
      <c r="O595" t="s">
        <v>4142</v>
      </c>
      <c r="P595" s="1" t="b">
        <f>NOT(OR(Table1[[#This Row],[State]]="Other Foreign Countries", Table1[[#This Row],[State]]="Unknown", Table1[[#This Row],[State]]="Puerto Rico all counties"))</f>
        <v>1</v>
      </c>
    </row>
    <row r="596" spans="1:16" x14ac:dyDescent="0.25">
      <c r="A596">
        <v>1033</v>
      </c>
      <c r="B596" t="s">
        <v>15</v>
      </c>
      <c r="C596" t="s">
        <v>48</v>
      </c>
      <c r="D596">
        <v>1357</v>
      </c>
      <c r="E596">
        <v>241</v>
      </c>
      <c r="F596">
        <v>139</v>
      </c>
      <c r="G596">
        <v>152</v>
      </c>
      <c r="H596">
        <v>436</v>
      </c>
      <c r="I596">
        <v>389</v>
      </c>
      <c r="J596">
        <v>269</v>
      </c>
      <c r="K596">
        <v>438</v>
      </c>
      <c r="L596">
        <v>650</v>
      </c>
      <c r="M596" s="1">
        <v>1244</v>
      </c>
      <c r="N596">
        <v>112</v>
      </c>
      <c r="O596" t="s">
        <v>49</v>
      </c>
      <c r="P596" s="1" t="b">
        <f>NOT(OR(Table1[[#This Row],[State]]="Other Foreign Countries", Table1[[#This Row],[State]]="Unknown", Table1[[#This Row],[State]]="Puerto Rico all counties"))</f>
        <v>1</v>
      </c>
    </row>
    <row r="597" spans="1:16" x14ac:dyDescent="0.25">
      <c r="A597">
        <v>29051</v>
      </c>
      <c r="B597" t="s">
        <v>2510</v>
      </c>
      <c r="C597" t="s">
        <v>2543</v>
      </c>
      <c r="D597">
        <v>2053</v>
      </c>
      <c r="E597">
        <v>588</v>
      </c>
      <c r="F597">
        <v>236</v>
      </c>
      <c r="G597">
        <v>277</v>
      </c>
      <c r="H597">
        <v>565</v>
      </c>
      <c r="I597">
        <v>387</v>
      </c>
      <c r="J597">
        <v>462</v>
      </c>
      <c r="K597">
        <v>635</v>
      </c>
      <c r="L597">
        <v>956</v>
      </c>
      <c r="M597" s="1">
        <v>1851</v>
      </c>
      <c r="N597">
        <v>201</v>
      </c>
      <c r="O597" t="s">
        <v>2544</v>
      </c>
      <c r="P597" s="1" t="b">
        <f>NOT(OR(Table1[[#This Row],[State]]="Other Foreign Countries", Table1[[#This Row],[State]]="Unknown", Table1[[#This Row],[State]]="Puerto Rico all counties"))</f>
        <v>1</v>
      </c>
    </row>
    <row r="598" spans="1:16" x14ac:dyDescent="0.25">
      <c r="A598">
        <v>48083</v>
      </c>
      <c r="B598" t="s">
        <v>2654</v>
      </c>
      <c r="C598" t="s">
        <v>4143</v>
      </c>
      <c r="D598">
        <v>204</v>
      </c>
      <c r="E598">
        <v>43</v>
      </c>
      <c r="F598">
        <v>30</v>
      </c>
      <c r="G598">
        <v>18</v>
      </c>
      <c r="H598">
        <v>65</v>
      </c>
      <c r="I598">
        <v>48</v>
      </c>
      <c r="J598">
        <v>42</v>
      </c>
      <c r="K598">
        <v>57</v>
      </c>
      <c r="L598">
        <v>105</v>
      </c>
      <c r="M598">
        <v>192</v>
      </c>
      <c r="N598">
        <v>12</v>
      </c>
      <c r="O598" t="s">
        <v>4144</v>
      </c>
      <c r="P598" s="1" t="b">
        <f>NOT(OR(Table1[[#This Row],[State]]="Other Foreign Countries", Table1[[#This Row],[State]]="Unknown", Table1[[#This Row],[State]]="Puerto Rico all counties"))</f>
        <v>1</v>
      </c>
    </row>
    <row r="599" spans="1:16" x14ac:dyDescent="0.25">
      <c r="A599">
        <v>17029</v>
      </c>
      <c r="B599" t="s">
        <v>1109</v>
      </c>
      <c r="C599" t="s">
        <v>1132</v>
      </c>
      <c r="D599">
        <v>714</v>
      </c>
      <c r="E599">
        <v>131</v>
      </c>
      <c r="F599">
        <v>79</v>
      </c>
      <c r="G599">
        <v>96</v>
      </c>
      <c r="H599">
        <v>193</v>
      </c>
      <c r="I599">
        <v>215</v>
      </c>
      <c r="J599">
        <v>197</v>
      </c>
      <c r="K599">
        <v>186</v>
      </c>
      <c r="L599">
        <v>331</v>
      </c>
      <c r="M599">
        <v>652</v>
      </c>
      <c r="N599">
        <v>62</v>
      </c>
      <c r="O599" t="s">
        <v>1133</v>
      </c>
      <c r="P599" s="1" t="b">
        <f>NOT(OR(Table1[[#This Row],[State]]="Other Foreign Countries", Table1[[#This Row],[State]]="Unknown", Table1[[#This Row],[State]]="Puerto Rico all counties"))</f>
        <v>1</v>
      </c>
    </row>
    <row r="600" spans="1:16" x14ac:dyDescent="0.25">
      <c r="A600">
        <v>31037</v>
      </c>
      <c r="B600" t="s">
        <v>2758</v>
      </c>
      <c r="C600" t="s">
        <v>2784</v>
      </c>
      <c r="D600">
        <v>141</v>
      </c>
      <c r="E600">
        <v>61</v>
      </c>
      <c r="F600">
        <v>20</v>
      </c>
      <c r="G600">
        <v>15</v>
      </c>
      <c r="H600">
        <v>24</v>
      </c>
      <c r="I600">
        <v>21</v>
      </c>
      <c r="J600">
        <v>14</v>
      </c>
      <c r="K600">
        <v>25</v>
      </c>
      <c r="L600">
        <v>102</v>
      </c>
      <c r="O600" t="s">
        <v>2785</v>
      </c>
      <c r="P600" s="1" t="b">
        <f>NOT(OR(Table1[[#This Row],[State]]="Other Foreign Countries", Table1[[#This Row],[State]]="Unknown", Table1[[#This Row],[State]]="Puerto Rico all counties"))</f>
        <v>1</v>
      </c>
    </row>
    <row r="601" spans="1:16" x14ac:dyDescent="0.25">
      <c r="A601">
        <v>35007</v>
      </c>
      <c r="B601" t="s">
        <v>2971</v>
      </c>
      <c r="C601" t="s">
        <v>2784</v>
      </c>
      <c r="D601">
        <v>285</v>
      </c>
      <c r="E601">
        <v>39</v>
      </c>
      <c r="F601">
        <v>21</v>
      </c>
      <c r="G601">
        <v>36</v>
      </c>
      <c r="H601">
        <v>96</v>
      </c>
      <c r="I601">
        <v>93</v>
      </c>
      <c r="J601">
        <v>46</v>
      </c>
      <c r="K601">
        <v>78</v>
      </c>
      <c r="L601">
        <v>161</v>
      </c>
      <c r="M601">
        <v>258</v>
      </c>
      <c r="N601">
        <v>27</v>
      </c>
      <c r="O601" t="s">
        <v>2980</v>
      </c>
      <c r="P601" s="1" t="b">
        <f>NOT(OR(Table1[[#This Row],[State]]="Other Foreign Countries", Table1[[#This Row],[State]]="Unknown", Table1[[#This Row],[State]]="Puerto Rico all counties"))</f>
        <v>1</v>
      </c>
    </row>
    <row r="602" spans="1:16" x14ac:dyDescent="0.25">
      <c r="A602">
        <v>45029</v>
      </c>
      <c r="B602" t="s">
        <v>3772</v>
      </c>
      <c r="C602" t="s">
        <v>3796</v>
      </c>
      <c r="D602">
        <v>1174</v>
      </c>
      <c r="E602">
        <v>188</v>
      </c>
      <c r="F602">
        <v>123</v>
      </c>
      <c r="G602">
        <v>158</v>
      </c>
      <c r="H602">
        <v>376</v>
      </c>
      <c r="I602">
        <v>329</v>
      </c>
      <c r="J602">
        <v>231</v>
      </c>
      <c r="K602">
        <v>430</v>
      </c>
      <c r="L602">
        <v>513</v>
      </c>
      <c r="M602" s="1">
        <v>1025</v>
      </c>
      <c r="N602">
        <v>149</v>
      </c>
      <c r="O602" t="s">
        <v>3797</v>
      </c>
      <c r="P602" s="1" t="b">
        <f>NOT(OR(Table1[[#This Row],[State]]="Other Foreign Countries", Table1[[#This Row],[State]]="Unknown", Table1[[#This Row],[State]]="Puerto Rico all counties"))</f>
        <v>1</v>
      </c>
    </row>
    <row r="603" spans="1:16" x14ac:dyDescent="0.25">
      <c r="A603">
        <v>12021</v>
      </c>
      <c r="B603" t="s">
        <v>637</v>
      </c>
      <c r="C603" t="s">
        <v>656</v>
      </c>
      <c r="D603">
        <v>4776</v>
      </c>
      <c r="E603" s="1">
        <v>1183</v>
      </c>
      <c r="F603">
        <v>538</v>
      </c>
      <c r="G603">
        <v>532</v>
      </c>
      <c r="H603" s="1">
        <v>1359</v>
      </c>
      <c r="I603" s="1">
        <v>1164</v>
      </c>
      <c r="J603">
        <v>837</v>
      </c>
      <c r="K603" s="1">
        <v>1112</v>
      </c>
      <c r="L603" s="1">
        <v>2827</v>
      </c>
      <c r="M603" s="1">
        <v>4418</v>
      </c>
      <c r="N603">
        <v>358</v>
      </c>
      <c r="O603" t="s">
        <v>657</v>
      </c>
      <c r="P603" s="1" t="b">
        <f>NOT(OR(Table1[[#This Row],[State]]="Other Foreign Countries", Table1[[#This Row],[State]]="Unknown", Table1[[#This Row],[State]]="Puerto Rico all counties"))</f>
        <v>1</v>
      </c>
    </row>
    <row r="604" spans="1:16" x14ac:dyDescent="0.25">
      <c r="A604">
        <v>48085</v>
      </c>
      <c r="B604" t="s">
        <v>2654</v>
      </c>
      <c r="C604" t="s">
        <v>4145</v>
      </c>
      <c r="D604">
        <v>16767</v>
      </c>
      <c r="E604" s="1">
        <v>2644</v>
      </c>
      <c r="F604" s="1">
        <v>1646</v>
      </c>
      <c r="G604" s="1">
        <v>1928</v>
      </c>
      <c r="H604" s="1">
        <v>4855</v>
      </c>
      <c r="I604" s="1">
        <v>5694</v>
      </c>
      <c r="J604" s="1">
        <v>6811</v>
      </c>
      <c r="K604" s="1">
        <v>6008</v>
      </c>
      <c r="L604" s="1">
        <v>3948</v>
      </c>
      <c r="M604" s="1">
        <v>14350</v>
      </c>
      <c r="N604" s="1">
        <v>2416</v>
      </c>
      <c r="O604" t="s">
        <v>4146</v>
      </c>
      <c r="P604" s="1" t="b">
        <f>NOT(OR(Table1[[#This Row],[State]]="Other Foreign Countries", Table1[[#This Row],[State]]="Unknown", Table1[[#This Row],[State]]="Puerto Rico all counties"))</f>
        <v>1</v>
      </c>
    </row>
    <row r="605" spans="1:16" x14ac:dyDescent="0.25">
      <c r="A605">
        <v>48087</v>
      </c>
      <c r="B605" t="s">
        <v>2654</v>
      </c>
      <c r="C605" t="s">
        <v>4147</v>
      </c>
      <c r="D605">
        <v>37</v>
      </c>
      <c r="I605">
        <v>12</v>
      </c>
      <c r="L605">
        <v>20</v>
      </c>
      <c r="O605" t="s">
        <v>4148</v>
      </c>
      <c r="P605" s="1" t="b">
        <f>NOT(OR(Table1[[#This Row],[State]]="Other Foreign Countries", Table1[[#This Row],[State]]="Unknown", Table1[[#This Row],[State]]="Puerto Rico all counties"))</f>
        <v>1</v>
      </c>
    </row>
    <row r="606" spans="1:16" x14ac:dyDescent="0.25">
      <c r="A606">
        <v>51570</v>
      </c>
      <c r="B606" t="s">
        <v>4555</v>
      </c>
      <c r="C606" t="s">
        <v>4706</v>
      </c>
      <c r="D606">
        <v>634</v>
      </c>
      <c r="E606">
        <v>92</v>
      </c>
      <c r="F606">
        <v>76</v>
      </c>
      <c r="G606">
        <v>72</v>
      </c>
      <c r="H606">
        <v>191</v>
      </c>
      <c r="I606">
        <v>203</v>
      </c>
      <c r="J606">
        <v>159</v>
      </c>
      <c r="K606">
        <v>243</v>
      </c>
      <c r="L606">
        <v>232</v>
      </c>
      <c r="M606">
        <v>517</v>
      </c>
      <c r="N606">
        <v>117</v>
      </c>
      <c r="O606" t="s">
        <v>4707</v>
      </c>
      <c r="P606" s="1" t="b">
        <f>NOT(OR(Table1[[#This Row],[State]]="Other Foreign Countries", Table1[[#This Row],[State]]="Unknown", Table1[[#This Row],[State]]="Puerto Rico all counties"))</f>
        <v>1</v>
      </c>
    </row>
    <row r="607" spans="1:16" x14ac:dyDescent="0.25">
      <c r="A607">
        <v>48089</v>
      </c>
      <c r="B607" t="s">
        <v>2654</v>
      </c>
      <c r="C607" t="s">
        <v>489</v>
      </c>
      <c r="D607">
        <v>396</v>
      </c>
      <c r="E607">
        <v>92</v>
      </c>
      <c r="F607">
        <v>51</v>
      </c>
      <c r="G607">
        <v>46</v>
      </c>
      <c r="H607">
        <v>115</v>
      </c>
      <c r="I607">
        <v>92</v>
      </c>
      <c r="J607">
        <v>77</v>
      </c>
      <c r="K607">
        <v>105</v>
      </c>
      <c r="L607">
        <v>214</v>
      </c>
      <c r="M607">
        <v>372</v>
      </c>
      <c r="N607">
        <v>24</v>
      </c>
      <c r="O607" t="s">
        <v>4149</v>
      </c>
      <c r="P607" s="1" t="b">
        <f>NOT(OR(Table1[[#This Row],[State]]="Other Foreign Countries", Table1[[#This Row],[State]]="Unknown", Table1[[#This Row],[State]]="Puerto Rico all counties"))</f>
        <v>1</v>
      </c>
    </row>
    <row r="608" spans="1:16" x14ac:dyDescent="0.25">
      <c r="A608">
        <v>13071</v>
      </c>
      <c r="B608" t="s">
        <v>754</v>
      </c>
      <c r="C608" t="s">
        <v>814</v>
      </c>
      <c r="D608">
        <v>644</v>
      </c>
      <c r="E608">
        <v>109</v>
      </c>
      <c r="F608">
        <v>59</v>
      </c>
      <c r="G608">
        <v>91</v>
      </c>
      <c r="H608">
        <v>223</v>
      </c>
      <c r="I608">
        <v>162</v>
      </c>
      <c r="J608">
        <v>157</v>
      </c>
      <c r="K608">
        <v>212</v>
      </c>
      <c r="L608">
        <v>275</v>
      </c>
      <c r="M608">
        <v>572</v>
      </c>
      <c r="N608">
        <v>72</v>
      </c>
      <c r="O608" t="s">
        <v>815</v>
      </c>
      <c r="P608" s="1" t="b">
        <f>NOT(OR(Table1[[#This Row],[State]]="Other Foreign Countries", Table1[[#This Row],[State]]="Unknown", Table1[[#This Row],[State]]="Puerto Rico all counties"))</f>
        <v>1</v>
      </c>
    </row>
    <row r="609" spans="1:16" x14ac:dyDescent="0.25">
      <c r="A609">
        <v>5027</v>
      </c>
      <c r="B609" t="s">
        <v>242</v>
      </c>
      <c r="C609" t="s">
        <v>265</v>
      </c>
      <c r="D609">
        <v>326</v>
      </c>
      <c r="E609">
        <v>51</v>
      </c>
      <c r="F609">
        <v>33</v>
      </c>
      <c r="G609">
        <v>46</v>
      </c>
      <c r="H609">
        <v>97</v>
      </c>
      <c r="I609">
        <v>99</v>
      </c>
      <c r="J609">
        <v>77</v>
      </c>
      <c r="K609">
        <v>95</v>
      </c>
      <c r="L609">
        <v>154</v>
      </c>
      <c r="M609">
        <v>281</v>
      </c>
      <c r="N609">
        <v>45</v>
      </c>
      <c r="O609" t="s">
        <v>266</v>
      </c>
      <c r="P609" s="1" t="b">
        <f>NOT(OR(Table1[[#This Row],[State]]="Other Foreign Countries", Table1[[#This Row],[State]]="Unknown", Table1[[#This Row],[State]]="Puerto Rico all counties"))</f>
        <v>1</v>
      </c>
    </row>
    <row r="610" spans="1:16" x14ac:dyDescent="0.25">
      <c r="A610">
        <v>12023</v>
      </c>
      <c r="B610" t="s">
        <v>637</v>
      </c>
      <c r="C610" t="s">
        <v>265</v>
      </c>
      <c r="D610">
        <v>2806</v>
      </c>
      <c r="E610">
        <v>557</v>
      </c>
      <c r="F610">
        <v>299</v>
      </c>
      <c r="G610">
        <v>331</v>
      </c>
      <c r="H610">
        <v>820</v>
      </c>
      <c r="I610">
        <v>799</v>
      </c>
      <c r="J610">
        <v>557</v>
      </c>
      <c r="K610">
        <v>926</v>
      </c>
      <c r="L610" s="1">
        <v>1323</v>
      </c>
      <c r="M610" s="1">
        <v>2494</v>
      </c>
      <c r="N610">
        <v>312</v>
      </c>
      <c r="O610" t="s">
        <v>658</v>
      </c>
      <c r="P610" s="1" t="b">
        <f>NOT(OR(Table1[[#This Row],[State]]="Other Foreign Countries", Table1[[#This Row],[State]]="Unknown", Table1[[#This Row],[State]]="Puerto Rico all counties"))</f>
        <v>1</v>
      </c>
    </row>
    <row r="611" spans="1:16" x14ac:dyDescent="0.25">
      <c r="A611">
        <v>13073</v>
      </c>
      <c r="B611" t="s">
        <v>754</v>
      </c>
      <c r="C611" t="s">
        <v>265</v>
      </c>
      <c r="D611">
        <v>11981</v>
      </c>
      <c r="E611" s="1">
        <v>1123</v>
      </c>
      <c r="F611">
        <v>922</v>
      </c>
      <c r="G611" s="1">
        <v>1181</v>
      </c>
      <c r="H611" s="1">
        <v>3520</v>
      </c>
      <c r="I611" s="1">
        <v>5235</v>
      </c>
      <c r="J611" s="1">
        <v>4020</v>
      </c>
      <c r="K611" s="1">
        <v>5379</v>
      </c>
      <c r="L611" s="1">
        <v>2582</v>
      </c>
      <c r="M611" s="1">
        <v>9066</v>
      </c>
      <c r="N611" s="1">
        <v>2914</v>
      </c>
      <c r="O611" t="s">
        <v>816</v>
      </c>
      <c r="P611" s="1" t="b">
        <f>NOT(OR(Table1[[#This Row],[State]]="Other Foreign Countries", Table1[[#This Row],[State]]="Unknown", Table1[[#This Row],[State]]="Puerto Rico all counties"))</f>
        <v>1</v>
      </c>
    </row>
    <row r="612" spans="1:16" x14ac:dyDescent="0.25">
      <c r="A612">
        <v>36021</v>
      </c>
      <c r="B612" t="s">
        <v>3029</v>
      </c>
      <c r="C612" t="s">
        <v>265</v>
      </c>
      <c r="D612">
        <v>694</v>
      </c>
      <c r="E612">
        <v>189</v>
      </c>
      <c r="F612">
        <v>94</v>
      </c>
      <c r="G612">
        <v>99</v>
      </c>
      <c r="H612">
        <v>173</v>
      </c>
      <c r="I612">
        <v>139</v>
      </c>
      <c r="J612">
        <v>145</v>
      </c>
      <c r="K612">
        <v>158</v>
      </c>
      <c r="L612">
        <v>391</v>
      </c>
      <c r="M612">
        <v>615</v>
      </c>
      <c r="N612">
        <v>79</v>
      </c>
      <c r="O612" t="s">
        <v>3047</v>
      </c>
      <c r="P612" s="1" t="b">
        <f>NOT(OR(Table1[[#This Row],[State]]="Other Foreign Countries", Table1[[#This Row],[State]]="Unknown", Table1[[#This Row],[State]]="Puerto Rico all counties"))</f>
        <v>1</v>
      </c>
    </row>
    <row r="613" spans="1:16" x14ac:dyDescent="0.25">
      <c r="A613">
        <v>41009</v>
      </c>
      <c r="B613" t="s">
        <v>2607</v>
      </c>
      <c r="C613" t="s">
        <v>265</v>
      </c>
      <c r="D613">
        <v>1570</v>
      </c>
      <c r="E613">
        <v>369</v>
      </c>
      <c r="F613">
        <v>219</v>
      </c>
      <c r="G613">
        <v>235</v>
      </c>
      <c r="H613">
        <v>436</v>
      </c>
      <c r="I613">
        <v>311</v>
      </c>
      <c r="J613">
        <v>392</v>
      </c>
      <c r="K613">
        <v>460</v>
      </c>
      <c r="L613">
        <v>718</v>
      </c>
      <c r="M613" s="1">
        <v>1425</v>
      </c>
      <c r="N613">
        <v>144</v>
      </c>
      <c r="O613" t="s">
        <v>3619</v>
      </c>
      <c r="P613" s="1" t="b">
        <f>NOT(OR(Table1[[#This Row],[State]]="Other Foreign Countries", Table1[[#This Row],[State]]="Unknown", Table1[[#This Row],[State]]="Puerto Rico all counties"))</f>
        <v>1</v>
      </c>
    </row>
    <row r="614" spans="1:16" x14ac:dyDescent="0.25">
      <c r="A614">
        <v>42037</v>
      </c>
      <c r="B614" t="s">
        <v>3665</v>
      </c>
      <c r="C614" t="s">
        <v>265</v>
      </c>
      <c r="D614">
        <v>1105</v>
      </c>
      <c r="E614">
        <v>233</v>
      </c>
      <c r="F614">
        <v>132</v>
      </c>
      <c r="G614">
        <v>135</v>
      </c>
      <c r="H614">
        <v>342</v>
      </c>
      <c r="I614">
        <v>263</v>
      </c>
      <c r="J614">
        <v>294</v>
      </c>
      <c r="K614">
        <v>360</v>
      </c>
      <c r="L614">
        <v>451</v>
      </c>
      <c r="M614" s="1">
        <v>1000</v>
      </c>
      <c r="N614">
        <v>105</v>
      </c>
      <c r="O614" t="s">
        <v>3695</v>
      </c>
      <c r="P614" s="1" t="b">
        <f>NOT(OR(Table1[[#This Row],[State]]="Other Foreign Countries", Table1[[#This Row],[State]]="Unknown", Table1[[#This Row],[State]]="Puerto Rico all counties"))</f>
        <v>1</v>
      </c>
    </row>
    <row r="615" spans="1:16" x14ac:dyDescent="0.25">
      <c r="A615">
        <v>53013</v>
      </c>
      <c r="B615" t="s">
        <v>144</v>
      </c>
      <c r="C615" t="s">
        <v>265</v>
      </c>
      <c r="D615">
        <v>130</v>
      </c>
      <c r="E615">
        <v>22</v>
      </c>
      <c r="F615">
        <v>17</v>
      </c>
      <c r="G615">
        <v>24</v>
      </c>
      <c r="H615">
        <v>38</v>
      </c>
      <c r="I615">
        <v>29</v>
      </c>
      <c r="J615">
        <v>17</v>
      </c>
      <c r="K615">
        <v>47</v>
      </c>
      <c r="L615">
        <v>66</v>
      </c>
      <c r="M615">
        <v>118</v>
      </c>
      <c r="N615">
        <v>12</v>
      </c>
      <c r="O615" t="s">
        <v>4781</v>
      </c>
      <c r="P615" s="1" t="b">
        <f>NOT(OR(Table1[[#This Row],[State]]="Other Foreign Countries", Table1[[#This Row],[State]]="Unknown", Table1[[#This Row],[State]]="Puerto Rico all counties"))</f>
        <v>1</v>
      </c>
    </row>
    <row r="616" spans="1:16" x14ac:dyDescent="0.25">
      <c r="A616">
        <v>55021</v>
      </c>
      <c r="B616" t="s">
        <v>4906</v>
      </c>
      <c r="C616" t="s">
        <v>265</v>
      </c>
      <c r="D616">
        <v>1202</v>
      </c>
      <c r="E616">
        <v>348</v>
      </c>
      <c r="F616">
        <v>145</v>
      </c>
      <c r="G616">
        <v>157</v>
      </c>
      <c r="H616">
        <v>307</v>
      </c>
      <c r="I616">
        <v>245</v>
      </c>
      <c r="J616">
        <v>308</v>
      </c>
      <c r="K616">
        <v>361</v>
      </c>
      <c r="L616">
        <v>533</v>
      </c>
      <c r="M616" s="1">
        <v>1067</v>
      </c>
      <c r="N616">
        <v>135</v>
      </c>
      <c r="O616" t="s">
        <v>4921</v>
      </c>
      <c r="P616" s="1" t="b">
        <f>NOT(OR(Table1[[#This Row],[State]]="Other Foreign Countries", Table1[[#This Row],[State]]="Unknown", Table1[[#This Row],[State]]="Puerto Rico all counties"))</f>
        <v>1</v>
      </c>
    </row>
    <row r="617" spans="1:16" x14ac:dyDescent="0.25">
      <c r="A617">
        <v>39029</v>
      </c>
      <c r="B617" t="s">
        <v>1343</v>
      </c>
      <c r="C617" t="s">
        <v>3391</v>
      </c>
      <c r="D617">
        <v>2040</v>
      </c>
      <c r="E617">
        <v>506</v>
      </c>
      <c r="F617">
        <v>252</v>
      </c>
      <c r="G617">
        <v>270</v>
      </c>
      <c r="H617">
        <v>561</v>
      </c>
      <c r="I617">
        <v>451</v>
      </c>
      <c r="J617">
        <v>479</v>
      </c>
      <c r="K617">
        <v>603</v>
      </c>
      <c r="L617">
        <v>958</v>
      </c>
      <c r="M617" s="1">
        <v>1865</v>
      </c>
      <c r="N617">
        <v>175</v>
      </c>
      <c r="O617" t="s">
        <v>3392</v>
      </c>
      <c r="P617" s="1" t="b">
        <f>NOT(OR(Table1[[#This Row],[State]]="Other Foreign Countries", Table1[[#This Row],[State]]="Unknown", Table1[[#This Row],[State]]="Puerto Rico all counties"))</f>
        <v>1</v>
      </c>
    </row>
    <row r="618" spans="1:16" x14ac:dyDescent="0.25">
      <c r="A618">
        <v>37047</v>
      </c>
      <c r="B618" t="s">
        <v>3121</v>
      </c>
      <c r="C618" t="s">
        <v>3160</v>
      </c>
      <c r="D618">
        <v>1365</v>
      </c>
      <c r="E618">
        <v>204</v>
      </c>
      <c r="F618">
        <v>118</v>
      </c>
      <c r="G618">
        <v>153</v>
      </c>
      <c r="H618">
        <v>452</v>
      </c>
      <c r="I618">
        <v>438</v>
      </c>
      <c r="J618">
        <v>242</v>
      </c>
      <c r="K618">
        <v>451</v>
      </c>
      <c r="L618">
        <v>672</v>
      </c>
      <c r="M618" s="1">
        <v>1221</v>
      </c>
      <c r="N618">
        <v>144</v>
      </c>
      <c r="O618" t="s">
        <v>3161</v>
      </c>
      <c r="P618" s="1" t="b">
        <f>NOT(OR(Table1[[#This Row],[State]]="Other Foreign Countries", Table1[[#This Row],[State]]="Unknown", Table1[[#This Row],[State]]="Puerto Rico all counties"))</f>
        <v>1</v>
      </c>
    </row>
    <row r="619" spans="1:16" x14ac:dyDescent="0.25">
      <c r="A619">
        <v>6011</v>
      </c>
      <c r="B619" t="s">
        <v>374</v>
      </c>
      <c r="C619" t="s">
        <v>385</v>
      </c>
      <c r="D619">
        <v>247</v>
      </c>
      <c r="E619">
        <v>86</v>
      </c>
      <c r="F619">
        <v>27</v>
      </c>
      <c r="G619">
        <v>22</v>
      </c>
      <c r="H619">
        <v>69</v>
      </c>
      <c r="I619">
        <v>43</v>
      </c>
      <c r="J619">
        <v>71</v>
      </c>
      <c r="K619">
        <v>52</v>
      </c>
      <c r="L619">
        <v>124</v>
      </c>
      <c r="M619">
        <v>224</v>
      </c>
      <c r="N619">
        <v>23</v>
      </c>
      <c r="O619" t="s">
        <v>386</v>
      </c>
      <c r="P619" s="1" t="b">
        <f>NOT(OR(Table1[[#This Row],[State]]="Other Foreign Countries", Table1[[#This Row],[State]]="Unknown", Table1[[#This Row],[State]]="Puerto Rico all counties"))</f>
        <v>1</v>
      </c>
    </row>
    <row r="620" spans="1:16" x14ac:dyDescent="0.25">
      <c r="A620">
        <v>48091</v>
      </c>
      <c r="B620" t="s">
        <v>2654</v>
      </c>
      <c r="C620" t="s">
        <v>4150</v>
      </c>
      <c r="D620">
        <v>11781</v>
      </c>
      <c r="E620" s="1">
        <v>1497</v>
      </c>
      <c r="F620">
        <v>846</v>
      </c>
      <c r="G620" s="1">
        <v>1045</v>
      </c>
      <c r="H620" s="1">
        <v>3116</v>
      </c>
      <c r="I620" s="1">
        <v>5277</v>
      </c>
      <c r="J620" s="1">
        <v>2905</v>
      </c>
      <c r="K620" s="1">
        <v>5219</v>
      </c>
      <c r="L620" s="1">
        <v>3657</v>
      </c>
      <c r="M620" s="1">
        <v>9759</v>
      </c>
      <c r="N620" s="1">
        <v>2022</v>
      </c>
      <c r="O620" t="s">
        <v>4151</v>
      </c>
      <c r="P620" s="1" t="b">
        <f>NOT(OR(Table1[[#This Row],[State]]="Other Foreign Countries", Table1[[#This Row],[State]]="Unknown", Table1[[#This Row],[State]]="Puerto Rico all counties"))</f>
        <v>1</v>
      </c>
    </row>
    <row r="621" spans="1:16" x14ac:dyDescent="0.25">
      <c r="A621">
        <v>20033</v>
      </c>
      <c r="B621" t="s">
        <v>1543</v>
      </c>
      <c r="C621" t="s">
        <v>1569</v>
      </c>
      <c r="D621">
        <v>18</v>
      </c>
      <c r="O621" t="s">
        <v>1570</v>
      </c>
      <c r="P621" s="1" t="b">
        <f>NOT(OR(Table1[[#This Row],[State]]="Other Foreign Countries", Table1[[#This Row],[State]]="Unknown", Table1[[#This Row],[State]]="Puerto Rico all counties"))</f>
        <v>1</v>
      </c>
    </row>
    <row r="622" spans="1:16" x14ac:dyDescent="0.25">
      <c r="A622">
        <v>40031</v>
      </c>
      <c r="B622" t="s">
        <v>3495</v>
      </c>
      <c r="C622" t="s">
        <v>1569</v>
      </c>
      <c r="D622">
        <v>10461</v>
      </c>
      <c r="E622">
        <v>920</v>
      </c>
      <c r="F622">
        <v>649</v>
      </c>
      <c r="G622">
        <v>745</v>
      </c>
      <c r="H622" s="1">
        <v>2880</v>
      </c>
      <c r="I622" s="1">
        <v>5267</v>
      </c>
      <c r="J622" s="1">
        <v>2874</v>
      </c>
      <c r="K622" s="1">
        <v>4304</v>
      </c>
      <c r="L622" s="1">
        <v>3283</v>
      </c>
      <c r="M622" s="1">
        <v>8807</v>
      </c>
      <c r="N622" s="1">
        <v>1654</v>
      </c>
      <c r="O622" t="s">
        <v>3518</v>
      </c>
      <c r="P622" s="1" t="b">
        <f>NOT(OR(Table1[[#This Row],[State]]="Other Foreign Countries", Table1[[#This Row],[State]]="Unknown", Table1[[#This Row],[State]]="Puerto Rico all counties"))</f>
        <v>1</v>
      </c>
    </row>
    <row r="623" spans="1:16" x14ac:dyDescent="0.25">
      <c r="A623">
        <v>48093</v>
      </c>
      <c r="B623" t="s">
        <v>2654</v>
      </c>
      <c r="C623" t="s">
        <v>1569</v>
      </c>
      <c r="D623">
        <v>306</v>
      </c>
      <c r="E623">
        <v>54</v>
      </c>
      <c r="F623">
        <v>32</v>
      </c>
      <c r="G623">
        <v>43</v>
      </c>
      <c r="H623">
        <v>97</v>
      </c>
      <c r="I623">
        <v>80</v>
      </c>
      <c r="J623">
        <v>84</v>
      </c>
      <c r="K623">
        <v>83</v>
      </c>
      <c r="L623">
        <v>139</v>
      </c>
      <c r="M623">
        <v>284</v>
      </c>
      <c r="N623">
        <v>22</v>
      </c>
      <c r="O623" t="s">
        <v>4152</v>
      </c>
      <c r="P623" s="1" t="b">
        <f>NOT(OR(Table1[[#This Row],[State]]="Other Foreign Countries", Table1[[#This Row],[State]]="Unknown", Table1[[#This Row],[State]]="Puerto Rico all counties"))</f>
        <v>1</v>
      </c>
    </row>
    <row r="624" spans="1:16" x14ac:dyDescent="0.25">
      <c r="A624">
        <v>48095</v>
      </c>
      <c r="B624" t="s">
        <v>2654</v>
      </c>
      <c r="C624" t="s">
        <v>4153</v>
      </c>
      <c r="D624">
        <v>63</v>
      </c>
      <c r="E624">
        <v>10</v>
      </c>
      <c r="H624">
        <v>18</v>
      </c>
      <c r="I624">
        <v>22</v>
      </c>
      <c r="L624">
        <v>35</v>
      </c>
      <c r="O624" t="s">
        <v>4154</v>
      </c>
      <c r="P624" s="1" t="b">
        <f>NOT(OR(Table1[[#This Row],[State]]="Other Foreign Countries", Table1[[#This Row],[State]]="Unknown", Table1[[#This Row],[State]]="Puerto Rico all counties"))</f>
        <v>1</v>
      </c>
    </row>
    <row r="625" spans="1:16" x14ac:dyDescent="0.25">
      <c r="A625">
        <v>22029</v>
      </c>
      <c r="B625" t="s">
        <v>1892</v>
      </c>
      <c r="C625" t="s">
        <v>1919</v>
      </c>
      <c r="D625">
        <v>301</v>
      </c>
      <c r="E625">
        <v>49</v>
      </c>
      <c r="F625">
        <v>33</v>
      </c>
      <c r="G625">
        <v>32</v>
      </c>
      <c r="H625">
        <v>105</v>
      </c>
      <c r="I625">
        <v>82</v>
      </c>
      <c r="J625">
        <v>59</v>
      </c>
      <c r="K625">
        <v>99</v>
      </c>
      <c r="L625">
        <v>143</v>
      </c>
      <c r="M625">
        <v>271</v>
      </c>
      <c r="N625">
        <v>30</v>
      </c>
      <c r="O625" t="s">
        <v>1920</v>
      </c>
      <c r="P625" s="1" t="b">
        <f>NOT(OR(Table1[[#This Row],[State]]="Other Foreign Countries", Table1[[#This Row],[State]]="Unknown", Table1[[#This Row],[State]]="Puerto Rico all counties"))</f>
        <v>1</v>
      </c>
    </row>
    <row r="626" spans="1:16" x14ac:dyDescent="0.25">
      <c r="A626">
        <v>1035</v>
      </c>
      <c r="B626" t="s">
        <v>15</v>
      </c>
      <c r="C626" t="s">
        <v>50</v>
      </c>
      <c r="D626">
        <v>376</v>
      </c>
      <c r="E626">
        <v>65</v>
      </c>
      <c r="F626">
        <v>24</v>
      </c>
      <c r="G626">
        <v>38</v>
      </c>
      <c r="H626">
        <v>134</v>
      </c>
      <c r="I626">
        <v>115</v>
      </c>
      <c r="J626">
        <v>68</v>
      </c>
      <c r="K626">
        <v>139</v>
      </c>
      <c r="L626">
        <v>169</v>
      </c>
      <c r="M626">
        <v>330</v>
      </c>
      <c r="N626">
        <v>46</v>
      </c>
      <c r="O626" t="s">
        <v>51</v>
      </c>
      <c r="P626" s="1" t="b">
        <f>NOT(OR(Table1[[#This Row],[State]]="Other Foreign Countries", Table1[[#This Row],[State]]="Unknown", Table1[[#This Row],[State]]="Puerto Rico all counties"))</f>
        <v>1</v>
      </c>
    </row>
    <row r="627" spans="1:16" x14ac:dyDescent="0.25">
      <c r="A627">
        <v>8021</v>
      </c>
      <c r="B627" t="s">
        <v>489</v>
      </c>
      <c r="C627" t="s">
        <v>512</v>
      </c>
      <c r="D627">
        <v>135</v>
      </c>
      <c r="E627">
        <v>26</v>
      </c>
      <c r="F627">
        <v>14</v>
      </c>
      <c r="G627">
        <v>15</v>
      </c>
      <c r="H627">
        <v>39</v>
      </c>
      <c r="I627">
        <v>41</v>
      </c>
      <c r="J627">
        <v>15</v>
      </c>
      <c r="K627">
        <v>39</v>
      </c>
      <c r="L627">
        <v>81</v>
      </c>
      <c r="M627">
        <v>125</v>
      </c>
      <c r="N627">
        <v>10</v>
      </c>
      <c r="O627" t="s">
        <v>513</v>
      </c>
      <c r="P627" s="1" t="b">
        <f>NOT(OR(Table1[[#This Row],[State]]="Other Foreign Countries", Table1[[#This Row],[State]]="Unknown", Table1[[#This Row],[State]]="Puerto Rico all counties"))</f>
        <v>1</v>
      </c>
    </row>
    <row r="628" spans="1:16" x14ac:dyDescent="0.25">
      <c r="A628">
        <v>6013</v>
      </c>
      <c r="B628" t="s">
        <v>374</v>
      </c>
      <c r="C628" t="s">
        <v>387</v>
      </c>
      <c r="D628">
        <v>11188</v>
      </c>
      <c r="E628" s="1">
        <v>2635</v>
      </c>
      <c r="F628" s="1">
        <v>1172</v>
      </c>
      <c r="G628" s="1">
        <v>1201</v>
      </c>
      <c r="H628" s="1">
        <v>2966</v>
      </c>
      <c r="I628" s="1">
        <v>3214</v>
      </c>
      <c r="J628" s="1">
        <v>3098</v>
      </c>
      <c r="K628" s="1">
        <v>3203</v>
      </c>
      <c r="L628" s="1">
        <v>4887</v>
      </c>
      <c r="M628" s="1">
        <v>10087</v>
      </c>
      <c r="N628" s="1">
        <v>1095</v>
      </c>
      <c r="O628" t="s">
        <v>388</v>
      </c>
      <c r="P628" s="1" t="b">
        <f>NOT(OR(Table1[[#This Row],[State]]="Other Foreign Countries", Table1[[#This Row],[State]]="Unknown", Table1[[#This Row],[State]]="Puerto Rico all counties"))</f>
        <v>1</v>
      </c>
    </row>
    <row r="629" spans="1:16" x14ac:dyDescent="0.25">
      <c r="A629">
        <v>56009</v>
      </c>
      <c r="B629" t="s">
        <v>3117</v>
      </c>
      <c r="C629" t="s">
        <v>5017</v>
      </c>
      <c r="D629">
        <v>352</v>
      </c>
      <c r="E629">
        <v>85</v>
      </c>
      <c r="F629">
        <v>46</v>
      </c>
      <c r="G629">
        <v>63</v>
      </c>
      <c r="H629">
        <v>86</v>
      </c>
      <c r="I629">
        <v>72</v>
      </c>
      <c r="J629">
        <v>85</v>
      </c>
      <c r="K629">
        <v>99</v>
      </c>
      <c r="L629">
        <v>168</v>
      </c>
      <c r="M629">
        <v>332</v>
      </c>
      <c r="N629">
        <v>20</v>
      </c>
      <c r="O629" t="s">
        <v>5018</v>
      </c>
      <c r="P629" s="1" t="b">
        <f>NOT(OR(Table1[[#This Row],[State]]="Other Foreign Countries", Table1[[#This Row],[State]]="Unknown", Table1[[#This Row],[State]]="Puerto Rico all counties"))</f>
        <v>1</v>
      </c>
    </row>
    <row r="630" spans="1:16" x14ac:dyDescent="0.25">
      <c r="A630">
        <v>5029</v>
      </c>
      <c r="B630" t="s">
        <v>242</v>
      </c>
      <c r="C630" t="s">
        <v>267</v>
      </c>
      <c r="D630">
        <v>469</v>
      </c>
      <c r="E630">
        <v>76</v>
      </c>
      <c r="F630">
        <v>40</v>
      </c>
      <c r="G630">
        <v>46</v>
      </c>
      <c r="H630">
        <v>164</v>
      </c>
      <c r="I630">
        <v>143</v>
      </c>
      <c r="J630">
        <v>88</v>
      </c>
      <c r="K630">
        <v>179</v>
      </c>
      <c r="L630">
        <v>202</v>
      </c>
      <c r="M630">
        <v>421</v>
      </c>
      <c r="N630">
        <v>48</v>
      </c>
      <c r="O630" t="s">
        <v>268</v>
      </c>
      <c r="P630" s="1" t="b">
        <f>NOT(OR(Table1[[#This Row],[State]]="Other Foreign Countries", Table1[[#This Row],[State]]="Unknown", Table1[[#This Row],[State]]="Puerto Rico all counties"))</f>
        <v>1</v>
      </c>
    </row>
    <row r="631" spans="1:16" x14ac:dyDescent="0.25">
      <c r="A631">
        <v>13075</v>
      </c>
      <c r="B631" t="s">
        <v>754</v>
      </c>
      <c r="C631" t="s">
        <v>817</v>
      </c>
      <c r="D631">
        <v>434</v>
      </c>
      <c r="E631">
        <v>63</v>
      </c>
      <c r="F631">
        <v>48</v>
      </c>
      <c r="G631">
        <v>50</v>
      </c>
      <c r="H631">
        <v>138</v>
      </c>
      <c r="I631">
        <v>135</v>
      </c>
      <c r="J631">
        <v>117</v>
      </c>
      <c r="K631">
        <v>149</v>
      </c>
      <c r="L631">
        <v>168</v>
      </c>
      <c r="M631">
        <v>376</v>
      </c>
      <c r="N631">
        <v>58</v>
      </c>
      <c r="O631" t="s">
        <v>818</v>
      </c>
      <c r="P631" s="1" t="b">
        <f>NOT(OR(Table1[[#This Row],[State]]="Other Foreign Countries", Table1[[#This Row],[State]]="Unknown", Table1[[#This Row],[State]]="Puerto Rico all counties"))</f>
        <v>1</v>
      </c>
    </row>
    <row r="632" spans="1:16" x14ac:dyDescent="0.25">
      <c r="A632">
        <v>17031</v>
      </c>
      <c r="B632" t="s">
        <v>1109</v>
      </c>
      <c r="C632" t="s">
        <v>817</v>
      </c>
      <c r="D632">
        <v>32786</v>
      </c>
      <c r="E632" s="1">
        <v>5790</v>
      </c>
      <c r="F632" s="1">
        <v>3320</v>
      </c>
      <c r="G632" s="1">
        <v>3635</v>
      </c>
      <c r="H632" s="1">
        <v>10907</v>
      </c>
      <c r="I632" s="1">
        <v>9134</v>
      </c>
      <c r="J632" s="1">
        <v>10928</v>
      </c>
      <c r="K632" s="1">
        <v>9573</v>
      </c>
      <c r="L632" s="1">
        <v>12284</v>
      </c>
      <c r="M632" s="1">
        <v>28585</v>
      </c>
      <c r="N632" s="1">
        <v>4198</v>
      </c>
      <c r="O632" t="s">
        <v>1134</v>
      </c>
      <c r="P632" s="1" t="b">
        <f>NOT(OR(Table1[[#This Row],[State]]="Other Foreign Countries", Table1[[#This Row],[State]]="Unknown", Table1[[#This Row],[State]]="Puerto Rico all counties"))</f>
        <v>1</v>
      </c>
    </row>
    <row r="633" spans="1:16" x14ac:dyDescent="0.25">
      <c r="A633">
        <v>27031</v>
      </c>
      <c r="B633" t="s">
        <v>2245</v>
      </c>
      <c r="C633" t="s">
        <v>817</v>
      </c>
      <c r="D633">
        <v>117</v>
      </c>
      <c r="E633">
        <v>45</v>
      </c>
      <c r="F633">
        <v>10</v>
      </c>
      <c r="G633">
        <v>13</v>
      </c>
      <c r="H633">
        <v>27</v>
      </c>
      <c r="I633">
        <v>22</v>
      </c>
      <c r="J633">
        <v>12</v>
      </c>
      <c r="K633">
        <v>26</v>
      </c>
      <c r="L633">
        <v>79</v>
      </c>
      <c r="M633">
        <v>104</v>
      </c>
      <c r="N633">
        <v>11</v>
      </c>
      <c r="O633" t="s">
        <v>2270</v>
      </c>
      <c r="P633" s="1" t="b">
        <f>NOT(OR(Table1[[#This Row],[State]]="Other Foreign Countries", Table1[[#This Row],[State]]="Unknown", Table1[[#This Row],[State]]="Puerto Rico all counties"))</f>
        <v>1</v>
      </c>
    </row>
    <row r="634" spans="1:16" x14ac:dyDescent="0.25">
      <c r="A634">
        <v>48097</v>
      </c>
      <c r="B634" t="s">
        <v>2654</v>
      </c>
      <c r="C634" t="s">
        <v>4155</v>
      </c>
      <c r="D634">
        <v>823</v>
      </c>
      <c r="E634">
        <v>184</v>
      </c>
      <c r="F634">
        <v>96</v>
      </c>
      <c r="G634">
        <v>95</v>
      </c>
      <c r="H634">
        <v>235</v>
      </c>
      <c r="I634">
        <v>213</v>
      </c>
      <c r="J634">
        <v>243</v>
      </c>
      <c r="K634">
        <v>204</v>
      </c>
      <c r="L634">
        <v>376</v>
      </c>
      <c r="M634">
        <v>758</v>
      </c>
      <c r="N634">
        <v>65</v>
      </c>
      <c r="O634" t="s">
        <v>4156</v>
      </c>
      <c r="P634" s="1" t="b">
        <f>NOT(OR(Table1[[#This Row],[State]]="Other Foreign Countries", Table1[[#This Row],[State]]="Unknown", Table1[[#This Row],[State]]="Puerto Rico all counties"))</f>
        <v>1</v>
      </c>
    </row>
    <row r="635" spans="1:16" x14ac:dyDescent="0.25">
      <c r="A635">
        <v>29053</v>
      </c>
      <c r="B635" t="s">
        <v>2510</v>
      </c>
      <c r="C635" t="s">
        <v>2545</v>
      </c>
      <c r="D635">
        <v>481</v>
      </c>
      <c r="E635">
        <v>147</v>
      </c>
      <c r="F635">
        <v>70</v>
      </c>
      <c r="G635">
        <v>50</v>
      </c>
      <c r="H635">
        <v>129</v>
      </c>
      <c r="I635">
        <v>85</v>
      </c>
      <c r="J635">
        <v>111</v>
      </c>
      <c r="K635">
        <v>135</v>
      </c>
      <c r="L635">
        <v>235</v>
      </c>
      <c r="M635">
        <v>448</v>
      </c>
      <c r="N635">
        <v>33</v>
      </c>
      <c r="O635" t="s">
        <v>2546</v>
      </c>
      <c r="P635" s="1" t="b">
        <f>NOT(OR(Table1[[#This Row],[State]]="Other Foreign Countries", Table1[[#This Row],[State]]="Unknown", Table1[[#This Row],[State]]="Puerto Rico all counties"))</f>
        <v>1</v>
      </c>
    </row>
    <row r="636" spans="1:16" x14ac:dyDescent="0.25">
      <c r="A636">
        <v>33007</v>
      </c>
      <c r="B636" t="s">
        <v>2920</v>
      </c>
      <c r="C636" t="s">
        <v>2926</v>
      </c>
      <c r="D636">
        <v>876</v>
      </c>
      <c r="E636">
        <v>152</v>
      </c>
      <c r="F636">
        <v>111</v>
      </c>
      <c r="G636">
        <v>122</v>
      </c>
      <c r="H636">
        <v>263</v>
      </c>
      <c r="I636">
        <v>228</v>
      </c>
      <c r="J636">
        <v>207</v>
      </c>
      <c r="K636">
        <v>271</v>
      </c>
      <c r="L636">
        <v>398</v>
      </c>
      <c r="M636">
        <v>801</v>
      </c>
      <c r="N636">
        <v>75</v>
      </c>
      <c r="O636" t="s">
        <v>2927</v>
      </c>
      <c r="P636" s="1" t="b">
        <f>NOT(OR(Table1[[#This Row],[State]]="Other Foreign Countries", Table1[[#This Row],[State]]="Unknown", Table1[[#This Row],[State]]="Puerto Rico all counties"))</f>
        <v>1</v>
      </c>
    </row>
    <row r="637" spans="1:16" x14ac:dyDescent="0.25">
      <c r="A637">
        <v>41011</v>
      </c>
      <c r="B637" t="s">
        <v>2607</v>
      </c>
      <c r="C637" t="s">
        <v>2926</v>
      </c>
      <c r="D637">
        <v>2394</v>
      </c>
      <c r="E637">
        <v>436</v>
      </c>
      <c r="F637">
        <v>248</v>
      </c>
      <c r="G637">
        <v>261</v>
      </c>
      <c r="H637">
        <v>802</v>
      </c>
      <c r="I637">
        <v>647</v>
      </c>
      <c r="J637">
        <v>396</v>
      </c>
      <c r="K637">
        <v>663</v>
      </c>
      <c r="L637" s="1">
        <v>1335</v>
      </c>
      <c r="M637" s="1">
        <v>2171</v>
      </c>
      <c r="N637">
        <v>223</v>
      </c>
      <c r="O637" t="s">
        <v>3620</v>
      </c>
      <c r="P637" s="1" t="b">
        <f>NOT(OR(Table1[[#This Row],[State]]="Other Foreign Countries", Table1[[#This Row],[State]]="Unknown", Table1[[#This Row],[State]]="Puerto Rico all counties"))</f>
        <v>1</v>
      </c>
    </row>
    <row r="638" spans="1:16" x14ac:dyDescent="0.25">
      <c r="A638">
        <v>1037</v>
      </c>
      <c r="B638" t="s">
        <v>15</v>
      </c>
      <c r="C638" t="s">
        <v>52</v>
      </c>
      <c r="D638">
        <v>332</v>
      </c>
      <c r="E638">
        <v>54</v>
      </c>
      <c r="F638">
        <v>32</v>
      </c>
      <c r="G638">
        <v>47</v>
      </c>
      <c r="H638">
        <v>94</v>
      </c>
      <c r="I638">
        <v>105</v>
      </c>
      <c r="J638">
        <v>66</v>
      </c>
      <c r="K638">
        <v>103</v>
      </c>
      <c r="L638">
        <v>163</v>
      </c>
      <c r="M638">
        <v>287</v>
      </c>
      <c r="N638">
        <v>45</v>
      </c>
      <c r="O638" t="s">
        <v>53</v>
      </c>
      <c r="P638" s="1" t="b">
        <f>NOT(OR(Table1[[#This Row],[State]]="Other Foreign Countries", Table1[[#This Row],[State]]="Unknown", Table1[[#This Row],[State]]="Puerto Rico all counties"))</f>
        <v>1</v>
      </c>
    </row>
    <row r="639" spans="1:16" x14ac:dyDescent="0.25">
      <c r="A639">
        <v>28029</v>
      </c>
      <c r="B639" t="s">
        <v>322</v>
      </c>
      <c r="C639" t="s">
        <v>2413</v>
      </c>
      <c r="D639">
        <v>476</v>
      </c>
      <c r="E639">
        <v>85</v>
      </c>
      <c r="F639">
        <v>48</v>
      </c>
      <c r="G639">
        <v>62</v>
      </c>
      <c r="H639">
        <v>139</v>
      </c>
      <c r="I639">
        <v>142</v>
      </c>
      <c r="J639">
        <v>81</v>
      </c>
      <c r="K639">
        <v>165</v>
      </c>
      <c r="L639">
        <v>230</v>
      </c>
      <c r="M639">
        <v>426</v>
      </c>
      <c r="N639">
        <v>50</v>
      </c>
      <c r="O639" t="s">
        <v>2414</v>
      </c>
      <c r="P639" s="1" t="b">
        <f>NOT(OR(Table1[[#This Row],[State]]="Other Foreign Countries", Table1[[#This Row],[State]]="Unknown", Table1[[#This Row],[State]]="Puerto Rico all counties"))</f>
        <v>1</v>
      </c>
    </row>
    <row r="640" spans="1:16" x14ac:dyDescent="0.25">
      <c r="A640">
        <v>2066</v>
      </c>
      <c r="B640" t="s">
        <v>150</v>
      </c>
      <c r="C640" t="s">
        <v>163</v>
      </c>
      <c r="D640">
        <v>82</v>
      </c>
      <c r="E640">
        <v>32</v>
      </c>
      <c r="H640">
        <v>17</v>
      </c>
      <c r="I640">
        <v>14</v>
      </c>
      <c r="L640">
        <v>49</v>
      </c>
      <c r="O640" t="s">
        <v>164</v>
      </c>
      <c r="P640" s="1" t="b">
        <f>NOT(OR(Table1[[#This Row],[State]]="Other Foreign Countries", Table1[[#This Row],[State]]="Unknown", Table1[[#This Row],[State]]="Puerto Rico all counties"))</f>
        <v>1</v>
      </c>
    </row>
    <row r="641" spans="1:16" x14ac:dyDescent="0.25">
      <c r="A641">
        <v>46031</v>
      </c>
      <c r="B641" t="s">
        <v>3846</v>
      </c>
      <c r="C641" t="s">
        <v>3869</v>
      </c>
      <c r="D641">
        <v>49</v>
      </c>
      <c r="E641">
        <v>11</v>
      </c>
      <c r="H641">
        <v>18</v>
      </c>
      <c r="J641">
        <v>11</v>
      </c>
      <c r="K641">
        <v>20</v>
      </c>
      <c r="L641">
        <v>18</v>
      </c>
      <c r="O641" t="s">
        <v>3870</v>
      </c>
      <c r="P641" s="1" t="b">
        <f>NOT(OR(Table1[[#This Row],[State]]="Other Foreign Countries", Table1[[#This Row],[State]]="Unknown", Table1[[#This Row],[State]]="Puerto Rico all counties"))</f>
        <v>1</v>
      </c>
    </row>
    <row r="642" spans="1:16" x14ac:dyDescent="0.25">
      <c r="A642">
        <v>36023</v>
      </c>
      <c r="B642" t="s">
        <v>3029</v>
      </c>
      <c r="C642" t="s">
        <v>3048</v>
      </c>
      <c r="D642">
        <v>548</v>
      </c>
      <c r="E642">
        <v>135</v>
      </c>
      <c r="F642">
        <v>71</v>
      </c>
      <c r="G642">
        <v>78</v>
      </c>
      <c r="H642">
        <v>154</v>
      </c>
      <c r="I642">
        <v>110</v>
      </c>
      <c r="J642">
        <v>156</v>
      </c>
      <c r="K642">
        <v>141</v>
      </c>
      <c r="L642">
        <v>251</v>
      </c>
      <c r="M642">
        <v>502</v>
      </c>
      <c r="N642">
        <v>46</v>
      </c>
      <c r="O642" t="s">
        <v>3049</v>
      </c>
      <c r="P642" s="1" t="b">
        <f>NOT(OR(Table1[[#This Row],[State]]="Other Foreign Countries", Table1[[#This Row],[State]]="Unknown", Table1[[#This Row],[State]]="Puerto Rico all counties"))</f>
        <v>1</v>
      </c>
    </row>
    <row r="643" spans="1:16" x14ac:dyDescent="0.25">
      <c r="A643">
        <v>48099</v>
      </c>
      <c r="B643" t="s">
        <v>2654</v>
      </c>
      <c r="C643" t="s">
        <v>4157</v>
      </c>
      <c r="D643">
        <v>7398</v>
      </c>
      <c r="E643">
        <v>764</v>
      </c>
      <c r="F643">
        <v>585</v>
      </c>
      <c r="G643">
        <v>687</v>
      </c>
      <c r="H643" s="1">
        <v>2407</v>
      </c>
      <c r="I643" s="1">
        <v>2955</v>
      </c>
      <c r="J643" s="1">
        <v>2614</v>
      </c>
      <c r="K643" s="1">
        <v>2972</v>
      </c>
      <c r="L643" s="1">
        <v>1812</v>
      </c>
      <c r="M643" s="1">
        <v>5870</v>
      </c>
      <c r="N643" s="1">
        <v>1528</v>
      </c>
      <c r="O643" t="s">
        <v>4158</v>
      </c>
      <c r="P643" s="1" t="b">
        <f>NOT(OR(Table1[[#This Row],[State]]="Other Foreign Countries", Table1[[#This Row],[State]]="Unknown", Table1[[#This Row],[State]]="Puerto Rico all counties"))</f>
        <v>1</v>
      </c>
    </row>
    <row r="644" spans="1:16" x14ac:dyDescent="0.25">
      <c r="A644">
        <v>39031</v>
      </c>
      <c r="B644" t="s">
        <v>1343</v>
      </c>
      <c r="C644" t="s">
        <v>3393</v>
      </c>
      <c r="D644">
        <v>737</v>
      </c>
      <c r="E644">
        <v>206</v>
      </c>
      <c r="F644">
        <v>101</v>
      </c>
      <c r="G644">
        <v>81</v>
      </c>
      <c r="H644">
        <v>215</v>
      </c>
      <c r="I644">
        <v>134</v>
      </c>
      <c r="J644">
        <v>194</v>
      </c>
      <c r="K644">
        <v>205</v>
      </c>
      <c r="L644">
        <v>338</v>
      </c>
      <c r="M644">
        <v>680</v>
      </c>
      <c r="N644">
        <v>56</v>
      </c>
      <c r="O644" t="s">
        <v>3394</v>
      </c>
      <c r="P644" s="1" t="b">
        <f>NOT(OR(Table1[[#This Row],[State]]="Other Foreign Countries", Table1[[#This Row],[State]]="Unknown", Table1[[#This Row],[State]]="Puerto Rico all counties"))</f>
        <v>1</v>
      </c>
    </row>
    <row r="645" spans="1:16" x14ac:dyDescent="0.25">
      <c r="A645">
        <v>8023</v>
      </c>
      <c r="B645" t="s">
        <v>489</v>
      </c>
      <c r="C645" t="s">
        <v>514</v>
      </c>
      <c r="D645">
        <v>148</v>
      </c>
      <c r="E645">
        <v>26</v>
      </c>
      <c r="F645">
        <v>11</v>
      </c>
      <c r="G645">
        <v>18</v>
      </c>
      <c r="H645">
        <v>45</v>
      </c>
      <c r="I645">
        <v>48</v>
      </c>
      <c r="J645">
        <v>21</v>
      </c>
      <c r="K645">
        <v>47</v>
      </c>
      <c r="L645">
        <v>80</v>
      </c>
      <c r="M645">
        <v>135</v>
      </c>
      <c r="N645">
        <v>13</v>
      </c>
      <c r="O645" t="s">
        <v>515</v>
      </c>
      <c r="P645" s="1" t="b">
        <f>NOT(OR(Table1[[#This Row],[State]]="Other Foreign Countries", Table1[[#This Row],[State]]="Unknown", Table1[[#This Row],[State]]="Puerto Rico all counties"))</f>
        <v>1</v>
      </c>
    </row>
    <row r="646" spans="1:16" x14ac:dyDescent="0.25">
      <c r="A646">
        <v>48101</v>
      </c>
      <c r="B646" t="s">
        <v>2654</v>
      </c>
      <c r="C646" t="s">
        <v>4159</v>
      </c>
      <c r="D646">
        <v>25</v>
      </c>
      <c r="H646">
        <v>10</v>
      </c>
      <c r="L646">
        <v>11</v>
      </c>
      <c r="O646" t="s">
        <v>4160</v>
      </c>
      <c r="P646" s="1" t="b">
        <f>NOT(OR(Table1[[#This Row],[State]]="Other Foreign Countries", Table1[[#This Row],[State]]="Unknown", Table1[[#This Row],[State]]="Puerto Rico all counties"))</f>
        <v>1</v>
      </c>
    </row>
    <row r="647" spans="1:16" x14ac:dyDescent="0.25">
      <c r="A647">
        <v>40033</v>
      </c>
      <c r="B647" t="s">
        <v>3495</v>
      </c>
      <c r="C647" t="s">
        <v>3519</v>
      </c>
      <c r="D647">
        <v>203</v>
      </c>
      <c r="E647">
        <v>38</v>
      </c>
      <c r="F647">
        <v>22</v>
      </c>
      <c r="G647">
        <v>17</v>
      </c>
      <c r="H647">
        <v>56</v>
      </c>
      <c r="I647">
        <v>70</v>
      </c>
      <c r="J647">
        <v>36</v>
      </c>
      <c r="K647">
        <v>81</v>
      </c>
      <c r="L647">
        <v>86</v>
      </c>
      <c r="M647">
        <v>178</v>
      </c>
      <c r="N647">
        <v>25</v>
      </c>
      <c r="O647" t="s">
        <v>3520</v>
      </c>
      <c r="P647" s="1" t="b">
        <f>NOT(OR(Table1[[#This Row],[State]]="Other Foreign Countries", Table1[[#This Row],[State]]="Unknown", Table1[[#This Row],[State]]="Puerto Rico all counties"))</f>
        <v>1</v>
      </c>
    </row>
    <row r="648" spans="1:16" x14ac:dyDescent="0.25">
      <c r="A648">
        <v>27033</v>
      </c>
      <c r="B648" t="s">
        <v>2245</v>
      </c>
      <c r="C648" t="s">
        <v>2271</v>
      </c>
      <c r="D648">
        <v>245</v>
      </c>
      <c r="E648">
        <v>105</v>
      </c>
      <c r="F648">
        <v>36</v>
      </c>
      <c r="G648">
        <v>23</v>
      </c>
      <c r="H648">
        <v>47</v>
      </c>
      <c r="I648">
        <v>34</v>
      </c>
      <c r="J648">
        <v>41</v>
      </c>
      <c r="K648">
        <v>40</v>
      </c>
      <c r="L648">
        <v>164</v>
      </c>
      <c r="M648">
        <v>234</v>
      </c>
      <c r="N648">
        <v>10</v>
      </c>
      <c r="O648" t="s">
        <v>2272</v>
      </c>
      <c r="P648" s="1" t="b">
        <f>NOT(OR(Table1[[#This Row],[State]]="Other Foreign Countries", Table1[[#This Row],[State]]="Unknown", Table1[[#This Row],[State]]="Puerto Rico all counties"))</f>
        <v>1</v>
      </c>
    </row>
    <row r="649" spans="1:16" x14ac:dyDescent="0.25">
      <c r="A649">
        <v>1039</v>
      </c>
      <c r="B649" t="s">
        <v>15</v>
      </c>
      <c r="C649" t="s">
        <v>54</v>
      </c>
      <c r="D649">
        <v>1097</v>
      </c>
      <c r="E649">
        <v>222</v>
      </c>
      <c r="F649">
        <v>109</v>
      </c>
      <c r="G649">
        <v>144</v>
      </c>
      <c r="H649">
        <v>348</v>
      </c>
      <c r="I649">
        <v>274</v>
      </c>
      <c r="J649">
        <v>230</v>
      </c>
      <c r="K649">
        <v>329</v>
      </c>
      <c r="L649">
        <v>538</v>
      </c>
      <c r="M649">
        <v>979</v>
      </c>
      <c r="N649">
        <v>118</v>
      </c>
      <c r="O649" t="s">
        <v>55</v>
      </c>
      <c r="P649" s="1" t="b">
        <f>NOT(OR(Table1[[#This Row],[State]]="Other Foreign Countries", Table1[[#This Row],[State]]="Unknown", Table1[[#This Row],[State]]="Puerto Rico all counties"))</f>
        <v>1</v>
      </c>
    </row>
    <row r="650" spans="1:16" x14ac:dyDescent="0.25">
      <c r="A650">
        <v>28031</v>
      </c>
      <c r="B650" t="s">
        <v>322</v>
      </c>
      <c r="C650" t="s">
        <v>54</v>
      </c>
      <c r="D650">
        <v>342</v>
      </c>
      <c r="E650">
        <v>71</v>
      </c>
      <c r="F650">
        <v>30</v>
      </c>
      <c r="G650">
        <v>30</v>
      </c>
      <c r="H650">
        <v>109</v>
      </c>
      <c r="I650">
        <v>102</v>
      </c>
      <c r="J650">
        <v>66</v>
      </c>
      <c r="K650">
        <v>118</v>
      </c>
      <c r="L650">
        <v>158</v>
      </c>
      <c r="M650">
        <v>293</v>
      </c>
      <c r="N650">
        <v>49</v>
      </c>
      <c r="O650" t="s">
        <v>2415</v>
      </c>
      <c r="P650" s="1" t="b">
        <f>NOT(OR(Table1[[#This Row],[State]]="Other Foreign Countries", Table1[[#This Row],[State]]="Unknown", Table1[[#This Row],[State]]="Puerto Rico all counties"))</f>
        <v>1</v>
      </c>
    </row>
    <row r="651" spans="1:16" x14ac:dyDescent="0.25">
      <c r="A651">
        <v>51580</v>
      </c>
      <c r="B651" t="s">
        <v>4555</v>
      </c>
      <c r="C651" t="s">
        <v>4708</v>
      </c>
      <c r="D651">
        <v>139</v>
      </c>
      <c r="E651">
        <v>36</v>
      </c>
      <c r="H651">
        <v>45</v>
      </c>
      <c r="I651">
        <v>28</v>
      </c>
      <c r="J651">
        <v>23</v>
      </c>
      <c r="K651">
        <v>42</v>
      </c>
      <c r="L651">
        <v>74</v>
      </c>
      <c r="M651">
        <v>129</v>
      </c>
      <c r="N651">
        <v>10</v>
      </c>
      <c r="O651" t="s">
        <v>4709</v>
      </c>
      <c r="P651" s="1" t="b">
        <f>NOT(OR(Table1[[#This Row],[State]]="Other Foreign Countries", Table1[[#This Row],[State]]="Unknown", Table1[[#This Row],[State]]="Puerto Rico all counties"))</f>
        <v>1</v>
      </c>
    </row>
    <row r="652" spans="1:16" x14ac:dyDescent="0.25">
      <c r="A652">
        <v>13077</v>
      </c>
      <c r="B652" t="s">
        <v>754</v>
      </c>
      <c r="C652" t="s">
        <v>819</v>
      </c>
      <c r="D652">
        <v>4367</v>
      </c>
      <c r="E652">
        <v>852</v>
      </c>
      <c r="F652">
        <v>476</v>
      </c>
      <c r="G652">
        <v>498</v>
      </c>
      <c r="H652" s="1">
        <v>1226</v>
      </c>
      <c r="I652" s="1">
        <v>1315</v>
      </c>
      <c r="J652" s="1">
        <v>1243</v>
      </c>
      <c r="K652" s="1">
        <v>1687</v>
      </c>
      <c r="L652" s="1">
        <v>1437</v>
      </c>
      <c r="M652" s="1">
        <v>3759</v>
      </c>
      <c r="N652">
        <v>608</v>
      </c>
      <c r="O652" t="s">
        <v>820</v>
      </c>
      <c r="P652" s="1" t="b">
        <f>NOT(OR(Table1[[#This Row],[State]]="Other Foreign Countries", Table1[[#This Row],[State]]="Unknown", Table1[[#This Row],[State]]="Puerto Rico all counties"))</f>
        <v>1</v>
      </c>
    </row>
    <row r="653" spans="1:16" x14ac:dyDescent="0.25">
      <c r="A653">
        <v>20035</v>
      </c>
      <c r="B653" t="s">
        <v>1543</v>
      </c>
      <c r="C653" t="s">
        <v>1571</v>
      </c>
      <c r="D653">
        <v>583</v>
      </c>
      <c r="E653">
        <v>125</v>
      </c>
      <c r="F653">
        <v>64</v>
      </c>
      <c r="G653">
        <v>72</v>
      </c>
      <c r="H653">
        <v>177</v>
      </c>
      <c r="I653">
        <v>145</v>
      </c>
      <c r="J653">
        <v>151</v>
      </c>
      <c r="K653">
        <v>194</v>
      </c>
      <c r="L653">
        <v>238</v>
      </c>
      <c r="M653">
        <v>538</v>
      </c>
      <c r="N653">
        <v>45</v>
      </c>
      <c r="O653" t="s">
        <v>1572</v>
      </c>
      <c r="P653" s="1" t="b">
        <f>NOT(OR(Table1[[#This Row],[State]]="Other Foreign Countries", Table1[[#This Row],[State]]="Unknown", Table1[[#This Row],[State]]="Puerto Rico all counties"))</f>
        <v>1</v>
      </c>
    </row>
    <row r="654" spans="1:16" x14ac:dyDescent="0.25">
      <c r="A654">
        <v>53015</v>
      </c>
      <c r="B654" t="s">
        <v>144</v>
      </c>
      <c r="C654" t="s">
        <v>4782</v>
      </c>
      <c r="D654">
        <v>2681</v>
      </c>
      <c r="E654">
        <v>550</v>
      </c>
      <c r="F654">
        <v>358</v>
      </c>
      <c r="G654">
        <v>423</v>
      </c>
      <c r="H654">
        <v>810</v>
      </c>
      <c r="I654">
        <v>540</v>
      </c>
      <c r="J654">
        <v>728</v>
      </c>
      <c r="K654">
        <v>768</v>
      </c>
      <c r="L654" s="1">
        <v>1185</v>
      </c>
      <c r="M654" s="1">
        <v>2426</v>
      </c>
      <c r="N654">
        <v>254</v>
      </c>
      <c r="O654" t="s">
        <v>4783</v>
      </c>
      <c r="P654" s="1" t="b">
        <f>NOT(OR(Table1[[#This Row],[State]]="Other Foreign Countries", Table1[[#This Row],[State]]="Unknown", Table1[[#This Row],[State]]="Puerto Rico all counties"))</f>
        <v>1</v>
      </c>
    </row>
    <row r="655" spans="1:16" x14ac:dyDescent="0.25">
      <c r="A655">
        <v>40035</v>
      </c>
      <c r="B655" t="s">
        <v>3495</v>
      </c>
      <c r="C655" t="s">
        <v>3521</v>
      </c>
      <c r="D655">
        <v>347</v>
      </c>
      <c r="E655">
        <v>85</v>
      </c>
      <c r="F655">
        <v>29</v>
      </c>
      <c r="G655">
        <v>47</v>
      </c>
      <c r="H655">
        <v>98</v>
      </c>
      <c r="I655">
        <v>88</v>
      </c>
      <c r="J655">
        <v>73</v>
      </c>
      <c r="K655">
        <v>86</v>
      </c>
      <c r="L655">
        <v>188</v>
      </c>
      <c r="M655">
        <v>323</v>
      </c>
      <c r="N655">
        <v>24</v>
      </c>
      <c r="O655" t="s">
        <v>3522</v>
      </c>
      <c r="P655" s="1" t="b">
        <f>NOT(OR(Table1[[#This Row],[State]]="Other Foreign Countries", Table1[[#This Row],[State]]="Unknown", Table1[[#This Row],[State]]="Puerto Rico all counties"))</f>
        <v>1</v>
      </c>
    </row>
    <row r="656" spans="1:16" x14ac:dyDescent="0.25">
      <c r="A656">
        <v>51045</v>
      </c>
      <c r="B656" t="s">
        <v>4555</v>
      </c>
      <c r="C656" t="s">
        <v>3521</v>
      </c>
      <c r="D656">
        <v>139</v>
      </c>
      <c r="E656">
        <v>26</v>
      </c>
      <c r="F656">
        <v>16</v>
      </c>
      <c r="G656">
        <v>18</v>
      </c>
      <c r="H656">
        <v>45</v>
      </c>
      <c r="I656">
        <v>34</v>
      </c>
      <c r="J656">
        <v>29</v>
      </c>
      <c r="K656">
        <v>43</v>
      </c>
      <c r="L656">
        <v>67</v>
      </c>
      <c r="M656">
        <v>126</v>
      </c>
      <c r="N656">
        <v>13</v>
      </c>
      <c r="O656" t="s">
        <v>4589</v>
      </c>
      <c r="P656" s="1" t="b">
        <f>NOT(OR(Table1[[#This Row],[State]]="Other Foreign Countries", Table1[[#This Row],[State]]="Unknown", Table1[[#This Row],[State]]="Puerto Rico all counties"))</f>
        <v>1</v>
      </c>
    </row>
    <row r="657" spans="1:16" x14ac:dyDescent="0.25">
      <c r="A657">
        <v>5031</v>
      </c>
      <c r="B657" t="s">
        <v>242</v>
      </c>
      <c r="C657" t="s">
        <v>269</v>
      </c>
      <c r="D657">
        <v>1674</v>
      </c>
      <c r="E657">
        <v>286</v>
      </c>
      <c r="F657">
        <v>134</v>
      </c>
      <c r="G657">
        <v>207</v>
      </c>
      <c r="H657">
        <v>517</v>
      </c>
      <c r="I657">
        <v>530</v>
      </c>
      <c r="J657">
        <v>498</v>
      </c>
      <c r="K657">
        <v>516</v>
      </c>
      <c r="L657">
        <v>660</v>
      </c>
      <c r="M657" s="1">
        <v>1530</v>
      </c>
      <c r="N657">
        <v>144</v>
      </c>
      <c r="O657" t="s">
        <v>270</v>
      </c>
      <c r="P657" s="1" t="b">
        <f>NOT(OR(Table1[[#This Row],[State]]="Other Foreign Countries", Table1[[#This Row],[State]]="Unknown", Table1[[#This Row],[State]]="Puerto Rico all counties"))</f>
        <v>1</v>
      </c>
    </row>
    <row r="658" spans="1:16" x14ac:dyDescent="0.25">
      <c r="A658">
        <v>48103</v>
      </c>
      <c r="B658" t="s">
        <v>2654</v>
      </c>
      <c r="C658" t="s">
        <v>4161</v>
      </c>
      <c r="D658">
        <v>35</v>
      </c>
      <c r="H658">
        <v>11</v>
      </c>
      <c r="L658">
        <v>14</v>
      </c>
      <c r="O658" t="s">
        <v>4162</v>
      </c>
      <c r="P658" s="1" t="b">
        <f>NOT(OR(Table1[[#This Row],[State]]="Other Foreign Countries", Table1[[#This Row],[State]]="Unknown", Table1[[#This Row],[State]]="Puerto Rico all counties"))</f>
        <v>1</v>
      </c>
    </row>
    <row r="659" spans="1:16" x14ac:dyDescent="0.25">
      <c r="A659">
        <v>37049</v>
      </c>
      <c r="B659" t="s">
        <v>3121</v>
      </c>
      <c r="C659" t="s">
        <v>3162</v>
      </c>
      <c r="D659">
        <v>7162</v>
      </c>
      <c r="E659">
        <v>938</v>
      </c>
      <c r="F659">
        <v>715</v>
      </c>
      <c r="G659">
        <v>853</v>
      </c>
      <c r="H659" s="1">
        <v>2204</v>
      </c>
      <c r="I659" s="1">
        <v>2452</v>
      </c>
      <c r="J659" s="1">
        <v>2578</v>
      </c>
      <c r="K659" s="1">
        <v>2428</v>
      </c>
      <c r="L659" s="1">
        <v>2156</v>
      </c>
      <c r="M659" s="1">
        <v>6137</v>
      </c>
      <c r="N659" s="1">
        <v>1025</v>
      </c>
      <c r="O659" t="s">
        <v>3163</v>
      </c>
      <c r="P659" s="1" t="b">
        <f>NOT(OR(Table1[[#This Row],[State]]="Other Foreign Countries", Table1[[#This Row],[State]]="Unknown", Table1[[#This Row],[State]]="Puerto Rico all counties"))</f>
        <v>1</v>
      </c>
    </row>
    <row r="660" spans="1:16" x14ac:dyDescent="0.25">
      <c r="A660">
        <v>5033</v>
      </c>
      <c r="B660" t="s">
        <v>242</v>
      </c>
      <c r="C660" t="s">
        <v>271</v>
      </c>
      <c r="D660">
        <v>1521</v>
      </c>
      <c r="E660">
        <v>225</v>
      </c>
      <c r="F660">
        <v>138</v>
      </c>
      <c r="G660">
        <v>188</v>
      </c>
      <c r="H660">
        <v>532</v>
      </c>
      <c r="I660">
        <v>438</v>
      </c>
      <c r="J660">
        <v>367</v>
      </c>
      <c r="K660">
        <v>543</v>
      </c>
      <c r="L660">
        <v>611</v>
      </c>
      <c r="M660" s="1">
        <v>1370</v>
      </c>
      <c r="N660">
        <v>151</v>
      </c>
      <c r="O660" t="s">
        <v>272</v>
      </c>
      <c r="P660" s="1" t="b">
        <f>NOT(OR(Table1[[#This Row],[State]]="Other Foreign Countries", Table1[[#This Row],[State]]="Unknown", Table1[[#This Row],[State]]="Puerto Rico all counties"))</f>
        <v>1</v>
      </c>
    </row>
    <row r="661" spans="1:16" x14ac:dyDescent="0.25">
      <c r="A661">
        <v>13079</v>
      </c>
      <c r="B661" t="s">
        <v>754</v>
      </c>
      <c r="C661" t="s">
        <v>271</v>
      </c>
      <c r="D661">
        <v>359</v>
      </c>
      <c r="E661">
        <v>56</v>
      </c>
      <c r="F661">
        <v>43</v>
      </c>
      <c r="G661">
        <v>55</v>
      </c>
      <c r="H661">
        <v>99</v>
      </c>
      <c r="I661">
        <v>106</v>
      </c>
      <c r="J661">
        <v>67</v>
      </c>
      <c r="K661">
        <v>132</v>
      </c>
      <c r="L661">
        <v>160</v>
      </c>
      <c r="M661">
        <v>322</v>
      </c>
      <c r="N661">
        <v>37</v>
      </c>
      <c r="O661" t="s">
        <v>821</v>
      </c>
      <c r="P661" s="1" t="b">
        <f>NOT(OR(Table1[[#This Row],[State]]="Other Foreign Countries", Table1[[#This Row],[State]]="Unknown", Table1[[#This Row],[State]]="Puerto Rico all counties"))</f>
        <v>1</v>
      </c>
    </row>
    <row r="662" spans="1:16" x14ac:dyDescent="0.25">
      <c r="A662">
        <v>17033</v>
      </c>
      <c r="B662" t="s">
        <v>1109</v>
      </c>
      <c r="C662" t="s">
        <v>271</v>
      </c>
      <c r="D662">
        <v>306</v>
      </c>
      <c r="E662">
        <v>77</v>
      </c>
      <c r="F662">
        <v>36</v>
      </c>
      <c r="G662">
        <v>40</v>
      </c>
      <c r="H662">
        <v>84</v>
      </c>
      <c r="I662">
        <v>69</v>
      </c>
      <c r="J662">
        <v>76</v>
      </c>
      <c r="K662">
        <v>78</v>
      </c>
      <c r="L662">
        <v>152</v>
      </c>
      <c r="M662">
        <v>279</v>
      </c>
      <c r="N662">
        <v>27</v>
      </c>
      <c r="O662" t="s">
        <v>1135</v>
      </c>
      <c r="P662" s="1" t="b">
        <f>NOT(OR(Table1[[#This Row],[State]]="Other Foreign Countries", Table1[[#This Row],[State]]="Unknown", Table1[[#This Row],[State]]="Puerto Rico all counties"))</f>
        <v>1</v>
      </c>
    </row>
    <row r="663" spans="1:16" x14ac:dyDescent="0.25">
      <c r="A663">
        <v>18025</v>
      </c>
      <c r="B663" t="s">
        <v>1266</v>
      </c>
      <c r="C663" t="s">
        <v>271</v>
      </c>
      <c r="D663">
        <v>312</v>
      </c>
      <c r="E663">
        <v>94</v>
      </c>
      <c r="F663">
        <v>45</v>
      </c>
      <c r="G663">
        <v>30</v>
      </c>
      <c r="H663">
        <v>74</v>
      </c>
      <c r="I663">
        <v>69</v>
      </c>
      <c r="J663">
        <v>54</v>
      </c>
      <c r="K663">
        <v>108</v>
      </c>
      <c r="L663">
        <v>150</v>
      </c>
      <c r="M663">
        <v>297</v>
      </c>
      <c r="N663">
        <v>15</v>
      </c>
      <c r="O663" t="s">
        <v>1282</v>
      </c>
      <c r="P663" s="1" t="b">
        <f>NOT(OR(Table1[[#This Row],[State]]="Other Foreign Countries", Table1[[#This Row],[State]]="Unknown", Table1[[#This Row],[State]]="Puerto Rico all counties"))</f>
        <v>1</v>
      </c>
    </row>
    <row r="664" spans="1:16" x14ac:dyDescent="0.25">
      <c r="A664">
        <v>19047</v>
      </c>
      <c r="B664" t="s">
        <v>1399</v>
      </c>
      <c r="C664" t="s">
        <v>271</v>
      </c>
      <c r="D664">
        <v>238</v>
      </c>
      <c r="E664">
        <v>80</v>
      </c>
      <c r="F664">
        <v>45</v>
      </c>
      <c r="G664">
        <v>39</v>
      </c>
      <c r="H664">
        <v>37</v>
      </c>
      <c r="I664">
        <v>37</v>
      </c>
      <c r="J664">
        <v>32</v>
      </c>
      <c r="K664">
        <v>45</v>
      </c>
      <c r="L664">
        <v>161</v>
      </c>
      <c r="M664">
        <v>220</v>
      </c>
      <c r="N664">
        <v>18</v>
      </c>
      <c r="O664" t="s">
        <v>1434</v>
      </c>
      <c r="P664" s="1" t="b">
        <f>NOT(OR(Table1[[#This Row],[State]]="Other Foreign Countries", Table1[[#This Row],[State]]="Unknown", Table1[[#This Row],[State]]="Puerto Rico all counties"))</f>
        <v>1</v>
      </c>
    </row>
    <row r="665" spans="1:16" x14ac:dyDescent="0.25">
      <c r="A665">
        <v>20037</v>
      </c>
      <c r="B665" t="s">
        <v>1543</v>
      </c>
      <c r="C665" t="s">
        <v>271</v>
      </c>
      <c r="D665">
        <v>452</v>
      </c>
      <c r="E665">
        <v>90</v>
      </c>
      <c r="F665">
        <v>53</v>
      </c>
      <c r="G665">
        <v>58</v>
      </c>
      <c r="H665">
        <v>154</v>
      </c>
      <c r="I665">
        <v>97</v>
      </c>
      <c r="J665">
        <v>128</v>
      </c>
      <c r="K665">
        <v>139</v>
      </c>
      <c r="L665">
        <v>185</v>
      </c>
      <c r="M665">
        <v>417</v>
      </c>
      <c r="N665">
        <v>35</v>
      </c>
      <c r="O665" t="s">
        <v>1573</v>
      </c>
      <c r="P665" s="1" t="b">
        <f>NOT(OR(Table1[[#This Row],[State]]="Other Foreign Countries", Table1[[#This Row],[State]]="Unknown", Table1[[#This Row],[State]]="Puerto Rico all counties"))</f>
        <v>1</v>
      </c>
    </row>
    <row r="666" spans="1:16" x14ac:dyDescent="0.25">
      <c r="A666">
        <v>26039</v>
      </c>
      <c r="B666" t="s">
        <v>2099</v>
      </c>
      <c r="C666" t="s">
        <v>271</v>
      </c>
      <c r="D666">
        <v>534</v>
      </c>
      <c r="E666">
        <v>142</v>
      </c>
      <c r="F666">
        <v>57</v>
      </c>
      <c r="G666">
        <v>57</v>
      </c>
      <c r="H666">
        <v>168</v>
      </c>
      <c r="I666">
        <v>110</v>
      </c>
      <c r="J666">
        <v>103</v>
      </c>
      <c r="K666">
        <v>193</v>
      </c>
      <c r="L666">
        <v>238</v>
      </c>
      <c r="M666">
        <v>490</v>
      </c>
      <c r="N666">
        <v>44</v>
      </c>
      <c r="O666" t="s">
        <v>2133</v>
      </c>
      <c r="P666" s="1" t="b">
        <f>NOT(OR(Table1[[#This Row],[State]]="Other Foreign Countries", Table1[[#This Row],[State]]="Unknown", Table1[[#This Row],[State]]="Puerto Rico all counties"))</f>
        <v>1</v>
      </c>
    </row>
    <row r="667" spans="1:16" x14ac:dyDescent="0.25">
      <c r="A667">
        <v>29055</v>
      </c>
      <c r="B667" t="s">
        <v>2510</v>
      </c>
      <c r="C667" t="s">
        <v>271</v>
      </c>
      <c r="D667">
        <v>604</v>
      </c>
      <c r="E667">
        <v>153</v>
      </c>
      <c r="F667">
        <v>75</v>
      </c>
      <c r="G667">
        <v>58</v>
      </c>
      <c r="H667">
        <v>174</v>
      </c>
      <c r="I667">
        <v>144</v>
      </c>
      <c r="J667">
        <v>122</v>
      </c>
      <c r="K667">
        <v>182</v>
      </c>
      <c r="L667">
        <v>300</v>
      </c>
      <c r="M667">
        <v>558</v>
      </c>
      <c r="N667">
        <v>45</v>
      </c>
      <c r="O667" t="s">
        <v>2547</v>
      </c>
      <c r="P667" s="1" t="b">
        <f>NOT(OR(Table1[[#This Row],[State]]="Other Foreign Countries", Table1[[#This Row],[State]]="Unknown", Table1[[#This Row],[State]]="Puerto Rico all counties"))</f>
        <v>1</v>
      </c>
    </row>
    <row r="668" spans="1:16" x14ac:dyDescent="0.25">
      <c r="A668">
        <v>39033</v>
      </c>
      <c r="B668" t="s">
        <v>1343</v>
      </c>
      <c r="C668" t="s">
        <v>271</v>
      </c>
      <c r="D668">
        <v>698</v>
      </c>
      <c r="E668">
        <v>188</v>
      </c>
      <c r="F668">
        <v>85</v>
      </c>
      <c r="G668">
        <v>90</v>
      </c>
      <c r="H668">
        <v>208</v>
      </c>
      <c r="I668">
        <v>127</v>
      </c>
      <c r="J668">
        <v>165</v>
      </c>
      <c r="K668">
        <v>202</v>
      </c>
      <c r="L668">
        <v>331</v>
      </c>
      <c r="M668">
        <v>645</v>
      </c>
      <c r="N668">
        <v>53</v>
      </c>
      <c r="O668" t="s">
        <v>3395</v>
      </c>
      <c r="P668" s="1" t="b">
        <f>NOT(OR(Table1[[#This Row],[State]]="Other Foreign Countries", Table1[[#This Row],[State]]="Unknown", Table1[[#This Row],[State]]="Puerto Rico all counties"))</f>
        <v>1</v>
      </c>
    </row>
    <row r="669" spans="1:16" x14ac:dyDescent="0.25">
      <c r="A669">
        <v>42039</v>
      </c>
      <c r="B669" t="s">
        <v>3665</v>
      </c>
      <c r="C669" t="s">
        <v>271</v>
      </c>
      <c r="D669">
        <v>1972</v>
      </c>
      <c r="E669">
        <v>529</v>
      </c>
      <c r="F669">
        <v>220</v>
      </c>
      <c r="G669">
        <v>255</v>
      </c>
      <c r="H669">
        <v>495</v>
      </c>
      <c r="I669">
        <v>473</v>
      </c>
      <c r="J669">
        <v>432</v>
      </c>
      <c r="K669">
        <v>591</v>
      </c>
      <c r="L669">
        <v>949</v>
      </c>
      <c r="M669" s="1">
        <v>1823</v>
      </c>
      <c r="N669">
        <v>149</v>
      </c>
      <c r="O669" t="s">
        <v>3696</v>
      </c>
      <c r="P669" s="1" t="b">
        <f>NOT(OR(Table1[[#This Row],[State]]="Other Foreign Countries", Table1[[#This Row],[State]]="Unknown", Table1[[#This Row],[State]]="Puerto Rico all counties"))</f>
        <v>1</v>
      </c>
    </row>
    <row r="670" spans="1:16" x14ac:dyDescent="0.25">
      <c r="A670">
        <v>55023</v>
      </c>
      <c r="B670" t="s">
        <v>4906</v>
      </c>
      <c r="C670" t="s">
        <v>271</v>
      </c>
      <c r="D670">
        <v>342</v>
      </c>
      <c r="E670">
        <v>88</v>
      </c>
      <c r="F670">
        <v>44</v>
      </c>
      <c r="G670">
        <v>44</v>
      </c>
      <c r="H670">
        <v>104</v>
      </c>
      <c r="I670">
        <v>62</v>
      </c>
      <c r="J670">
        <v>64</v>
      </c>
      <c r="K670">
        <v>101</v>
      </c>
      <c r="L670">
        <v>177</v>
      </c>
      <c r="M670">
        <v>314</v>
      </c>
      <c r="N670">
        <v>28</v>
      </c>
      <c r="O670" t="s">
        <v>4922</v>
      </c>
      <c r="P670" s="1" t="b">
        <f>NOT(OR(Table1[[#This Row],[State]]="Other Foreign Countries", Table1[[#This Row],[State]]="Unknown", Table1[[#This Row],[State]]="Puerto Rico all counties"))</f>
        <v>1</v>
      </c>
    </row>
    <row r="671" spans="1:16" x14ac:dyDescent="0.25">
      <c r="A671">
        <v>40037</v>
      </c>
      <c r="B671" t="s">
        <v>3495</v>
      </c>
      <c r="C671" t="s">
        <v>3523</v>
      </c>
      <c r="D671">
        <v>1825</v>
      </c>
      <c r="E671">
        <v>360</v>
      </c>
      <c r="F671">
        <v>189</v>
      </c>
      <c r="G671">
        <v>228</v>
      </c>
      <c r="H671">
        <v>632</v>
      </c>
      <c r="I671">
        <v>416</v>
      </c>
      <c r="J671">
        <v>462</v>
      </c>
      <c r="K671">
        <v>543</v>
      </c>
      <c r="L671">
        <v>820</v>
      </c>
      <c r="M671" s="1">
        <v>1675</v>
      </c>
      <c r="N671">
        <v>150</v>
      </c>
      <c r="O671" t="s">
        <v>3524</v>
      </c>
      <c r="P671" s="1" t="b">
        <f>NOT(OR(Table1[[#This Row],[State]]="Other Foreign Countries", Table1[[#This Row],[State]]="Unknown", Table1[[#This Row],[State]]="Puerto Rico all counties"))</f>
        <v>1</v>
      </c>
    </row>
    <row r="672" spans="1:16" x14ac:dyDescent="0.25">
      <c r="A672">
        <v>1041</v>
      </c>
      <c r="B672" t="s">
        <v>15</v>
      </c>
      <c r="C672" t="s">
        <v>56</v>
      </c>
      <c r="D672">
        <v>361</v>
      </c>
      <c r="E672">
        <v>66</v>
      </c>
      <c r="F672">
        <v>33</v>
      </c>
      <c r="G672">
        <v>56</v>
      </c>
      <c r="H672">
        <v>96</v>
      </c>
      <c r="I672">
        <v>110</v>
      </c>
      <c r="J672">
        <v>66</v>
      </c>
      <c r="K672">
        <v>134</v>
      </c>
      <c r="L672">
        <v>161</v>
      </c>
      <c r="M672">
        <v>321</v>
      </c>
      <c r="N672">
        <v>40</v>
      </c>
      <c r="O672" t="s">
        <v>57</v>
      </c>
      <c r="P672" s="1" t="b">
        <f>NOT(OR(Table1[[#This Row],[State]]="Other Foreign Countries", Table1[[#This Row],[State]]="Unknown", Table1[[#This Row],[State]]="Puerto Rico all counties"))</f>
        <v>1</v>
      </c>
    </row>
    <row r="673" spans="1:16" x14ac:dyDescent="0.25">
      <c r="A673">
        <v>13081</v>
      </c>
      <c r="B673" t="s">
        <v>754</v>
      </c>
      <c r="C673" t="s">
        <v>822</v>
      </c>
      <c r="D673">
        <v>346</v>
      </c>
      <c r="E673">
        <v>51</v>
      </c>
      <c r="F673">
        <v>39</v>
      </c>
      <c r="G673">
        <v>41</v>
      </c>
      <c r="H673">
        <v>106</v>
      </c>
      <c r="I673">
        <v>109</v>
      </c>
      <c r="J673">
        <v>80</v>
      </c>
      <c r="K673">
        <v>106</v>
      </c>
      <c r="L673">
        <v>160</v>
      </c>
      <c r="M673">
        <v>299</v>
      </c>
      <c r="N673">
        <v>47</v>
      </c>
      <c r="O673" t="s">
        <v>823</v>
      </c>
      <c r="P673" s="1" t="b">
        <f>NOT(OR(Table1[[#This Row],[State]]="Other Foreign Countries", Table1[[#This Row],[State]]="Unknown", Table1[[#This Row],[State]]="Puerto Rico all counties"))</f>
        <v>1</v>
      </c>
    </row>
    <row r="674" spans="1:16" x14ac:dyDescent="0.25">
      <c r="A674">
        <v>5035</v>
      </c>
      <c r="B674" t="s">
        <v>242</v>
      </c>
      <c r="C674" t="s">
        <v>273</v>
      </c>
      <c r="D674">
        <v>839</v>
      </c>
      <c r="E674">
        <v>155</v>
      </c>
      <c r="F674">
        <v>84</v>
      </c>
      <c r="G674">
        <v>107</v>
      </c>
      <c r="H674">
        <v>264</v>
      </c>
      <c r="I674">
        <v>229</v>
      </c>
      <c r="J674">
        <v>182</v>
      </c>
      <c r="K674">
        <v>306</v>
      </c>
      <c r="L674">
        <v>351</v>
      </c>
      <c r="M674">
        <v>725</v>
      </c>
      <c r="N674">
        <v>114</v>
      </c>
      <c r="O674" t="s">
        <v>274</v>
      </c>
      <c r="P674" s="1" t="b">
        <f>NOT(OR(Table1[[#This Row],[State]]="Other Foreign Countries", Table1[[#This Row],[State]]="Unknown", Table1[[#This Row],[State]]="Puerto Rico all counties"))</f>
        <v>1</v>
      </c>
    </row>
    <row r="675" spans="1:16" x14ac:dyDescent="0.25">
      <c r="A675">
        <v>21055</v>
      </c>
      <c r="B675" t="s">
        <v>1716</v>
      </c>
      <c r="C675" t="s">
        <v>273</v>
      </c>
      <c r="D675">
        <v>174</v>
      </c>
      <c r="E675">
        <v>25</v>
      </c>
      <c r="F675">
        <v>18</v>
      </c>
      <c r="G675">
        <v>27</v>
      </c>
      <c r="H675">
        <v>57</v>
      </c>
      <c r="I675">
        <v>47</v>
      </c>
      <c r="J675">
        <v>45</v>
      </c>
      <c r="K675">
        <v>53</v>
      </c>
      <c r="L675">
        <v>76</v>
      </c>
      <c r="M675">
        <v>157</v>
      </c>
      <c r="N675">
        <v>17</v>
      </c>
      <c r="O675" t="s">
        <v>1760</v>
      </c>
      <c r="P675" s="1" t="b">
        <f>NOT(OR(Table1[[#This Row],[State]]="Other Foreign Countries", Table1[[#This Row],[State]]="Unknown", Table1[[#This Row],[State]]="Puerto Rico all counties"))</f>
        <v>1</v>
      </c>
    </row>
    <row r="676" spans="1:16" x14ac:dyDescent="0.25">
      <c r="A676">
        <v>47033</v>
      </c>
      <c r="B676" t="s">
        <v>3951</v>
      </c>
      <c r="C676" t="s">
        <v>3972</v>
      </c>
      <c r="D676">
        <v>260</v>
      </c>
      <c r="E676">
        <v>55</v>
      </c>
      <c r="F676">
        <v>22</v>
      </c>
      <c r="G676">
        <v>21</v>
      </c>
      <c r="H676">
        <v>81</v>
      </c>
      <c r="I676">
        <v>81</v>
      </c>
      <c r="J676">
        <v>57</v>
      </c>
      <c r="K676">
        <v>71</v>
      </c>
      <c r="L676">
        <v>132</v>
      </c>
      <c r="M676">
        <v>238</v>
      </c>
      <c r="N676">
        <v>22</v>
      </c>
      <c r="O676" t="s">
        <v>3973</v>
      </c>
      <c r="P676" s="1" t="b">
        <f>NOT(OR(Table1[[#This Row],[State]]="Other Foreign Countries", Table1[[#This Row],[State]]="Unknown", Table1[[#This Row],[State]]="Puerto Rico all counties"))</f>
        <v>1</v>
      </c>
    </row>
    <row r="677" spans="1:16" x14ac:dyDescent="0.25">
      <c r="A677">
        <v>48105</v>
      </c>
      <c r="B677" t="s">
        <v>2654</v>
      </c>
      <c r="C677" t="s">
        <v>3972</v>
      </c>
      <c r="D677">
        <v>47</v>
      </c>
      <c r="H677">
        <v>13</v>
      </c>
      <c r="I677">
        <v>13</v>
      </c>
      <c r="L677">
        <v>23</v>
      </c>
      <c r="O677" t="s">
        <v>4163</v>
      </c>
      <c r="P677" s="1" t="b">
        <f>NOT(OR(Table1[[#This Row],[State]]="Other Foreign Countries", Table1[[#This Row],[State]]="Unknown", Table1[[#This Row],[State]]="Puerto Rico all counties"))</f>
        <v>1</v>
      </c>
    </row>
    <row r="678" spans="1:16" x14ac:dyDescent="0.25">
      <c r="A678">
        <v>41013</v>
      </c>
      <c r="B678" t="s">
        <v>2607</v>
      </c>
      <c r="C678" t="s">
        <v>3621</v>
      </c>
      <c r="D678">
        <v>962</v>
      </c>
      <c r="E678">
        <v>227</v>
      </c>
      <c r="F678">
        <v>109</v>
      </c>
      <c r="G678">
        <v>124</v>
      </c>
      <c r="H678">
        <v>279</v>
      </c>
      <c r="I678">
        <v>223</v>
      </c>
      <c r="J678">
        <v>240</v>
      </c>
      <c r="K678">
        <v>232</v>
      </c>
      <c r="L678">
        <v>490</v>
      </c>
      <c r="M678">
        <v>883</v>
      </c>
      <c r="N678">
        <v>79</v>
      </c>
      <c r="O678" t="s">
        <v>3622</v>
      </c>
      <c r="P678" s="1" t="b">
        <f>NOT(OR(Table1[[#This Row],[State]]="Other Foreign Countries", Table1[[#This Row],[State]]="Unknown", Table1[[#This Row],[State]]="Puerto Rico all counties"))</f>
        <v>1</v>
      </c>
    </row>
    <row r="679" spans="1:16" x14ac:dyDescent="0.25">
      <c r="A679">
        <v>56011</v>
      </c>
      <c r="B679" t="s">
        <v>3117</v>
      </c>
      <c r="C679" t="s">
        <v>3621</v>
      </c>
      <c r="D679">
        <v>236</v>
      </c>
      <c r="E679">
        <v>59</v>
      </c>
      <c r="F679">
        <v>33</v>
      </c>
      <c r="G679">
        <v>41</v>
      </c>
      <c r="H679">
        <v>53</v>
      </c>
      <c r="I679">
        <v>50</v>
      </c>
      <c r="J679">
        <v>46</v>
      </c>
      <c r="K679">
        <v>72</v>
      </c>
      <c r="L679">
        <v>118</v>
      </c>
      <c r="M679">
        <v>206</v>
      </c>
      <c r="N679">
        <v>30</v>
      </c>
      <c r="O679" t="s">
        <v>5019</v>
      </c>
      <c r="P679" s="1" t="b">
        <f>NOT(OR(Table1[[#This Row],[State]]="Other Foreign Countries", Table1[[#This Row],[State]]="Unknown", Table1[[#This Row],[State]]="Puerto Rico all counties"))</f>
        <v>1</v>
      </c>
    </row>
    <row r="680" spans="1:16" x14ac:dyDescent="0.25">
      <c r="A680">
        <v>48107</v>
      </c>
      <c r="B680" t="s">
        <v>2654</v>
      </c>
      <c r="C680" t="s">
        <v>4164</v>
      </c>
      <c r="D680">
        <v>86</v>
      </c>
      <c r="E680">
        <v>22</v>
      </c>
      <c r="H680">
        <v>22</v>
      </c>
      <c r="I680">
        <v>20</v>
      </c>
      <c r="J680">
        <v>20</v>
      </c>
      <c r="K680">
        <v>30</v>
      </c>
      <c r="L680">
        <v>36</v>
      </c>
      <c r="O680" t="s">
        <v>4165</v>
      </c>
      <c r="P680" s="1" t="b">
        <f>NOT(OR(Table1[[#This Row],[State]]="Other Foreign Countries", Table1[[#This Row],[State]]="Unknown", Table1[[#This Row],[State]]="Puerto Rico all counties"))</f>
        <v>1</v>
      </c>
    </row>
    <row r="681" spans="1:16" x14ac:dyDescent="0.25">
      <c r="A681">
        <v>5037</v>
      </c>
      <c r="B681" t="s">
        <v>242</v>
      </c>
      <c r="C681" t="s">
        <v>275</v>
      </c>
      <c r="D681">
        <v>267</v>
      </c>
      <c r="E681">
        <v>39</v>
      </c>
      <c r="F681">
        <v>24</v>
      </c>
      <c r="G681">
        <v>34</v>
      </c>
      <c r="H681">
        <v>90</v>
      </c>
      <c r="I681">
        <v>80</v>
      </c>
      <c r="J681">
        <v>61</v>
      </c>
      <c r="K681">
        <v>100</v>
      </c>
      <c r="L681">
        <v>106</v>
      </c>
      <c r="M681">
        <v>245</v>
      </c>
      <c r="N681">
        <v>21</v>
      </c>
      <c r="O681" t="s">
        <v>276</v>
      </c>
      <c r="P681" s="1" t="b">
        <f>NOT(OR(Table1[[#This Row],[State]]="Other Foreign Countries", Table1[[#This Row],[State]]="Unknown", Table1[[#This Row],[State]]="Puerto Rico all counties"))</f>
        <v>1</v>
      </c>
    </row>
    <row r="682" spans="1:16" x14ac:dyDescent="0.25">
      <c r="A682">
        <v>27035</v>
      </c>
      <c r="B682" t="s">
        <v>2245</v>
      </c>
      <c r="C682" t="s">
        <v>2273</v>
      </c>
      <c r="D682">
        <v>2307</v>
      </c>
      <c r="E682">
        <v>950</v>
      </c>
      <c r="F682">
        <v>278</v>
      </c>
      <c r="G682">
        <v>223</v>
      </c>
      <c r="H682">
        <v>475</v>
      </c>
      <c r="I682">
        <v>381</v>
      </c>
      <c r="J682">
        <v>345</v>
      </c>
      <c r="K682">
        <v>553</v>
      </c>
      <c r="L682" s="1">
        <v>1409</v>
      </c>
      <c r="M682" s="1">
        <v>2174</v>
      </c>
      <c r="N682">
        <v>132</v>
      </c>
      <c r="O682" t="s">
        <v>2274</v>
      </c>
      <c r="P682" s="1" t="b">
        <f>NOT(OR(Table1[[#This Row],[State]]="Other Foreign Countries", Table1[[#This Row],[State]]="Unknown", Table1[[#This Row],[State]]="Puerto Rico all counties"))</f>
        <v>1</v>
      </c>
    </row>
    <row r="683" spans="1:16" x14ac:dyDescent="0.25">
      <c r="A683">
        <v>8025</v>
      </c>
      <c r="B683" t="s">
        <v>489</v>
      </c>
      <c r="C683" t="s">
        <v>516</v>
      </c>
      <c r="D683">
        <v>99</v>
      </c>
      <c r="E683">
        <v>19</v>
      </c>
      <c r="H683">
        <v>29</v>
      </c>
      <c r="I683">
        <v>30</v>
      </c>
      <c r="J683">
        <v>16</v>
      </c>
      <c r="K683">
        <v>30</v>
      </c>
      <c r="L683">
        <v>53</v>
      </c>
      <c r="M683">
        <v>87</v>
      </c>
      <c r="N683">
        <v>12</v>
      </c>
      <c r="O683" t="s">
        <v>517</v>
      </c>
      <c r="P683" s="1" t="b">
        <f>NOT(OR(Table1[[#This Row],[State]]="Other Foreign Countries", Table1[[#This Row],[State]]="Unknown", Table1[[#This Row],[State]]="Puerto Rico all counties"))</f>
        <v>1</v>
      </c>
    </row>
    <row r="684" spans="1:16" x14ac:dyDescent="0.25">
      <c r="A684">
        <v>48109</v>
      </c>
      <c r="B684" t="s">
        <v>2654</v>
      </c>
      <c r="C684" t="s">
        <v>4166</v>
      </c>
      <c r="D684">
        <v>43</v>
      </c>
      <c r="H684">
        <v>14</v>
      </c>
      <c r="I684">
        <v>10</v>
      </c>
      <c r="J684">
        <v>10</v>
      </c>
      <c r="K684">
        <v>17</v>
      </c>
      <c r="L684">
        <v>16</v>
      </c>
      <c r="O684" t="s">
        <v>4167</v>
      </c>
      <c r="P684" s="1" t="b">
        <f>NOT(OR(Table1[[#This Row],[State]]="Other Foreign Countries", Table1[[#This Row],[State]]="Unknown", Table1[[#This Row],[State]]="Puerto Rico all counties"))</f>
        <v>1</v>
      </c>
    </row>
    <row r="685" spans="1:16" x14ac:dyDescent="0.25">
      <c r="A685">
        <v>1043</v>
      </c>
      <c r="B685" t="s">
        <v>15</v>
      </c>
      <c r="C685" t="s">
        <v>58</v>
      </c>
      <c r="D685">
        <v>1828</v>
      </c>
      <c r="E685">
        <v>312</v>
      </c>
      <c r="F685">
        <v>215</v>
      </c>
      <c r="G685">
        <v>194</v>
      </c>
      <c r="H685">
        <v>557</v>
      </c>
      <c r="I685">
        <v>550</v>
      </c>
      <c r="J685">
        <v>538</v>
      </c>
      <c r="K685">
        <v>592</v>
      </c>
      <c r="L685">
        <v>698</v>
      </c>
      <c r="M685" s="1">
        <v>1657</v>
      </c>
      <c r="N685">
        <v>171</v>
      </c>
      <c r="O685" t="s">
        <v>59</v>
      </c>
      <c r="P685" s="1" t="b">
        <f>NOT(OR(Table1[[#This Row],[State]]="Other Foreign Countries", Table1[[#This Row],[State]]="Unknown", Table1[[#This Row],[State]]="Puerto Rico all counties"))</f>
        <v>1</v>
      </c>
    </row>
    <row r="686" spans="1:16" x14ac:dyDescent="0.25">
      <c r="A686">
        <v>51047</v>
      </c>
      <c r="B686" t="s">
        <v>4555</v>
      </c>
      <c r="C686" t="s">
        <v>4590</v>
      </c>
      <c r="D686">
        <v>1256</v>
      </c>
      <c r="E686">
        <v>216</v>
      </c>
      <c r="F686">
        <v>135</v>
      </c>
      <c r="G686">
        <v>155</v>
      </c>
      <c r="H686">
        <v>363</v>
      </c>
      <c r="I686">
        <v>387</v>
      </c>
      <c r="J686">
        <v>366</v>
      </c>
      <c r="K686">
        <v>523</v>
      </c>
      <c r="L686">
        <v>367</v>
      </c>
      <c r="M686" s="1">
        <v>1098</v>
      </c>
      <c r="N686">
        <v>158</v>
      </c>
      <c r="O686" t="s">
        <v>4591</v>
      </c>
      <c r="P686" s="1" t="b">
        <f>NOT(OR(Table1[[#This Row],[State]]="Other Foreign Countries", Table1[[#This Row],[State]]="Unknown", Table1[[#This Row],[State]]="Puerto Rico all counties"))</f>
        <v>1</v>
      </c>
    </row>
    <row r="687" spans="1:16" x14ac:dyDescent="0.25">
      <c r="A687">
        <v>17035</v>
      </c>
      <c r="B687" t="s">
        <v>1109</v>
      </c>
      <c r="C687" t="s">
        <v>1136</v>
      </c>
      <c r="D687">
        <v>167</v>
      </c>
      <c r="E687">
        <v>35</v>
      </c>
      <c r="F687">
        <v>20</v>
      </c>
      <c r="G687">
        <v>21</v>
      </c>
      <c r="H687">
        <v>52</v>
      </c>
      <c r="I687">
        <v>39</v>
      </c>
      <c r="J687">
        <v>52</v>
      </c>
      <c r="K687">
        <v>44</v>
      </c>
      <c r="L687">
        <v>71</v>
      </c>
      <c r="M687">
        <v>155</v>
      </c>
      <c r="N687">
        <v>12</v>
      </c>
      <c r="O687" t="s">
        <v>1137</v>
      </c>
      <c r="P687" s="1" t="b">
        <f>NOT(OR(Table1[[#This Row],[State]]="Other Foreign Countries", Table1[[#This Row],[State]]="Unknown", Table1[[#This Row],[State]]="Puerto Rico all counties"))</f>
        <v>1</v>
      </c>
    </row>
    <row r="688" spans="1:16" x14ac:dyDescent="0.25">
      <c r="A688">
        <v>21057</v>
      </c>
      <c r="B688" t="s">
        <v>1716</v>
      </c>
      <c r="C688" t="s">
        <v>1136</v>
      </c>
      <c r="D688">
        <v>127</v>
      </c>
      <c r="E688">
        <v>29</v>
      </c>
      <c r="F688">
        <v>12</v>
      </c>
      <c r="G688">
        <v>18</v>
      </c>
      <c r="H688">
        <v>34</v>
      </c>
      <c r="I688">
        <v>34</v>
      </c>
      <c r="J688">
        <v>19</v>
      </c>
      <c r="K688">
        <v>36</v>
      </c>
      <c r="L688">
        <v>72</v>
      </c>
      <c r="O688" t="s">
        <v>1761</v>
      </c>
      <c r="P688" s="1" t="b">
        <f>NOT(OR(Table1[[#This Row],[State]]="Other Foreign Countries", Table1[[#This Row],[State]]="Unknown", Table1[[#This Row],[State]]="Puerto Rico all counties"))</f>
        <v>1</v>
      </c>
    </row>
    <row r="689" spans="1:16" x14ac:dyDescent="0.25">
      <c r="A689">
        <v>23005</v>
      </c>
      <c r="B689" t="s">
        <v>2004</v>
      </c>
      <c r="C689" t="s">
        <v>1136</v>
      </c>
      <c r="D689">
        <v>5037</v>
      </c>
      <c r="E689" s="1">
        <v>1057</v>
      </c>
      <c r="F689">
        <v>618</v>
      </c>
      <c r="G689">
        <v>593</v>
      </c>
      <c r="H689" s="1">
        <v>1590</v>
      </c>
      <c r="I689" s="1">
        <v>1179</v>
      </c>
      <c r="J689" s="1">
        <v>1234</v>
      </c>
      <c r="K689" s="1">
        <v>1559</v>
      </c>
      <c r="L689" s="1">
        <v>2244</v>
      </c>
      <c r="M689" s="1">
        <v>4503</v>
      </c>
      <c r="N689">
        <v>532</v>
      </c>
      <c r="O689" t="s">
        <v>2009</v>
      </c>
      <c r="P689" s="1" t="b">
        <f>NOT(OR(Table1[[#This Row],[State]]="Other Foreign Countries", Table1[[#This Row],[State]]="Unknown", Table1[[#This Row],[State]]="Puerto Rico all counties"))</f>
        <v>1</v>
      </c>
    </row>
    <row r="690" spans="1:16" x14ac:dyDescent="0.25">
      <c r="A690">
        <v>34011</v>
      </c>
      <c r="B690" t="s">
        <v>2938</v>
      </c>
      <c r="C690" t="s">
        <v>1136</v>
      </c>
      <c r="D690">
        <v>1765</v>
      </c>
      <c r="E690">
        <v>353</v>
      </c>
      <c r="F690">
        <v>166</v>
      </c>
      <c r="G690">
        <v>205</v>
      </c>
      <c r="H690">
        <v>544</v>
      </c>
      <c r="I690">
        <v>497</v>
      </c>
      <c r="J690">
        <v>483</v>
      </c>
      <c r="K690">
        <v>483</v>
      </c>
      <c r="L690">
        <v>799</v>
      </c>
      <c r="M690" s="1">
        <v>1581</v>
      </c>
      <c r="N690">
        <v>184</v>
      </c>
      <c r="O690" t="s">
        <v>2948</v>
      </c>
      <c r="P690" s="1" t="b">
        <f>NOT(OR(Table1[[#This Row],[State]]="Other Foreign Countries", Table1[[#This Row],[State]]="Unknown", Table1[[#This Row],[State]]="Puerto Rico all counties"))</f>
        <v>1</v>
      </c>
    </row>
    <row r="691" spans="1:16" x14ac:dyDescent="0.25">
      <c r="A691">
        <v>37051</v>
      </c>
      <c r="B691" t="s">
        <v>3121</v>
      </c>
      <c r="C691" t="s">
        <v>1136</v>
      </c>
      <c r="D691">
        <v>32059</v>
      </c>
      <c r="E691" s="1">
        <v>2621</v>
      </c>
      <c r="F691" s="1">
        <v>1930</v>
      </c>
      <c r="G691" s="1">
        <v>2622</v>
      </c>
      <c r="H691" s="1">
        <v>9517</v>
      </c>
      <c r="I691" s="1">
        <v>15369</v>
      </c>
      <c r="J691" s="1">
        <v>10326</v>
      </c>
      <c r="K691" s="1">
        <v>12678</v>
      </c>
      <c r="L691" s="1">
        <v>9054</v>
      </c>
      <c r="M691" s="1">
        <v>24866</v>
      </c>
      <c r="N691" s="1">
        <v>7190</v>
      </c>
      <c r="O691" t="s">
        <v>3164</v>
      </c>
      <c r="P691" s="1" t="b">
        <f>NOT(OR(Table1[[#This Row],[State]]="Other Foreign Countries", Table1[[#This Row],[State]]="Unknown", Table1[[#This Row],[State]]="Puerto Rico all counties"))</f>
        <v>1</v>
      </c>
    </row>
    <row r="692" spans="1:16" x14ac:dyDescent="0.25">
      <c r="A692">
        <v>42041</v>
      </c>
      <c r="B692" t="s">
        <v>3665</v>
      </c>
      <c r="C692" t="s">
        <v>1136</v>
      </c>
      <c r="D692">
        <v>5490</v>
      </c>
      <c r="E692" s="1">
        <v>1094</v>
      </c>
      <c r="F692">
        <v>702</v>
      </c>
      <c r="G692">
        <v>732</v>
      </c>
      <c r="H692" s="1">
        <v>1580</v>
      </c>
      <c r="I692" s="1">
        <v>1382</v>
      </c>
      <c r="J692" s="1">
        <v>1414</v>
      </c>
      <c r="K692" s="1">
        <v>2108</v>
      </c>
      <c r="L692" s="1">
        <v>1968</v>
      </c>
      <c r="M692" s="1">
        <v>4779</v>
      </c>
      <c r="N692">
        <v>711</v>
      </c>
      <c r="O692" t="s">
        <v>3697</v>
      </c>
      <c r="P692" s="1" t="b">
        <f>NOT(OR(Table1[[#This Row],[State]]="Other Foreign Countries", Table1[[#This Row],[State]]="Unknown", Table1[[#This Row],[State]]="Puerto Rico all counties"))</f>
        <v>1</v>
      </c>
    </row>
    <row r="693" spans="1:16" x14ac:dyDescent="0.25">
      <c r="A693">
        <v>47035</v>
      </c>
      <c r="B693" t="s">
        <v>3951</v>
      </c>
      <c r="C693" t="s">
        <v>1136</v>
      </c>
      <c r="D693">
        <v>2167</v>
      </c>
      <c r="E693">
        <v>514</v>
      </c>
      <c r="F693">
        <v>237</v>
      </c>
      <c r="G693">
        <v>258</v>
      </c>
      <c r="H693">
        <v>585</v>
      </c>
      <c r="I693">
        <v>573</v>
      </c>
      <c r="J693">
        <v>279</v>
      </c>
      <c r="K693">
        <v>575</v>
      </c>
      <c r="L693" s="1">
        <v>1313</v>
      </c>
      <c r="M693" s="1">
        <v>1989</v>
      </c>
      <c r="N693">
        <v>177</v>
      </c>
      <c r="O693" t="s">
        <v>3974</v>
      </c>
      <c r="P693" s="1" t="b">
        <f>NOT(OR(Table1[[#This Row],[State]]="Other Foreign Countries", Table1[[#This Row],[State]]="Unknown", Table1[[#This Row],[State]]="Puerto Rico all counties"))</f>
        <v>1</v>
      </c>
    </row>
    <row r="694" spans="1:16" x14ac:dyDescent="0.25">
      <c r="A694">
        <v>51049</v>
      </c>
      <c r="B694" t="s">
        <v>4555</v>
      </c>
      <c r="C694" t="s">
        <v>1136</v>
      </c>
      <c r="D694">
        <v>249</v>
      </c>
      <c r="E694">
        <v>47</v>
      </c>
      <c r="F694">
        <v>31</v>
      </c>
      <c r="G694">
        <v>29</v>
      </c>
      <c r="H694">
        <v>71</v>
      </c>
      <c r="I694">
        <v>71</v>
      </c>
      <c r="J694">
        <v>63</v>
      </c>
      <c r="K694">
        <v>81</v>
      </c>
      <c r="L694">
        <v>105</v>
      </c>
      <c r="M694">
        <v>217</v>
      </c>
      <c r="N694">
        <v>32</v>
      </c>
      <c r="O694" t="s">
        <v>4592</v>
      </c>
      <c r="P694" s="1" t="b">
        <f>NOT(OR(Table1[[#This Row],[State]]="Other Foreign Countries", Table1[[#This Row],[State]]="Unknown", Table1[[#This Row],[State]]="Puerto Rico all counties"))</f>
        <v>1</v>
      </c>
    </row>
    <row r="695" spans="1:16" x14ac:dyDescent="0.25">
      <c r="A695">
        <v>31039</v>
      </c>
      <c r="B695" t="s">
        <v>2758</v>
      </c>
      <c r="C695" t="s">
        <v>2786</v>
      </c>
      <c r="D695">
        <v>206</v>
      </c>
      <c r="E695">
        <v>78</v>
      </c>
      <c r="F695">
        <v>29</v>
      </c>
      <c r="G695">
        <v>44</v>
      </c>
      <c r="H695">
        <v>34</v>
      </c>
      <c r="I695">
        <v>21</v>
      </c>
      <c r="J695">
        <v>35</v>
      </c>
      <c r="K695">
        <v>35</v>
      </c>
      <c r="L695">
        <v>136</v>
      </c>
      <c r="O695" t="s">
        <v>2787</v>
      </c>
      <c r="P695" s="1" t="b">
        <f>NOT(OR(Table1[[#This Row],[State]]="Other Foreign Countries", Table1[[#This Row],[State]]="Unknown", Table1[[#This Row],[State]]="Puerto Rico all counties"))</f>
        <v>1</v>
      </c>
    </row>
    <row r="696" spans="1:16" x14ac:dyDescent="0.25">
      <c r="A696">
        <v>37053</v>
      </c>
      <c r="B696" t="s">
        <v>3121</v>
      </c>
      <c r="C696" t="s">
        <v>3165</v>
      </c>
      <c r="D696">
        <v>1903</v>
      </c>
      <c r="E696">
        <v>259</v>
      </c>
      <c r="F696">
        <v>187</v>
      </c>
      <c r="G696">
        <v>201</v>
      </c>
      <c r="H696">
        <v>564</v>
      </c>
      <c r="I696">
        <v>692</v>
      </c>
      <c r="J696">
        <v>539</v>
      </c>
      <c r="K696">
        <v>887</v>
      </c>
      <c r="L696">
        <v>477</v>
      </c>
      <c r="M696" s="1">
        <v>1589</v>
      </c>
      <c r="N696">
        <v>314</v>
      </c>
      <c r="O696" t="s">
        <v>3166</v>
      </c>
      <c r="P696" s="1" t="b">
        <f>NOT(OR(Table1[[#This Row],[State]]="Other Foreign Countries", Table1[[#This Row],[State]]="Unknown", Table1[[#This Row],[State]]="Puerto Rico all counties"))</f>
        <v>1</v>
      </c>
    </row>
    <row r="697" spans="1:16" x14ac:dyDescent="0.25">
      <c r="A697">
        <v>35009</v>
      </c>
      <c r="B697" t="s">
        <v>2971</v>
      </c>
      <c r="C697" t="s">
        <v>2981</v>
      </c>
      <c r="D697">
        <v>1795</v>
      </c>
      <c r="E697">
        <v>239</v>
      </c>
      <c r="F697">
        <v>153</v>
      </c>
      <c r="G697">
        <v>215</v>
      </c>
      <c r="H697">
        <v>639</v>
      </c>
      <c r="I697">
        <v>549</v>
      </c>
      <c r="J697">
        <v>698</v>
      </c>
      <c r="K697">
        <v>590</v>
      </c>
      <c r="L697">
        <v>507</v>
      </c>
      <c r="M697" s="1">
        <v>1511</v>
      </c>
      <c r="N697">
        <v>284</v>
      </c>
      <c r="O697" t="s">
        <v>2982</v>
      </c>
      <c r="P697" s="1" t="b">
        <f>NOT(OR(Table1[[#This Row],[State]]="Other Foreign Countries", Table1[[#This Row],[State]]="Unknown", Table1[[#This Row],[State]]="Puerto Rico all counties"))</f>
        <v>1</v>
      </c>
    </row>
    <row r="698" spans="1:16" x14ac:dyDescent="0.25">
      <c r="A698">
        <v>41015</v>
      </c>
      <c r="B698" t="s">
        <v>2607</v>
      </c>
      <c r="C698" t="s">
        <v>2981</v>
      </c>
      <c r="D698">
        <v>807</v>
      </c>
      <c r="E698">
        <v>190</v>
      </c>
      <c r="F698">
        <v>82</v>
      </c>
      <c r="G698">
        <v>98</v>
      </c>
      <c r="H698">
        <v>231</v>
      </c>
      <c r="I698">
        <v>206</v>
      </c>
      <c r="J698">
        <v>123</v>
      </c>
      <c r="K698">
        <v>196</v>
      </c>
      <c r="L698">
        <v>488</v>
      </c>
      <c r="M698">
        <v>735</v>
      </c>
      <c r="N698">
        <v>72</v>
      </c>
      <c r="O698" t="s">
        <v>3623</v>
      </c>
      <c r="P698" s="1" t="b">
        <f>NOT(OR(Table1[[#This Row],[State]]="Other Foreign Countries", Table1[[#This Row],[State]]="Unknown", Table1[[#This Row],[State]]="Puerto Rico all counties"))</f>
        <v>1</v>
      </c>
    </row>
    <row r="699" spans="1:16" x14ac:dyDescent="0.25">
      <c r="A699">
        <v>8027</v>
      </c>
      <c r="B699" t="s">
        <v>489</v>
      </c>
      <c r="C699" t="s">
        <v>518</v>
      </c>
      <c r="D699">
        <v>323</v>
      </c>
      <c r="E699">
        <v>79</v>
      </c>
      <c r="F699">
        <v>32</v>
      </c>
      <c r="G699">
        <v>35</v>
      </c>
      <c r="H699">
        <v>76</v>
      </c>
      <c r="I699">
        <v>101</v>
      </c>
      <c r="J699">
        <v>54</v>
      </c>
      <c r="K699">
        <v>110</v>
      </c>
      <c r="L699">
        <v>159</v>
      </c>
      <c r="M699">
        <v>287</v>
      </c>
      <c r="N699">
        <v>36</v>
      </c>
      <c r="O699" t="s">
        <v>519</v>
      </c>
      <c r="P699" s="1" t="b">
        <f>NOT(OR(Table1[[#This Row],[State]]="Other Foreign Countries", Table1[[#This Row],[State]]="Unknown", Table1[[#This Row],[State]]="Puerto Rico all counties"))</f>
        <v>1</v>
      </c>
    </row>
    <row r="700" spans="1:16" x14ac:dyDescent="0.25">
      <c r="A700">
        <v>16037</v>
      </c>
      <c r="B700" t="s">
        <v>1032</v>
      </c>
      <c r="C700" t="s">
        <v>518</v>
      </c>
      <c r="D700">
        <v>131</v>
      </c>
      <c r="E700">
        <v>34</v>
      </c>
      <c r="F700">
        <v>19</v>
      </c>
      <c r="G700">
        <v>15</v>
      </c>
      <c r="H700">
        <v>41</v>
      </c>
      <c r="I700">
        <v>22</v>
      </c>
      <c r="J700">
        <v>25</v>
      </c>
      <c r="K700">
        <v>35</v>
      </c>
      <c r="L700">
        <v>71</v>
      </c>
      <c r="O700" t="s">
        <v>1066</v>
      </c>
      <c r="P700" s="1" t="b">
        <f>NOT(OR(Table1[[#This Row],[State]]="Other Foreign Countries", Table1[[#This Row],[State]]="Unknown", Table1[[#This Row],[State]]="Puerto Rico all counties"))</f>
        <v>1</v>
      </c>
    </row>
    <row r="701" spans="1:16" x14ac:dyDescent="0.25">
      <c r="A701">
        <v>30017</v>
      </c>
      <c r="B701" t="s">
        <v>2665</v>
      </c>
      <c r="C701" t="s">
        <v>518</v>
      </c>
      <c r="D701">
        <v>318</v>
      </c>
      <c r="E701">
        <v>78</v>
      </c>
      <c r="F701">
        <v>36</v>
      </c>
      <c r="G701">
        <v>57</v>
      </c>
      <c r="H701">
        <v>69</v>
      </c>
      <c r="I701">
        <v>78</v>
      </c>
      <c r="J701">
        <v>59</v>
      </c>
      <c r="K701">
        <v>114</v>
      </c>
      <c r="L701">
        <v>145</v>
      </c>
      <c r="M701">
        <v>292</v>
      </c>
      <c r="N701">
        <v>26</v>
      </c>
      <c r="O701" t="s">
        <v>2680</v>
      </c>
      <c r="P701" s="1" t="b">
        <f>NOT(OR(Table1[[#This Row],[State]]="Other Foreign Countries", Table1[[#This Row],[State]]="Unknown", Table1[[#This Row],[State]]="Puerto Rico all counties"))</f>
        <v>1</v>
      </c>
    </row>
    <row r="702" spans="1:16" x14ac:dyDescent="0.25">
      <c r="A702">
        <v>31041</v>
      </c>
      <c r="B702" t="s">
        <v>2758</v>
      </c>
      <c r="C702" t="s">
        <v>518</v>
      </c>
      <c r="D702">
        <v>289</v>
      </c>
      <c r="E702">
        <v>119</v>
      </c>
      <c r="F702">
        <v>42</v>
      </c>
      <c r="G702">
        <v>30</v>
      </c>
      <c r="H702">
        <v>48</v>
      </c>
      <c r="I702">
        <v>50</v>
      </c>
      <c r="J702">
        <v>36</v>
      </c>
      <c r="K702">
        <v>54</v>
      </c>
      <c r="L702">
        <v>199</v>
      </c>
      <c r="M702">
        <v>271</v>
      </c>
      <c r="N702">
        <v>17</v>
      </c>
      <c r="O702" t="s">
        <v>2788</v>
      </c>
      <c r="P702" s="1" t="b">
        <f>NOT(OR(Table1[[#This Row],[State]]="Other Foreign Countries", Table1[[#This Row],[State]]="Unknown", Table1[[#This Row],[State]]="Puerto Rico all counties"))</f>
        <v>1</v>
      </c>
    </row>
    <row r="703" spans="1:16" x14ac:dyDescent="0.25">
      <c r="A703">
        <v>40039</v>
      </c>
      <c r="B703" t="s">
        <v>3495</v>
      </c>
      <c r="C703" t="s">
        <v>518</v>
      </c>
      <c r="D703">
        <v>467</v>
      </c>
      <c r="E703">
        <v>89</v>
      </c>
      <c r="F703">
        <v>54</v>
      </c>
      <c r="G703">
        <v>54</v>
      </c>
      <c r="H703">
        <v>145</v>
      </c>
      <c r="I703">
        <v>125</v>
      </c>
      <c r="J703">
        <v>112</v>
      </c>
      <c r="K703">
        <v>125</v>
      </c>
      <c r="L703">
        <v>230</v>
      </c>
      <c r="M703">
        <v>434</v>
      </c>
      <c r="N703">
        <v>33</v>
      </c>
      <c r="O703" t="s">
        <v>3525</v>
      </c>
      <c r="P703" s="1" t="b">
        <f>NOT(OR(Table1[[#This Row],[State]]="Other Foreign Countries", Table1[[#This Row],[State]]="Unknown", Table1[[#This Row],[State]]="Puerto Rico all counties"))</f>
        <v>1</v>
      </c>
    </row>
    <row r="704" spans="1:16" x14ac:dyDescent="0.25">
      <c r="A704">
        <v>46033</v>
      </c>
      <c r="B704" t="s">
        <v>3846</v>
      </c>
      <c r="C704" t="s">
        <v>518</v>
      </c>
      <c r="D704">
        <v>517</v>
      </c>
      <c r="E704">
        <v>128</v>
      </c>
      <c r="F704">
        <v>62</v>
      </c>
      <c r="G704">
        <v>65</v>
      </c>
      <c r="H704">
        <v>150</v>
      </c>
      <c r="I704">
        <v>112</v>
      </c>
      <c r="J704">
        <v>56</v>
      </c>
      <c r="K704">
        <v>195</v>
      </c>
      <c r="L704">
        <v>266</v>
      </c>
      <c r="M704">
        <v>456</v>
      </c>
      <c r="N704">
        <v>61</v>
      </c>
      <c r="O704" t="s">
        <v>3871</v>
      </c>
      <c r="P704" s="1" t="b">
        <f>NOT(OR(Table1[[#This Row],[State]]="Other Foreign Countries", Table1[[#This Row],[State]]="Unknown", Table1[[#This Row],[State]]="Puerto Rico all counties"))</f>
        <v>1</v>
      </c>
    </row>
    <row r="705" spans="1:16" x14ac:dyDescent="0.25">
      <c r="A705">
        <v>39035</v>
      </c>
      <c r="B705" t="s">
        <v>1343</v>
      </c>
      <c r="C705" t="s">
        <v>3396</v>
      </c>
      <c r="D705">
        <v>15046</v>
      </c>
      <c r="E705" s="1">
        <v>3577</v>
      </c>
      <c r="F705" s="1">
        <v>1867</v>
      </c>
      <c r="G705" s="1">
        <v>1860</v>
      </c>
      <c r="H705" s="1">
        <v>4225</v>
      </c>
      <c r="I705" s="1">
        <v>3517</v>
      </c>
      <c r="J705" s="1">
        <v>3854</v>
      </c>
      <c r="K705" s="1">
        <v>4374</v>
      </c>
      <c r="L705" s="1">
        <v>6818</v>
      </c>
      <c r="M705" s="1">
        <v>13183</v>
      </c>
      <c r="N705" s="1">
        <v>1863</v>
      </c>
      <c r="O705" t="s">
        <v>3397</v>
      </c>
      <c r="P705" s="1" t="b">
        <f>NOT(OR(Table1[[#This Row],[State]]="Other Foreign Countries", Table1[[#This Row],[State]]="Unknown", Table1[[#This Row],[State]]="Puerto Rico all counties"))</f>
        <v>1</v>
      </c>
    </row>
    <row r="706" spans="1:16" x14ac:dyDescent="0.25">
      <c r="A706">
        <v>13083</v>
      </c>
      <c r="B706" t="s">
        <v>754</v>
      </c>
      <c r="C706" t="s">
        <v>824</v>
      </c>
      <c r="D706">
        <v>333</v>
      </c>
      <c r="E706">
        <v>79</v>
      </c>
      <c r="F706">
        <v>32</v>
      </c>
      <c r="G706">
        <v>39</v>
      </c>
      <c r="H706">
        <v>90</v>
      </c>
      <c r="I706">
        <v>93</v>
      </c>
      <c r="J706">
        <v>83</v>
      </c>
      <c r="K706">
        <v>104</v>
      </c>
      <c r="L706">
        <v>146</v>
      </c>
      <c r="M706">
        <v>303</v>
      </c>
      <c r="N706">
        <v>30</v>
      </c>
      <c r="O706" t="s">
        <v>825</v>
      </c>
      <c r="P706" s="1" t="b">
        <f>NOT(OR(Table1[[#This Row],[State]]="Other Foreign Countries", Table1[[#This Row],[State]]="Unknown", Table1[[#This Row],[State]]="Puerto Rico all counties"))</f>
        <v>1</v>
      </c>
    </row>
    <row r="707" spans="1:16" x14ac:dyDescent="0.25">
      <c r="A707">
        <v>29057</v>
      </c>
      <c r="B707" t="s">
        <v>2510</v>
      </c>
      <c r="C707" t="s">
        <v>824</v>
      </c>
      <c r="D707">
        <v>184</v>
      </c>
      <c r="E707">
        <v>38</v>
      </c>
      <c r="F707">
        <v>22</v>
      </c>
      <c r="G707">
        <v>28</v>
      </c>
      <c r="H707">
        <v>60</v>
      </c>
      <c r="I707">
        <v>36</v>
      </c>
      <c r="J707">
        <v>45</v>
      </c>
      <c r="K707">
        <v>43</v>
      </c>
      <c r="L707">
        <v>96</v>
      </c>
      <c r="M707">
        <v>171</v>
      </c>
      <c r="N707">
        <v>13</v>
      </c>
      <c r="O707" t="s">
        <v>2548</v>
      </c>
      <c r="P707" s="1" t="b">
        <f>NOT(OR(Table1[[#This Row],[State]]="Other Foreign Countries", Table1[[#This Row],[State]]="Unknown", Table1[[#This Row],[State]]="Puerto Rico all counties"))</f>
        <v>1</v>
      </c>
    </row>
    <row r="708" spans="1:16" x14ac:dyDescent="0.25">
      <c r="A708">
        <v>49009</v>
      </c>
      <c r="B708" t="s">
        <v>4486</v>
      </c>
      <c r="C708" t="s">
        <v>4493</v>
      </c>
      <c r="D708">
        <v>22</v>
      </c>
      <c r="O708" t="s">
        <v>4494</v>
      </c>
      <c r="P708" s="1" t="b">
        <f>NOT(OR(Table1[[#This Row],[State]]="Other Foreign Countries", Table1[[#This Row],[State]]="Unknown", Table1[[#This Row],[State]]="Puerto Rico all counties"))</f>
        <v>1</v>
      </c>
    </row>
    <row r="709" spans="1:16" x14ac:dyDescent="0.25">
      <c r="A709">
        <v>27037</v>
      </c>
      <c r="B709" t="s">
        <v>2245</v>
      </c>
      <c r="C709" t="s">
        <v>2275</v>
      </c>
      <c r="D709">
        <v>8156</v>
      </c>
      <c r="E709" s="1">
        <v>2938</v>
      </c>
      <c r="F709" s="1">
        <v>1092</v>
      </c>
      <c r="G709">
        <v>932</v>
      </c>
      <c r="H709" s="1">
        <v>1803</v>
      </c>
      <c r="I709" s="1">
        <v>1391</v>
      </c>
      <c r="J709" s="1">
        <v>1998</v>
      </c>
      <c r="K709" s="1">
        <v>2240</v>
      </c>
      <c r="L709" s="1">
        <v>3918</v>
      </c>
      <c r="M709" s="1">
        <v>7363</v>
      </c>
      <c r="N709">
        <v>783</v>
      </c>
      <c r="O709" t="s">
        <v>2276</v>
      </c>
      <c r="P709" s="1" t="b">
        <f>NOT(OR(Table1[[#This Row],[State]]="Other Foreign Countries", Table1[[#This Row],[State]]="Unknown", Table1[[#This Row],[State]]="Puerto Rico all counties"))</f>
        <v>1</v>
      </c>
    </row>
    <row r="710" spans="1:16" x14ac:dyDescent="0.25">
      <c r="A710">
        <v>31043</v>
      </c>
      <c r="B710" t="s">
        <v>2758</v>
      </c>
      <c r="C710" t="s">
        <v>2275</v>
      </c>
      <c r="D710">
        <v>384</v>
      </c>
      <c r="E710">
        <v>151</v>
      </c>
      <c r="F710">
        <v>45</v>
      </c>
      <c r="G710">
        <v>44</v>
      </c>
      <c r="H710">
        <v>81</v>
      </c>
      <c r="I710">
        <v>63</v>
      </c>
      <c r="J710">
        <v>67</v>
      </c>
      <c r="K710">
        <v>95</v>
      </c>
      <c r="L710">
        <v>222</v>
      </c>
      <c r="M710">
        <v>358</v>
      </c>
      <c r="N710">
        <v>26</v>
      </c>
      <c r="O710" t="s">
        <v>2789</v>
      </c>
      <c r="P710" s="1" t="b">
        <f>NOT(OR(Table1[[#This Row],[State]]="Other Foreign Countries", Table1[[#This Row],[State]]="Unknown", Table1[[#This Row],[State]]="Puerto Rico all counties"))</f>
        <v>1</v>
      </c>
    </row>
    <row r="711" spans="1:16" x14ac:dyDescent="0.25">
      <c r="A711">
        <v>1045</v>
      </c>
      <c r="B711" t="s">
        <v>15</v>
      </c>
      <c r="C711" t="s">
        <v>60</v>
      </c>
      <c r="D711">
        <v>2975</v>
      </c>
      <c r="E711">
        <v>433</v>
      </c>
      <c r="F711">
        <v>285</v>
      </c>
      <c r="G711">
        <v>338</v>
      </c>
      <c r="H711">
        <v>879</v>
      </c>
      <c r="I711" s="1">
        <v>1040</v>
      </c>
      <c r="J711">
        <v>645</v>
      </c>
      <c r="K711" s="1">
        <v>1130</v>
      </c>
      <c r="L711" s="1">
        <v>1200</v>
      </c>
      <c r="M711" s="1">
        <v>2507</v>
      </c>
      <c r="N711">
        <v>468</v>
      </c>
      <c r="O711" t="s">
        <v>61</v>
      </c>
      <c r="P711" s="1" t="b">
        <f>NOT(OR(Table1[[#This Row],[State]]="Other Foreign Countries", Table1[[#This Row],[State]]="Unknown", Table1[[#This Row],[State]]="Puerto Rico all counties"))</f>
        <v>1</v>
      </c>
    </row>
    <row r="712" spans="1:16" x14ac:dyDescent="0.25">
      <c r="A712">
        <v>48111</v>
      </c>
      <c r="B712" t="s">
        <v>2654</v>
      </c>
      <c r="C712" t="s">
        <v>4168</v>
      </c>
      <c r="D712">
        <v>53</v>
      </c>
      <c r="E712">
        <v>12</v>
      </c>
      <c r="F712">
        <v>11</v>
      </c>
      <c r="I712">
        <v>16</v>
      </c>
      <c r="J712">
        <v>16</v>
      </c>
      <c r="K712">
        <v>14</v>
      </c>
      <c r="L712">
        <v>23</v>
      </c>
      <c r="O712" t="s">
        <v>4169</v>
      </c>
      <c r="P712" s="1" t="b">
        <f>NOT(OR(Table1[[#This Row],[State]]="Other Foreign Countries", Table1[[#This Row],[State]]="Unknown", Table1[[#This Row],[State]]="Puerto Rico all counties"))</f>
        <v>1</v>
      </c>
    </row>
    <row r="713" spans="1:16" x14ac:dyDescent="0.25">
      <c r="A713">
        <v>1047</v>
      </c>
      <c r="B713" t="s">
        <v>15</v>
      </c>
      <c r="C713" t="s">
        <v>62</v>
      </c>
      <c r="D713">
        <v>881</v>
      </c>
      <c r="E713">
        <v>159</v>
      </c>
      <c r="F713">
        <v>86</v>
      </c>
      <c r="G713">
        <v>98</v>
      </c>
      <c r="H713">
        <v>272</v>
      </c>
      <c r="I713">
        <v>266</v>
      </c>
      <c r="J713">
        <v>150</v>
      </c>
      <c r="K713">
        <v>318</v>
      </c>
      <c r="L713">
        <v>413</v>
      </c>
      <c r="M713">
        <v>724</v>
      </c>
      <c r="N713">
        <v>157</v>
      </c>
      <c r="O713" t="s">
        <v>63</v>
      </c>
      <c r="P713" s="1" t="b">
        <f>NOT(OR(Table1[[#This Row],[State]]="Other Foreign Countries", Table1[[#This Row],[State]]="Unknown", Table1[[#This Row],[State]]="Puerto Rico all counties"))</f>
        <v>1</v>
      </c>
    </row>
    <row r="714" spans="1:16" x14ac:dyDescent="0.25">
      <c r="A714">
        <v>5039</v>
      </c>
      <c r="B714" t="s">
        <v>242</v>
      </c>
      <c r="C714" t="s">
        <v>62</v>
      </c>
      <c r="D714">
        <v>112</v>
      </c>
      <c r="E714">
        <v>25</v>
      </c>
      <c r="F714">
        <v>10</v>
      </c>
      <c r="G714">
        <v>12</v>
      </c>
      <c r="H714">
        <v>35</v>
      </c>
      <c r="I714">
        <v>30</v>
      </c>
      <c r="J714">
        <v>19</v>
      </c>
      <c r="K714">
        <v>39</v>
      </c>
      <c r="L714">
        <v>54</v>
      </c>
      <c r="M714">
        <v>100</v>
      </c>
      <c r="N714">
        <v>12</v>
      </c>
      <c r="O714" t="s">
        <v>277</v>
      </c>
      <c r="P714" s="1" t="b">
        <f>NOT(OR(Table1[[#This Row],[State]]="Other Foreign Countries", Table1[[#This Row],[State]]="Unknown", Table1[[#This Row],[State]]="Puerto Rico all counties"))</f>
        <v>1</v>
      </c>
    </row>
    <row r="715" spans="1:16" x14ac:dyDescent="0.25">
      <c r="A715">
        <v>19049</v>
      </c>
      <c r="B715" t="s">
        <v>1399</v>
      </c>
      <c r="C715" t="s">
        <v>62</v>
      </c>
      <c r="D715">
        <v>1778</v>
      </c>
      <c r="E715">
        <v>447</v>
      </c>
      <c r="F715">
        <v>214</v>
      </c>
      <c r="G715">
        <v>220</v>
      </c>
      <c r="H715">
        <v>424</v>
      </c>
      <c r="I715">
        <v>473</v>
      </c>
      <c r="J715">
        <v>542</v>
      </c>
      <c r="K715">
        <v>567</v>
      </c>
      <c r="L715">
        <v>669</v>
      </c>
      <c r="M715" s="1">
        <v>1613</v>
      </c>
      <c r="N715">
        <v>163</v>
      </c>
      <c r="O715" t="s">
        <v>1435</v>
      </c>
      <c r="P715" s="1" t="b">
        <f>NOT(OR(Table1[[#This Row],[State]]="Other Foreign Countries", Table1[[#This Row],[State]]="Unknown", Table1[[#This Row],[State]]="Puerto Rico all counties"))</f>
        <v>1</v>
      </c>
    </row>
    <row r="716" spans="1:16" x14ac:dyDescent="0.25">
      <c r="A716">
        <v>29059</v>
      </c>
      <c r="B716" t="s">
        <v>2510</v>
      </c>
      <c r="C716" t="s">
        <v>62</v>
      </c>
      <c r="D716">
        <v>487</v>
      </c>
      <c r="E716">
        <v>103</v>
      </c>
      <c r="F716">
        <v>61</v>
      </c>
      <c r="G716">
        <v>63</v>
      </c>
      <c r="H716">
        <v>163</v>
      </c>
      <c r="I716">
        <v>97</v>
      </c>
      <c r="J716">
        <v>98</v>
      </c>
      <c r="K716">
        <v>146</v>
      </c>
      <c r="L716">
        <v>243</v>
      </c>
      <c r="M716">
        <v>450</v>
      </c>
      <c r="N716">
        <v>35</v>
      </c>
      <c r="O716" t="s">
        <v>2549</v>
      </c>
      <c r="P716" s="1" t="b">
        <f>NOT(OR(Table1[[#This Row],[State]]="Other Foreign Countries", Table1[[#This Row],[State]]="Unknown", Table1[[#This Row],[State]]="Puerto Rico all counties"))</f>
        <v>1</v>
      </c>
    </row>
    <row r="717" spans="1:16" x14ac:dyDescent="0.25">
      <c r="A717">
        <v>48113</v>
      </c>
      <c r="B717" t="s">
        <v>2654</v>
      </c>
      <c r="C717" t="s">
        <v>62</v>
      </c>
      <c r="D717">
        <v>27991</v>
      </c>
      <c r="E717" s="1">
        <v>4689</v>
      </c>
      <c r="F717" s="1">
        <v>2929</v>
      </c>
      <c r="G717" s="1">
        <v>3260</v>
      </c>
      <c r="H717" s="1">
        <v>8759</v>
      </c>
      <c r="I717" s="1">
        <v>8354</v>
      </c>
      <c r="J717" s="1">
        <v>10361</v>
      </c>
      <c r="K717" s="1">
        <v>8916</v>
      </c>
      <c r="L717" s="1">
        <v>8714</v>
      </c>
      <c r="M717" s="1">
        <v>23448</v>
      </c>
      <c r="N717" s="1">
        <v>4540</v>
      </c>
      <c r="O717" t="s">
        <v>4170</v>
      </c>
      <c r="P717" s="1" t="b">
        <f>NOT(OR(Table1[[#This Row],[State]]="Other Foreign Countries", Table1[[#This Row],[State]]="Unknown", Table1[[#This Row],[State]]="Puerto Rico all counties"))</f>
        <v>1</v>
      </c>
    </row>
    <row r="718" spans="1:16" x14ac:dyDescent="0.25">
      <c r="A718">
        <v>55025</v>
      </c>
      <c r="B718" t="s">
        <v>4906</v>
      </c>
      <c r="C718" t="s">
        <v>4923</v>
      </c>
      <c r="D718">
        <v>6131</v>
      </c>
      <c r="E718" s="1">
        <v>1551</v>
      </c>
      <c r="F718">
        <v>879</v>
      </c>
      <c r="G718">
        <v>816</v>
      </c>
      <c r="H718" s="1">
        <v>1587</v>
      </c>
      <c r="I718" s="1">
        <v>1298</v>
      </c>
      <c r="J718" s="1">
        <v>1898</v>
      </c>
      <c r="K718" s="1">
        <v>1797</v>
      </c>
      <c r="L718" s="1">
        <v>2436</v>
      </c>
      <c r="M718" s="1">
        <v>5366</v>
      </c>
      <c r="N718">
        <v>763</v>
      </c>
      <c r="O718" t="s">
        <v>4924</v>
      </c>
      <c r="P718" s="1" t="b">
        <f>NOT(OR(Table1[[#This Row],[State]]="Other Foreign Countries", Table1[[#This Row],[State]]="Unknown", Table1[[#This Row],[State]]="Puerto Rico all counties"))</f>
        <v>1</v>
      </c>
    </row>
    <row r="719" spans="1:16" x14ac:dyDescent="0.25">
      <c r="A719">
        <v>30019</v>
      </c>
      <c r="B719" t="s">
        <v>2665</v>
      </c>
      <c r="C719" t="s">
        <v>2681</v>
      </c>
      <c r="D719">
        <v>36</v>
      </c>
      <c r="E719">
        <v>10</v>
      </c>
      <c r="L719">
        <v>18</v>
      </c>
      <c r="O719" t="s">
        <v>2682</v>
      </c>
      <c r="P719" s="1" t="b">
        <f>NOT(OR(Table1[[#This Row],[State]]="Other Foreign Countries", Table1[[#This Row],[State]]="Unknown", Table1[[#This Row],[State]]="Puerto Rico all counties"))</f>
        <v>1</v>
      </c>
    </row>
    <row r="720" spans="1:16" x14ac:dyDescent="0.25">
      <c r="A720">
        <v>51590</v>
      </c>
      <c r="B720" t="s">
        <v>4555</v>
      </c>
      <c r="C720" t="s">
        <v>4710</v>
      </c>
      <c r="D720">
        <v>808</v>
      </c>
      <c r="E720">
        <v>134</v>
      </c>
      <c r="F720">
        <v>66</v>
      </c>
      <c r="G720">
        <v>95</v>
      </c>
      <c r="H720">
        <v>297</v>
      </c>
      <c r="I720">
        <v>216</v>
      </c>
      <c r="J720">
        <v>170</v>
      </c>
      <c r="K720">
        <v>231</v>
      </c>
      <c r="L720">
        <v>407</v>
      </c>
      <c r="M720">
        <v>713</v>
      </c>
      <c r="N720">
        <v>95</v>
      </c>
      <c r="O720" t="s">
        <v>4711</v>
      </c>
      <c r="P720" s="1" t="b">
        <f>NOT(OR(Table1[[#This Row],[State]]="Other Foreign Countries", Table1[[#This Row],[State]]="Unknown", Table1[[#This Row],[State]]="Puerto Rico all counties"))</f>
        <v>1</v>
      </c>
    </row>
    <row r="721" spans="1:16" x14ac:dyDescent="0.25">
      <c r="A721">
        <v>37055</v>
      </c>
      <c r="B721" t="s">
        <v>3121</v>
      </c>
      <c r="C721" t="s">
        <v>3167</v>
      </c>
      <c r="D721">
        <v>774</v>
      </c>
      <c r="E721">
        <v>185</v>
      </c>
      <c r="F721">
        <v>93</v>
      </c>
      <c r="G721">
        <v>113</v>
      </c>
      <c r="H721">
        <v>214</v>
      </c>
      <c r="I721">
        <v>169</v>
      </c>
      <c r="J721">
        <v>124</v>
      </c>
      <c r="K721">
        <v>255</v>
      </c>
      <c r="L721">
        <v>395</v>
      </c>
      <c r="M721">
        <v>699</v>
      </c>
      <c r="N721">
        <v>75</v>
      </c>
      <c r="O721" t="s">
        <v>3168</v>
      </c>
      <c r="P721" s="1" t="b">
        <f>NOT(OR(Table1[[#This Row],[State]]="Other Foreign Countries", Table1[[#This Row],[State]]="Unknown", Table1[[#This Row],[State]]="Puerto Rico all counties"))</f>
        <v>1</v>
      </c>
    </row>
    <row r="722" spans="1:16" x14ac:dyDescent="0.25">
      <c r="A722">
        <v>39037</v>
      </c>
      <c r="B722" t="s">
        <v>1343</v>
      </c>
      <c r="C722" t="s">
        <v>3398</v>
      </c>
      <c r="D722">
        <v>824</v>
      </c>
      <c r="E722">
        <v>209</v>
      </c>
      <c r="F722">
        <v>109</v>
      </c>
      <c r="G722">
        <v>112</v>
      </c>
      <c r="H722">
        <v>213</v>
      </c>
      <c r="I722">
        <v>181</v>
      </c>
      <c r="J722">
        <v>218</v>
      </c>
      <c r="K722">
        <v>226</v>
      </c>
      <c r="L722">
        <v>380</v>
      </c>
      <c r="M722">
        <v>759</v>
      </c>
      <c r="N722">
        <v>65</v>
      </c>
      <c r="O722" t="s">
        <v>3399</v>
      </c>
      <c r="P722" s="1" t="b">
        <f>NOT(OR(Table1[[#This Row],[State]]="Other Foreign Countries", Table1[[#This Row],[State]]="Unknown", Table1[[#This Row],[State]]="Puerto Rico all counties"))</f>
        <v>1</v>
      </c>
    </row>
    <row r="723" spans="1:16" x14ac:dyDescent="0.25">
      <c r="A723">
        <v>45031</v>
      </c>
      <c r="B723" t="s">
        <v>3772</v>
      </c>
      <c r="C723" t="s">
        <v>3798</v>
      </c>
      <c r="D723">
        <v>1398</v>
      </c>
      <c r="E723">
        <v>224</v>
      </c>
      <c r="F723">
        <v>149</v>
      </c>
      <c r="G723">
        <v>161</v>
      </c>
      <c r="H723">
        <v>456</v>
      </c>
      <c r="I723">
        <v>408</v>
      </c>
      <c r="J723">
        <v>292</v>
      </c>
      <c r="K723">
        <v>474</v>
      </c>
      <c r="L723">
        <v>632</v>
      </c>
      <c r="M723" s="1">
        <v>1236</v>
      </c>
      <c r="N723">
        <v>161</v>
      </c>
      <c r="O723" t="s">
        <v>3799</v>
      </c>
      <c r="P723" s="1" t="b">
        <f>NOT(OR(Table1[[#This Row],[State]]="Other Foreign Countries", Table1[[#This Row],[State]]="Unknown", Table1[[#This Row],[State]]="Puerto Rico all counties"))</f>
        <v>1</v>
      </c>
    </row>
    <row r="724" spans="1:16" x14ac:dyDescent="0.25">
      <c r="A724">
        <v>42043</v>
      </c>
      <c r="B724" t="s">
        <v>3665</v>
      </c>
      <c r="C724" t="s">
        <v>3698</v>
      </c>
      <c r="D724">
        <v>4302</v>
      </c>
      <c r="E724">
        <v>828</v>
      </c>
      <c r="F724">
        <v>483</v>
      </c>
      <c r="G724">
        <v>539</v>
      </c>
      <c r="H724" s="1">
        <v>1313</v>
      </c>
      <c r="I724" s="1">
        <v>1139</v>
      </c>
      <c r="J724" s="1">
        <v>1180</v>
      </c>
      <c r="K724" s="1">
        <v>1541</v>
      </c>
      <c r="L724" s="1">
        <v>1581</v>
      </c>
      <c r="M724" s="1">
        <v>3715</v>
      </c>
      <c r="N724">
        <v>586</v>
      </c>
      <c r="O724" t="s">
        <v>3699</v>
      </c>
      <c r="P724" s="1" t="b">
        <f>NOT(OR(Table1[[#This Row],[State]]="Other Foreign Countries", Table1[[#This Row],[State]]="Unknown", Table1[[#This Row],[State]]="Puerto Rico all counties"))</f>
        <v>1</v>
      </c>
    </row>
    <row r="725" spans="1:16" x14ac:dyDescent="0.25">
      <c r="A725">
        <v>37057</v>
      </c>
      <c r="B725" t="s">
        <v>3121</v>
      </c>
      <c r="C725" t="s">
        <v>3169</v>
      </c>
      <c r="D725">
        <v>3380</v>
      </c>
      <c r="E725">
        <v>591</v>
      </c>
      <c r="F725">
        <v>356</v>
      </c>
      <c r="G725">
        <v>360</v>
      </c>
      <c r="H725" s="1">
        <v>1068</v>
      </c>
      <c r="I725" s="1">
        <v>1005</v>
      </c>
      <c r="J725">
        <v>960</v>
      </c>
      <c r="K725" s="1">
        <v>1059</v>
      </c>
      <c r="L725" s="1">
        <v>1361</v>
      </c>
      <c r="M725" s="1">
        <v>3004</v>
      </c>
      <c r="N725">
        <v>375</v>
      </c>
      <c r="O725" t="s">
        <v>3170</v>
      </c>
      <c r="P725" s="1" t="b">
        <f>NOT(OR(Table1[[#This Row],[State]]="Other Foreign Countries", Table1[[#This Row],[State]]="Unknown", Table1[[#This Row],[State]]="Puerto Rico all counties"))</f>
        <v>1</v>
      </c>
    </row>
    <row r="726" spans="1:16" x14ac:dyDescent="0.25">
      <c r="A726">
        <v>47037</v>
      </c>
      <c r="B726" t="s">
        <v>3951</v>
      </c>
      <c r="C726" t="s">
        <v>3169</v>
      </c>
      <c r="D726">
        <v>8649</v>
      </c>
      <c r="E726" s="1">
        <v>1713</v>
      </c>
      <c r="F726">
        <v>954</v>
      </c>
      <c r="G726">
        <v>954</v>
      </c>
      <c r="H726" s="1">
        <v>2683</v>
      </c>
      <c r="I726" s="1">
        <v>2345</v>
      </c>
      <c r="J726" s="1">
        <v>3148</v>
      </c>
      <c r="K726" s="1">
        <v>2628</v>
      </c>
      <c r="L726" s="1">
        <v>2873</v>
      </c>
      <c r="M726" s="1">
        <v>7419</v>
      </c>
      <c r="N726" s="1">
        <v>1227</v>
      </c>
      <c r="O726" t="s">
        <v>3975</v>
      </c>
      <c r="P726" s="1" t="b">
        <f>NOT(OR(Table1[[#This Row],[State]]="Other Foreign Countries", Table1[[#This Row],[State]]="Unknown", Table1[[#This Row],[State]]="Puerto Rico all counties"))</f>
        <v>1</v>
      </c>
    </row>
    <row r="727" spans="1:16" x14ac:dyDescent="0.25">
      <c r="A727">
        <v>37059</v>
      </c>
      <c r="B727" t="s">
        <v>3121</v>
      </c>
      <c r="C727" t="s">
        <v>3171</v>
      </c>
      <c r="D727">
        <v>976</v>
      </c>
      <c r="E727">
        <v>202</v>
      </c>
      <c r="F727">
        <v>133</v>
      </c>
      <c r="G727">
        <v>102</v>
      </c>
      <c r="H727">
        <v>270</v>
      </c>
      <c r="I727">
        <v>269</v>
      </c>
      <c r="J727">
        <v>237</v>
      </c>
      <c r="K727">
        <v>300</v>
      </c>
      <c r="L727">
        <v>439</v>
      </c>
      <c r="M727">
        <v>893</v>
      </c>
      <c r="N727">
        <v>83</v>
      </c>
      <c r="O727" t="s">
        <v>3172</v>
      </c>
      <c r="P727" s="1" t="b">
        <f>NOT(OR(Table1[[#This Row],[State]]="Other Foreign Countries", Table1[[#This Row],[State]]="Unknown", Table1[[#This Row],[State]]="Puerto Rico all counties"))</f>
        <v>1</v>
      </c>
    </row>
    <row r="728" spans="1:16" x14ac:dyDescent="0.25">
      <c r="A728">
        <v>18027</v>
      </c>
      <c r="B728" t="s">
        <v>1266</v>
      </c>
      <c r="C728" t="s">
        <v>1283</v>
      </c>
      <c r="D728">
        <v>478</v>
      </c>
      <c r="E728">
        <v>134</v>
      </c>
      <c r="F728">
        <v>58</v>
      </c>
      <c r="G728">
        <v>52</v>
      </c>
      <c r="H728">
        <v>120</v>
      </c>
      <c r="I728">
        <v>114</v>
      </c>
      <c r="J728">
        <v>126</v>
      </c>
      <c r="K728">
        <v>151</v>
      </c>
      <c r="L728">
        <v>201</v>
      </c>
      <c r="M728">
        <v>444</v>
      </c>
      <c r="N728">
        <v>34</v>
      </c>
      <c r="O728" t="s">
        <v>1284</v>
      </c>
      <c r="P728" s="1" t="b">
        <f>NOT(OR(Table1[[#This Row],[State]]="Other Foreign Countries", Table1[[#This Row],[State]]="Unknown", Table1[[#This Row],[State]]="Puerto Rico all counties"))</f>
        <v>1</v>
      </c>
    </row>
    <row r="729" spans="1:16" x14ac:dyDescent="0.25">
      <c r="A729">
        <v>21059</v>
      </c>
      <c r="B729" t="s">
        <v>1716</v>
      </c>
      <c r="C729" t="s">
        <v>1283</v>
      </c>
      <c r="D729">
        <v>1713</v>
      </c>
      <c r="E729">
        <v>348</v>
      </c>
      <c r="F729">
        <v>185</v>
      </c>
      <c r="G729">
        <v>203</v>
      </c>
      <c r="H729">
        <v>546</v>
      </c>
      <c r="I729">
        <v>431</v>
      </c>
      <c r="J729">
        <v>432</v>
      </c>
      <c r="K729">
        <v>569</v>
      </c>
      <c r="L729">
        <v>712</v>
      </c>
      <c r="M729" s="1">
        <v>1596</v>
      </c>
      <c r="N729">
        <v>117</v>
      </c>
      <c r="O729" t="s">
        <v>1762</v>
      </c>
      <c r="P729" s="1" t="b">
        <f>NOT(OR(Table1[[#This Row],[State]]="Other Foreign Countries", Table1[[#This Row],[State]]="Unknown", Table1[[#This Row],[State]]="Puerto Rico all counties"))</f>
        <v>1</v>
      </c>
    </row>
    <row r="730" spans="1:16" x14ac:dyDescent="0.25">
      <c r="A730">
        <v>29061</v>
      </c>
      <c r="B730" t="s">
        <v>2510</v>
      </c>
      <c r="C730" t="s">
        <v>1283</v>
      </c>
      <c r="D730">
        <v>183</v>
      </c>
      <c r="E730">
        <v>56</v>
      </c>
      <c r="F730">
        <v>20</v>
      </c>
      <c r="G730">
        <v>18</v>
      </c>
      <c r="H730">
        <v>49</v>
      </c>
      <c r="I730">
        <v>40</v>
      </c>
      <c r="J730">
        <v>32</v>
      </c>
      <c r="K730">
        <v>52</v>
      </c>
      <c r="L730">
        <v>99</v>
      </c>
      <c r="M730">
        <v>168</v>
      </c>
      <c r="N730">
        <v>15</v>
      </c>
      <c r="O730" t="s">
        <v>2550</v>
      </c>
      <c r="P730" s="1" t="b">
        <f>NOT(OR(Table1[[#This Row],[State]]="Other Foreign Countries", Table1[[#This Row],[State]]="Unknown", Table1[[#This Row],[State]]="Puerto Rico all counties"))</f>
        <v>1</v>
      </c>
    </row>
    <row r="731" spans="1:16" x14ac:dyDescent="0.25">
      <c r="A731">
        <v>19051</v>
      </c>
      <c r="B731" t="s">
        <v>1399</v>
      </c>
      <c r="C731" t="s">
        <v>1436</v>
      </c>
      <c r="D731">
        <v>134</v>
      </c>
      <c r="E731">
        <v>43</v>
      </c>
      <c r="F731">
        <v>23</v>
      </c>
      <c r="G731">
        <v>14</v>
      </c>
      <c r="H731">
        <v>30</v>
      </c>
      <c r="I731">
        <v>24</v>
      </c>
      <c r="J731">
        <v>26</v>
      </c>
      <c r="K731">
        <v>35</v>
      </c>
      <c r="L731">
        <v>73</v>
      </c>
      <c r="M731">
        <v>121</v>
      </c>
      <c r="N731">
        <v>13</v>
      </c>
      <c r="O731" t="s">
        <v>1437</v>
      </c>
      <c r="P731" s="1" t="b">
        <f>NOT(OR(Table1[[#This Row],[State]]="Other Foreign Countries", Table1[[#This Row],[State]]="Unknown", Table1[[#This Row],[State]]="Puerto Rico all counties"))</f>
        <v>1</v>
      </c>
    </row>
    <row r="732" spans="1:16" x14ac:dyDescent="0.25">
      <c r="A732">
        <v>49011</v>
      </c>
      <c r="B732" t="s">
        <v>4486</v>
      </c>
      <c r="C732" t="s">
        <v>1436</v>
      </c>
      <c r="D732">
        <v>7903</v>
      </c>
      <c r="E732" s="1">
        <v>1349</v>
      </c>
      <c r="F732">
        <v>902</v>
      </c>
      <c r="G732" s="1">
        <v>1029</v>
      </c>
      <c r="H732" s="1">
        <v>2523</v>
      </c>
      <c r="I732" s="1">
        <v>2100</v>
      </c>
      <c r="J732" s="1">
        <v>2694</v>
      </c>
      <c r="K732" s="1">
        <v>3167</v>
      </c>
      <c r="L732" s="1">
        <v>2042</v>
      </c>
      <c r="M732" s="1">
        <v>6985</v>
      </c>
      <c r="N732">
        <v>918</v>
      </c>
      <c r="O732" t="s">
        <v>4495</v>
      </c>
      <c r="P732" s="1" t="b">
        <f>NOT(OR(Table1[[#This Row],[State]]="Other Foreign Countries", Table1[[#This Row],[State]]="Unknown", Table1[[#This Row],[State]]="Puerto Rico all counties"))</f>
        <v>1</v>
      </c>
    </row>
    <row r="733" spans="1:16" x14ac:dyDescent="0.25">
      <c r="A733">
        <v>46035</v>
      </c>
      <c r="B733" t="s">
        <v>3846</v>
      </c>
      <c r="C733" t="s">
        <v>3872</v>
      </c>
      <c r="D733">
        <v>503</v>
      </c>
      <c r="E733">
        <v>160</v>
      </c>
      <c r="F733">
        <v>62</v>
      </c>
      <c r="G733">
        <v>54</v>
      </c>
      <c r="H733">
        <v>120</v>
      </c>
      <c r="I733">
        <v>107</v>
      </c>
      <c r="J733">
        <v>77</v>
      </c>
      <c r="K733">
        <v>143</v>
      </c>
      <c r="L733">
        <v>283</v>
      </c>
      <c r="M733">
        <v>465</v>
      </c>
      <c r="N733">
        <v>38</v>
      </c>
      <c r="O733" t="s">
        <v>3873</v>
      </c>
      <c r="P733" s="1" t="b">
        <f>NOT(OR(Table1[[#This Row],[State]]="Other Foreign Countries", Table1[[#This Row],[State]]="Unknown", Table1[[#This Row],[State]]="Puerto Rico all counties"))</f>
        <v>1</v>
      </c>
    </row>
    <row r="734" spans="1:16" x14ac:dyDescent="0.25">
      <c r="A734">
        <v>31045</v>
      </c>
      <c r="B734" t="s">
        <v>2758</v>
      </c>
      <c r="C734" t="s">
        <v>2790</v>
      </c>
      <c r="D734">
        <v>192</v>
      </c>
      <c r="E734">
        <v>49</v>
      </c>
      <c r="F734">
        <v>22</v>
      </c>
      <c r="G734">
        <v>22</v>
      </c>
      <c r="H734">
        <v>61</v>
      </c>
      <c r="I734">
        <v>38</v>
      </c>
      <c r="J734">
        <v>41</v>
      </c>
      <c r="K734">
        <v>62</v>
      </c>
      <c r="L734">
        <v>89</v>
      </c>
      <c r="M734">
        <v>175</v>
      </c>
      <c r="N734">
        <v>17</v>
      </c>
      <c r="O734" t="s">
        <v>2791</v>
      </c>
      <c r="P734" s="1" t="b">
        <f>NOT(OR(Table1[[#This Row],[State]]="Other Foreign Countries", Table1[[#This Row],[State]]="Unknown", Table1[[#This Row],[State]]="Puerto Rico all counties"))</f>
        <v>1</v>
      </c>
    </row>
    <row r="735" spans="1:16" x14ac:dyDescent="0.25">
      <c r="A735">
        <v>13085</v>
      </c>
      <c r="B735" t="s">
        <v>754</v>
      </c>
      <c r="C735" t="s">
        <v>826</v>
      </c>
      <c r="D735">
        <v>604</v>
      </c>
      <c r="E735">
        <v>114</v>
      </c>
      <c r="F735">
        <v>65</v>
      </c>
      <c r="G735">
        <v>76</v>
      </c>
      <c r="H735">
        <v>170</v>
      </c>
      <c r="I735">
        <v>179</v>
      </c>
      <c r="J735">
        <v>192</v>
      </c>
      <c r="K735">
        <v>181</v>
      </c>
      <c r="L735">
        <v>231</v>
      </c>
      <c r="M735">
        <v>556</v>
      </c>
      <c r="N735">
        <v>48</v>
      </c>
      <c r="O735" t="s">
        <v>827</v>
      </c>
      <c r="P735" s="1" t="b">
        <f>NOT(OR(Table1[[#This Row],[State]]="Other Foreign Countries", Table1[[#This Row],[State]]="Unknown", Table1[[#This Row],[State]]="Puerto Rico all counties"))</f>
        <v>1</v>
      </c>
    </row>
    <row r="736" spans="1:16" x14ac:dyDescent="0.25">
      <c r="A736">
        <v>30021</v>
      </c>
      <c r="B736" t="s">
        <v>2665</v>
      </c>
      <c r="C736" t="s">
        <v>826</v>
      </c>
      <c r="D736">
        <v>203</v>
      </c>
      <c r="E736">
        <v>48</v>
      </c>
      <c r="F736">
        <v>25</v>
      </c>
      <c r="G736">
        <v>23</v>
      </c>
      <c r="H736">
        <v>64</v>
      </c>
      <c r="I736">
        <v>43</v>
      </c>
      <c r="J736">
        <v>39</v>
      </c>
      <c r="K736">
        <v>56</v>
      </c>
      <c r="L736">
        <v>108</v>
      </c>
      <c r="M736">
        <v>181</v>
      </c>
      <c r="N736">
        <v>22</v>
      </c>
      <c r="O736" t="s">
        <v>2683</v>
      </c>
      <c r="P736" s="1" t="b">
        <f>NOT(OR(Table1[[#This Row],[State]]="Other Foreign Countries", Table1[[#This Row],[State]]="Unknown", Table1[[#This Row],[State]]="Puerto Rico all counties"))</f>
        <v>1</v>
      </c>
    </row>
    <row r="737" spans="1:16" x14ac:dyDescent="0.25">
      <c r="A737">
        <v>31047</v>
      </c>
      <c r="B737" t="s">
        <v>2758</v>
      </c>
      <c r="C737" t="s">
        <v>826</v>
      </c>
      <c r="D737">
        <v>407</v>
      </c>
      <c r="E737">
        <v>190</v>
      </c>
      <c r="F737">
        <v>45</v>
      </c>
      <c r="G737">
        <v>42</v>
      </c>
      <c r="H737">
        <v>76</v>
      </c>
      <c r="I737">
        <v>54</v>
      </c>
      <c r="J737">
        <v>61</v>
      </c>
      <c r="K737">
        <v>99</v>
      </c>
      <c r="L737">
        <v>247</v>
      </c>
      <c r="M737">
        <v>393</v>
      </c>
      <c r="N737">
        <v>14</v>
      </c>
      <c r="O737" t="s">
        <v>2792</v>
      </c>
      <c r="P737" s="1" t="b">
        <f>NOT(OR(Table1[[#This Row],[State]]="Other Foreign Countries", Table1[[#This Row],[State]]="Unknown", Table1[[#This Row],[State]]="Puerto Rico all counties"))</f>
        <v>1</v>
      </c>
    </row>
    <row r="738" spans="1:16" x14ac:dyDescent="0.25">
      <c r="A738">
        <v>48115</v>
      </c>
      <c r="B738" t="s">
        <v>2654</v>
      </c>
      <c r="C738" t="s">
        <v>826</v>
      </c>
      <c r="D738">
        <v>83</v>
      </c>
      <c r="E738">
        <v>16</v>
      </c>
      <c r="F738">
        <v>11</v>
      </c>
      <c r="G738">
        <v>11</v>
      </c>
      <c r="H738">
        <v>22</v>
      </c>
      <c r="I738">
        <v>23</v>
      </c>
      <c r="J738">
        <v>26</v>
      </c>
      <c r="K738">
        <v>26</v>
      </c>
      <c r="L738">
        <v>31</v>
      </c>
      <c r="O738" t="s">
        <v>4171</v>
      </c>
      <c r="P738" s="1" t="b">
        <f>NOT(OR(Table1[[#This Row],[State]]="Other Foreign Countries", Table1[[#This Row],[State]]="Unknown", Table1[[#This Row],[State]]="Puerto Rico all counties"))</f>
        <v>1</v>
      </c>
    </row>
    <row r="739" spans="1:16" x14ac:dyDescent="0.25">
      <c r="A739">
        <v>46037</v>
      </c>
      <c r="B739" t="s">
        <v>3846</v>
      </c>
      <c r="C739" t="s">
        <v>3874</v>
      </c>
      <c r="D739">
        <v>178</v>
      </c>
      <c r="E739">
        <v>60</v>
      </c>
      <c r="F739">
        <v>16</v>
      </c>
      <c r="G739">
        <v>21</v>
      </c>
      <c r="H739">
        <v>45</v>
      </c>
      <c r="I739">
        <v>36</v>
      </c>
      <c r="J739">
        <v>30</v>
      </c>
      <c r="K739">
        <v>44</v>
      </c>
      <c r="L739">
        <v>104</v>
      </c>
      <c r="M739">
        <v>166</v>
      </c>
      <c r="N739">
        <v>12</v>
      </c>
      <c r="O739" t="s">
        <v>3875</v>
      </c>
      <c r="P739" s="1" t="b">
        <f>NOT(OR(Table1[[#This Row],[State]]="Other Foreign Countries", Table1[[#This Row],[State]]="Unknown", Table1[[#This Row],[State]]="Puerto Rico all counties"))</f>
        <v>1</v>
      </c>
    </row>
    <row r="740" spans="1:16" x14ac:dyDescent="0.25">
      <c r="A740">
        <v>35011</v>
      </c>
      <c r="B740" t="s">
        <v>2971</v>
      </c>
      <c r="C740" t="s">
        <v>2983</v>
      </c>
      <c r="D740">
        <v>41</v>
      </c>
      <c r="H740">
        <v>17</v>
      </c>
      <c r="I740">
        <v>11</v>
      </c>
      <c r="J740">
        <v>13</v>
      </c>
      <c r="K740">
        <v>13</v>
      </c>
      <c r="L740">
        <v>15</v>
      </c>
      <c r="O740" t="s">
        <v>2984</v>
      </c>
      <c r="P740" s="1" t="b">
        <f>NOT(OR(Table1[[#This Row],[State]]="Other Foreign Countries", Table1[[#This Row],[State]]="Unknown", Table1[[#This Row],[State]]="Puerto Rico all counties"))</f>
        <v>1</v>
      </c>
    </row>
    <row r="741" spans="1:16" x14ac:dyDescent="0.25">
      <c r="A741">
        <v>22031</v>
      </c>
      <c r="B741" t="s">
        <v>1892</v>
      </c>
      <c r="C741" t="s">
        <v>1921</v>
      </c>
      <c r="D741">
        <v>592</v>
      </c>
      <c r="E741">
        <v>100</v>
      </c>
      <c r="F741">
        <v>45</v>
      </c>
      <c r="G741">
        <v>75</v>
      </c>
      <c r="H741">
        <v>179</v>
      </c>
      <c r="I741">
        <v>193</v>
      </c>
      <c r="J741">
        <v>149</v>
      </c>
      <c r="K741">
        <v>207</v>
      </c>
      <c r="L741">
        <v>236</v>
      </c>
      <c r="M741">
        <v>522</v>
      </c>
      <c r="N741">
        <v>70</v>
      </c>
      <c r="O741" t="s">
        <v>1922</v>
      </c>
      <c r="P741" s="1" t="b">
        <f>NOT(OR(Table1[[#This Row],[State]]="Other Foreign Countries", Table1[[#This Row],[State]]="Unknown", Table1[[#This Row],[State]]="Puerto Rico all counties"))</f>
        <v>1</v>
      </c>
    </row>
    <row r="742" spans="1:16" x14ac:dyDescent="0.25">
      <c r="A742">
        <v>17039</v>
      </c>
      <c r="B742" t="s">
        <v>1109</v>
      </c>
      <c r="C742" t="s">
        <v>1139</v>
      </c>
      <c r="D742">
        <v>236</v>
      </c>
      <c r="E742">
        <v>49</v>
      </c>
      <c r="F742">
        <v>29</v>
      </c>
      <c r="G742">
        <v>24</v>
      </c>
      <c r="H742">
        <v>82</v>
      </c>
      <c r="I742">
        <v>52</v>
      </c>
      <c r="J742">
        <v>82</v>
      </c>
      <c r="K742">
        <v>61</v>
      </c>
      <c r="L742">
        <v>93</v>
      </c>
      <c r="M742">
        <v>212</v>
      </c>
      <c r="N742">
        <v>24</v>
      </c>
      <c r="O742" t="s">
        <v>1140</v>
      </c>
      <c r="P742" s="1" t="b">
        <f>NOT(OR(Table1[[#This Row],[State]]="Other Foreign Countries", Table1[[#This Row],[State]]="Unknown", Table1[[#This Row],[State]]="Puerto Rico all counties"))</f>
        <v>1</v>
      </c>
    </row>
    <row r="743" spans="1:16" x14ac:dyDescent="0.25">
      <c r="A743">
        <v>48117</v>
      </c>
      <c r="B743" t="s">
        <v>2654</v>
      </c>
      <c r="C743" t="s">
        <v>4172</v>
      </c>
      <c r="D743">
        <v>116</v>
      </c>
      <c r="E743">
        <v>26</v>
      </c>
      <c r="F743">
        <v>24</v>
      </c>
      <c r="G743">
        <v>13</v>
      </c>
      <c r="H743">
        <v>26</v>
      </c>
      <c r="I743">
        <v>27</v>
      </c>
      <c r="J743">
        <v>32</v>
      </c>
      <c r="K743">
        <v>35</v>
      </c>
      <c r="L743">
        <v>49</v>
      </c>
      <c r="M743">
        <v>106</v>
      </c>
      <c r="N743">
        <v>10</v>
      </c>
      <c r="O743" t="s">
        <v>4173</v>
      </c>
      <c r="P743" s="1" t="b">
        <f>NOT(OR(Table1[[#This Row],[State]]="Other Foreign Countries", Table1[[#This Row],[State]]="Unknown", Table1[[#This Row],[State]]="Puerto Rico all counties"))</f>
        <v>1</v>
      </c>
    </row>
    <row r="744" spans="1:16" x14ac:dyDescent="0.25">
      <c r="A744">
        <v>18029</v>
      </c>
      <c r="B744" t="s">
        <v>1266</v>
      </c>
      <c r="C744" t="s">
        <v>1285</v>
      </c>
      <c r="D744">
        <v>1083</v>
      </c>
      <c r="E744">
        <v>322</v>
      </c>
      <c r="F744">
        <v>179</v>
      </c>
      <c r="G744">
        <v>155</v>
      </c>
      <c r="H744">
        <v>247</v>
      </c>
      <c r="I744">
        <v>180</v>
      </c>
      <c r="J744">
        <v>289</v>
      </c>
      <c r="K744">
        <v>292</v>
      </c>
      <c r="L744">
        <v>502</v>
      </c>
      <c r="M744">
        <v>997</v>
      </c>
      <c r="N744">
        <v>86</v>
      </c>
      <c r="O744" t="s">
        <v>1286</v>
      </c>
      <c r="P744" s="1" t="b">
        <f>NOT(OR(Table1[[#This Row],[State]]="Other Foreign Countries", Table1[[#This Row],[State]]="Unknown", Table1[[#This Row],[State]]="Puerto Rico all counties"))</f>
        <v>1</v>
      </c>
    </row>
    <row r="745" spans="1:16" x14ac:dyDescent="0.25">
      <c r="A745">
        <v>13087</v>
      </c>
      <c r="B745" t="s">
        <v>754</v>
      </c>
      <c r="C745" t="s">
        <v>828</v>
      </c>
      <c r="D745">
        <v>614</v>
      </c>
      <c r="E745">
        <v>90</v>
      </c>
      <c r="F745">
        <v>55</v>
      </c>
      <c r="G745">
        <v>83</v>
      </c>
      <c r="H745">
        <v>184</v>
      </c>
      <c r="I745">
        <v>202</v>
      </c>
      <c r="J745">
        <v>170</v>
      </c>
      <c r="K745">
        <v>217</v>
      </c>
      <c r="L745">
        <v>227</v>
      </c>
      <c r="M745">
        <v>534</v>
      </c>
      <c r="N745">
        <v>80</v>
      </c>
      <c r="O745" t="s">
        <v>829</v>
      </c>
      <c r="P745" s="1" t="b">
        <f>NOT(OR(Table1[[#This Row],[State]]="Other Foreign Countries", Table1[[#This Row],[State]]="Unknown", Table1[[#This Row],[State]]="Puerto Rico all counties"))</f>
        <v>1</v>
      </c>
    </row>
    <row r="746" spans="1:16" x14ac:dyDescent="0.25">
      <c r="A746">
        <v>18031</v>
      </c>
      <c r="B746" t="s">
        <v>1266</v>
      </c>
      <c r="C746" t="s">
        <v>828</v>
      </c>
      <c r="D746">
        <v>374</v>
      </c>
      <c r="E746">
        <v>115</v>
      </c>
      <c r="F746">
        <v>54</v>
      </c>
      <c r="G746">
        <v>57</v>
      </c>
      <c r="H746">
        <v>94</v>
      </c>
      <c r="I746">
        <v>54</v>
      </c>
      <c r="J746">
        <v>88</v>
      </c>
      <c r="K746">
        <v>107</v>
      </c>
      <c r="L746">
        <v>179</v>
      </c>
      <c r="M746">
        <v>353</v>
      </c>
      <c r="N746">
        <v>21</v>
      </c>
      <c r="O746" t="s">
        <v>1287</v>
      </c>
      <c r="P746" s="1" t="b">
        <f>NOT(OR(Table1[[#This Row],[State]]="Other Foreign Countries", Table1[[#This Row],[State]]="Unknown", Table1[[#This Row],[State]]="Puerto Rico all counties"))</f>
        <v>1</v>
      </c>
    </row>
    <row r="747" spans="1:16" x14ac:dyDescent="0.25">
      <c r="A747">
        <v>19053</v>
      </c>
      <c r="B747" t="s">
        <v>1399</v>
      </c>
      <c r="C747" t="s">
        <v>828</v>
      </c>
      <c r="D747">
        <v>147</v>
      </c>
      <c r="E747">
        <v>43</v>
      </c>
      <c r="F747">
        <v>26</v>
      </c>
      <c r="G747">
        <v>16</v>
      </c>
      <c r="H747">
        <v>30</v>
      </c>
      <c r="I747">
        <v>32</v>
      </c>
      <c r="J747">
        <v>23</v>
      </c>
      <c r="K747">
        <v>33</v>
      </c>
      <c r="L747">
        <v>91</v>
      </c>
      <c r="M747">
        <v>136</v>
      </c>
      <c r="N747">
        <v>11</v>
      </c>
      <c r="O747" t="s">
        <v>1438</v>
      </c>
      <c r="P747" s="1" t="b">
        <f>NOT(OR(Table1[[#This Row],[State]]="Other Foreign Countries", Table1[[#This Row],[State]]="Unknown", Table1[[#This Row],[State]]="Puerto Rico all counties"))</f>
        <v>1</v>
      </c>
    </row>
    <row r="748" spans="1:16" x14ac:dyDescent="0.25">
      <c r="A748">
        <v>20039</v>
      </c>
      <c r="B748" t="s">
        <v>1543</v>
      </c>
      <c r="C748" t="s">
        <v>828</v>
      </c>
      <c r="D748">
        <v>43</v>
      </c>
      <c r="H748">
        <v>12</v>
      </c>
      <c r="I748">
        <v>10</v>
      </c>
      <c r="L748">
        <v>27</v>
      </c>
      <c r="O748" t="s">
        <v>1574</v>
      </c>
      <c r="P748" s="1" t="b">
        <f>NOT(OR(Table1[[#This Row],[State]]="Other Foreign Countries", Table1[[#This Row],[State]]="Unknown", Table1[[#This Row],[State]]="Puerto Rico all counties"))</f>
        <v>1</v>
      </c>
    </row>
    <row r="749" spans="1:16" x14ac:dyDescent="0.25">
      <c r="A749">
        <v>47039</v>
      </c>
      <c r="B749" t="s">
        <v>3951</v>
      </c>
      <c r="C749" t="s">
        <v>828</v>
      </c>
      <c r="D749">
        <v>261</v>
      </c>
      <c r="E749">
        <v>47</v>
      </c>
      <c r="F749">
        <v>29</v>
      </c>
      <c r="G749">
        <v>34</v>
      </c>
      <c r="H749">
        <v>78</v>
      </c>
      <c r="I749">
        <v>73</v>
      </c>
      <c r="J749">
        <v>43</v>
      </c>
      <c r="K749">
        <v>81</v>
      </c>
      <c r="L749">
        <v>137</v>
      </c>
      <c r="M749">
        <v>236</v>
      </c>
      <c r="N749">
        <v>25</v>
      </c>
      <c r="O749" t="s">
        <v>3976</v>
      </c>
      <c r="P749" s="1" t="b">
        <f>NOT(OR(Table1[[#This Row],[State]]="Other Foreign Countries", Table1[[#This Row],[State]]="Unknown", Table1[[#This Row],[State]]="Puerto Rico all counties"))</f>
        <v>1</v>
      </c>
    </row>
    <row r="750" spans="1:16" x14ac:dyDescent="0.25">
      <c r="A750">
        <v>30023</v>
      </c>
      <c r="B750" t="s">
        <v>2665</v>
      </c>
      <c r="C750" t="s">
        <v>2684</v>
      </c>
      <c r="D750">
        <v>236</v>
      </c>
      <c r="E750">
        <v>56</v>
      </c>
      <c r="F750">
        <v>36</v>
      </c>
      <c r="G750">
        <v>36</v>
      </c>
      <c r="H750">
        <v>57</v>
      </c>
      <c r="I750">
        <v>51</v>
      </c>
      <c r="J750">
        <v>43</v>
      </c>
      <c r="K750">
        <v>82</v>
      </c>
      <c r="L750">
        <v>111</v>
      </c>
      <c r="M750">
        <v>217</v>
      </c>
      <c r="N750">
        <v>19</v>
      </c>
      <c r="O750" t="s">
        <v>2685</v>
      </c>
      <c r="P750" s="1" t="b">
        <f>NOT(OR(Table1[[#This Row],[State]]="Other Foreign Countries", Table1[[#This Row],[State]]="Unknown", Table1[[#This Row],[State]]="Puerto Rico all counties"))</f>
        <v>1</v>
      </c>
    </row>
    <row r="751" spans="1:16" x14ac:dyDescent="0.25">
      <c r="A751">
        <v>39039</v>
      </c>
      <c r="B751" t="s">
        <v>1343</v>
      </c>
      <c r="C751" t="s">
        <v>3400</v>
      </c>
      <c r="D751">
        <v>819</v>
      </c>
      <c r="E751">
        <v>296</v>
      </c>
      <c r="F751">
        <v>111</v>
      </c>
      <c r="G751">
        <v>90</v>
      </c>
      <c r="H751">
        <v>179</v>
      </c>
      <c r="I751">
        <v>143</v>
      </c>
      <c r="J751">
        <v>182</v>
      </c>
      <c r="K751">
        <v>205</v>
      </c>
      <c r="L751">
        <v>432</v>
      </c>
      <c r="M751">
        <v>762</v>
      </c>
      <c r="N751">
        <v>56</v>
      </c>
      <c r="O751" t="s">
        <v>3401</v>
      </c>
      <c r="P751" s="1" t="b">
        <f>NOT(OR(Table1[[#This Row],[State]]="Other Foreign Countries", Table1[[#This Row],[State]]="Unknown", Table1[[#This Row],[State]]="Puerto Rico all counties"))</f>
        <v>1</v>
      </c>
    </row>
    <row r="752" spans="1:16" x14ac:dyDescent="0.25">
      <c r="A752">
        <v>1049</v>
      </c>
      <c r="B752" t="s">
        <v>15</v>
      </c>
      <c r="C752" t="s">
        <v>64</v>
      </c>
      <c r="D752">
        <v>1092</v>
      </c>
      <c r="E752">
        <v>196</v>
      </c>
      <c r="F752">
        <v>125</v>
      </c>
      <c r="G752">
        <v>124</v>
      </c>
      <c r="H752">
        <v>352</v>
      </c>
      <c r="I752">
        <v>295</v>
      </c>
      <c r="J752">
        <v>282</v>
      </c>
      <c r="K752">
        <v>328</v>
      </c>
      <c r="L752">
        <v>482</v>
      </c>
      <c r="M752">
        <v>992</v>
      </c>
      <c r="N752">
        <v>100</v>
      </c>
      <c r="O752" t="s">
        <v>65</v>
      </c>
      <c r="P752" s="1" t="b">
        <f>NOT(OR(Table1[[#This Row],[State]]="Other Foreign Countries", Table1[[#This Row],[State]]="Unknown", Table1[[#This Row],[State]]="Puerto Rico all counties"))</f>
        <v>1</v>
      </c>
    </row>
    <row r="753" spans="1:16" x14ac:dyDescent="0.25">
      <c r="A753">
        <v>13089</v>
      </c>
      <c r="B753" t="s">
        <v>754</v>
      </c>
      <c r="C753" t="s">
        <v>64</v>
      </c>
      <c r="D753">
        <v>12764</v>
      </c>
      <c r="E753" s="1">
        <v>2251</v>
      </c>
      <c r="F753" s="1">
        <v>1226</v>
      </c>
      <c r="G753" s="1">
        <v>1362</v>
      </c>
      <c r="H753" s="1">
        <v>4091</v>
      </c>
      <c r="I753" s="1">
        <v>3834</v>
      </c>
      <c r="J753" s="1">
        <v>3584</v>
      </c>
      <c r="K753" s="1">
        <v>4681</v>
      </c>
      <c r="L753" s="1">
        <v>4499</v>
      </c>
      <c r="M753" s="1">
        <v>9999</v>
      </c>
      <c r="N753" s="1">
        <v>2763</v>
      </c>
      <c r="O753" t="s">
        <v>830</v>
      </c>
      <c r="P753" s="1" t="b">
        <f>NOT(OR(Table1[[#This Row],[State]]="Other Foreign Countries", Table1[[#This Row],[State]]="Unknown", Table1[[#This Row],[State]]="Puerto Rico all counties"))</f>
        <v>1</v>
      </c>
    </row>
    <row r="754" spans="1:16" x14ac:dyDescent="0.25">
      <c r="A754">
        <v>17037</v>
      </c>
      <c r="B754" t="s">
        <v>1109</v>
      </c>
      <c r="C754" t="s">
        <v>64</v>
      </c>
      <c r="D754">
        <v>1092</v>
      </c>
      <c r="E754">
        <v>215</v>
      </c>
      <c r="F754">
        <v>119</v>
      </c>
      <c r="G754">
        <v>123</v>
      </c>
      <c r="H754">
        <v>334</v>
      </c>
      <c r="I754">
        <v>301</v>
      </c>
      <c r="J754">
        <v>431</v>
      </c>
      <c r="K754">
        <v>274</v>
      </c>
      <c r="L754">
        <v>387</v>
      </c>
      <c r="M754">
        <v>984</v>
      </c>
      <c r="N754">
        <v>108</v>
      </c>
      <c r="O754" t="s">
        <v>1138</v>
      </c>
      <c r="P754" s="1" t="b">
        <f>NOT(OR(Table1[[#This Row],[State]]="Other Foreign Countries", Table1[[#This Row],[State]]="Unknown", Table1[[#This Row],[State]]="Puerto Rico all counties"))</f>
        <v>1</v>
      </c>
    </row>
    <row r="755" spans="1:16" x14ac:dyDescent="0.25">
      <c r="A755">
        <v>18033</v>
      </c>
      <c r="B755" t="s">
        <v>1266</v>
      </c>
      <c r="C755" t="s">
        <v>64</v>
      </c>
      <c r="D755">
        <v>960</v>
      </c>
      <c r="E755">
        <v>351</v>
      </c>
      <c r="F755">
        <v>128</v>
      </c>
      <c r="G755">
        <v>130</v>
      </c>
      <c r="H755">
        <v>217</v>
      </c>
      <c r="I755">
        <v>134</v>
      </c>
      <c r="J755">
        <v>218</v>
      </c>
      <c r="K755">
        <v>248</v>
      </c>
      <c r="L755">
        <v>494</v>
      </c>
      <c r="M755">
        <v>892</v>
      </c>
      <c r="N755">
        <v>68</v>
      </c>
      <c r="O755" t="s">
        <v>1288</v>
      </c>
      <c r="P755" s="1" t="b">
        <f>NOT(OR(Table1[[#This Row],[State]]="Other Foreign Countries", Table1[[#This Row],[State]]="Unknown", Table1[[#This Row],[State]]="Puerto Rico all counties"))</f>
        <v>1</v>
      </c>
    </row>
    <row r="756" spans="1:16" x14ac:dyDescent="0.25">
      <c r="A756">
        <v>29063</v>
      </c>
      <c r="B756" t="s">
        <v>2510</v>
      </c>
      <c r="C756" t="s">
        <v>64</v>
      </c>
      <c r="D756">
        <v>236</v>
      </c>
      <c r="E756">
        <v>54</v>
      </c>
      <c r="F756">
        <v>27</v>
      </c>
      <c r="G756">
        <v>33</v>
      </c>
      <c r="H756">
        <v>70</v>
      </c>
      <c r="I756">
        <v>52</v>
      </c>
      <c r="J756">
        <v>55</v>
      </c>
      <c r="K756">
        <v>79</v>
      </c>
      <c r="L756">
        <v>102</v>
      </c>
      <c r="M756">
        <v>221</v>
      </c>
      <c r="N756">
        <v>15</v>
      </c>
      <c r="O756" t="s">
        <v>2551</v>
      </c>
      <c r="P756" s="1" t="b">
        <f>NOT(OR(Table1[[#This Row],[State]]="Other Foreign Countries", Table1[[#This Row],[State]]="Unknown", Table1[[#This Row],[State]]="Puerto Rico all counties"))</f>
        <v>1</v>
      </c>
    </row>
    <row r="757" spans="1:16" x14ac:dyDescent="0.25">
      <c r="A757">
        <v>47041</v>
      </c>
      <c r="B757" t="s">
        <v>3951</v>
      </c>
      <c r="C757" t="s">
        <v>64</v>
      </c>
      <c r="D757">
        <v>394</v>
      </c>
      <c r="E757">
        <v>72</v>
      </c>
      <c r="F757">
        <v>35</v>
      </c>
      <c r="G757">
        <v>46</v>
      </c>
      <c r="H757">
        <v>129</v>
      </c>
      <c r="I757">
        <v>112</v>
      </c>
      <c r="J757">
        <v>106</v>
      </c>
      <c r="K757">
        <v>127</v>
      </c>
      <c r="L757">
        <v>161</v>
      </c>
      <c r="M757">
        <v>358</v>
      </c>
      <c r="N757">
        <v>36</v>
      </c>
      <c r="O757" t="s">
        <v>3977</v>
      </c>
      <c r="P757" s="1" t="b">
        <f>NOT(OR(Table1[[#This Row],[State]]="Other Foreign Countries", Table1[[#This Row],[State]]="Unknown", Table1[[#This Row],[State]]="Puerto Rico all counties"))</f>
        <v>1</v>
      </c>
    </row>
    <row r="758" spans="1:16" x14ac:dyDescent="0.25">
      <c r="A758">
        <v>6015</v>
      </c>
      <c r="B758" t="s">
        <v>374</v>
      </c>
      <c r="C758" t="s">
        <v>389</v>
      </c>
      <c r="D758">
        <v>591</v>
      </c>
      <c r="E758">
        <v>153</v>
      </c>
      <c r="F758">
        <v>68</v>
      </c>
      <c r="G758">
        <v>69</v>
      </c>
      <c r="H758">
        <v>167</v>
      </c>
      <c r="I758">
        <v>134</v>
      </c>
      <c r="J758">
        <v>134</v>
      </c>
      <c r="K758">
        <v>163</v>
      </c>
      <c r="L758">
        <v>294</v>
      </c>
      <c r="M758">
        <v>541</v>
      </c>
      <c r="N758">
        <v>50</v>
      </c>
      <c r="O758" t="s">
        <v>390</v>
      </c>
      <c r="P758" s="1" t="b">
        <f>NOT(OR(Table1[[#This Row],[State]]="Other Foreign Countries", Table1[[#This Row],[State]]="Unknown", Table1[[#This Row],[State]]="Puerto Rico all counties"))</f>
        <v>1</v>
      </c>
    </row>
    <row r="759" spans="1:16" x14ac:dyDescent="0.25">
      <c r="A759">
        <v>18035</v>
      </c>
      <c r="B759" t="s">
        <v>1266</v>
      </c>
      <c r="C759" t="s">
        <v>628</v>
      </c>
      <c r="D759">
        <v>1992</v>
      </c>
      <c r="E759">
        <v>606</v>
      </c>
      <c r="F759">
        <v>281</v>
      </c>
      <c r="G759">
        <v>273</v>
      </c>
      <c r="H759">
        <v>493</v>
      </c>
      <c r="I759">
        <v>339</v>
      </c>
      <c r="J759">
        <v>495</v>
      </c>
      <c r="K759">
        <v>555</v>
      </c>
      <c r="L759">
        <v>942</v>
      </c>
      <c r="M759" s="1">
        <v>1836</v>
      </c>
      <c r="N759">
        <v>156</v>
      </c>
      <c r="O759" t="s">
        <v>1289</v>
      </c>
      <c r="P759" s="1" t="b">
        <f>NOT(OR(Table1[[#This Row],[State]]="Other Foreign Countries", Table1[[#This Row],[State]]="Unknown", Table1[[#This Row],[State]]="Puerto Rico all counties"))</f>
        <v>1</v>
      </c>
    </row>
    <row r="760" spans="1:16" x14ac:dyDescent="0.25">
      <c r="A760">
        <v>19055</v>
      </c>
      <c r="B760" t="s">
        <v>1399</v>
      </c>
      <c r="C760" t="s">
        <v>628</v>
      </c>
      <c r="D760">
        <v>224</v>
      </c>
      <c r="E760">
        <v>54</v>
      </c>
      <c r="F760">
        <v>30</v>
      </c>
      <c r="G760">
        <v>34</v>
      </c>
      <c r="H760">
        <v>63</v>
      </c>
      <c r="I760">
        <v>43</v>
      </c>
      <c r="J760">
        <v>47</v>
      </c>
      <c r="K760">
        <v>66</v>
      </c>
      <c r="L760">
        <v>111</v>
      </c>
      <c r="M760">
        <v>210</v>
      </c>
      <c r="N760">
        <v>14</v>
      </c>
      <c r="O760" t="s">
        <v>1439</v>
      </c>
      <c r="P760" s="1" t="b">
        <f>NOT(OR(Table1[[#This Row],[State]]="Other Foreign Countries", Table1[[#This Row],[State]]="Unknown", Table1[[#This Row],[State]]="Puerto Rico all counties"))</f>
        <v>1</v>
      </c>
    </row>
    <row r="761" spans="1:16" x14ac:dyDescent="0.25">
      <c r="A761">
        <v>36025</v>
      </c>
      <c r="B761" t="s">
        <v>3029</v>
      </c>
      <c r="C761" t="s">
        <v>628</v>
      </c>
      <c r="D761">
        <v>629</v>
      </c>
      <c r="E761">
        <v>177</v>
      </c>
      <c r="F761">
        <v>83</v>
      </c>
      <c r="G761">
        <v>88</v>
      </c>
      <c r="H761">
        <v>160</v>
      </c>
      <c r="I761">
        <v>121</v>
      </c>
      <c r="J761">
        <v>106</v>
      </c>
      <c r="K761">
        <v>160</v>
      </c>
      <c r="L761">
        <v>363</v>
      </c>
      <c r="M761">
        <v>570</v>
      </c>
      <c r="N761">
        <v>59</v>
      </c>
      <c r="O761" t="s">
        <v>3050</v>
      </c>
      <c r="P761" s="1" t="b">
        <f>NOT(OR(Table1[[#This Row],[State]]="Other Foreign Countries", Table1[[#This Row],[State]]="Unknown", Table1[[#This Row],[State]]="Puerto Rico all counties"))</f>
        <v>1</v>
      </c>
    </row>
    <row r="762" spans="1:16" x14ac:dyDescent="0.25">
      <c r="A762">
        <v>39041</v>
      </c>
      <c r="B762" t="s">
        <v>1343</v>
      </c>
      <c r="C762" t="s">
        <v>628</v>
      </c>
      <c r="D762">
        <v>2829</v>
      </c>
      <c r="E762">
        <v>681</v>
      </c>
      <c r="F762">
        <v>347</v>
      </c>
      <c r="G762">
        <v>368</v>
      </c>
      <c r="H762">
        <v>759</v>
      </c>
      <c r="I762">
        <v>674</v>
      </c>
      <c r="J762">
        <v>938</v>
      </c>
      <c r="K762">
        <v>862</v>
      </c>
      <c r="L762" s="1">
        <v>1029</v>
      </c>
      <c r="M762" s="1">
        <v>2555</v>
      </c>
      <c r="N762">
        <v>274</v>
      </c>
      <c r="O762" t="s">
        <v>3402</v>
      </c>
      <c r="P762" s="1" t="b">
        <f>NOT(OR(Table1[[#This Row],[State]]="Other Foreign Countries", Table1[[#This Row],[State]]="Unknown", Table1[[#This Row],[State]]="Puerto Rico all counties"))</f>
        <v>1</v>
      </c>
    </row>
    <row r="763" spans="1:16" x14ac:dyDescent="0.25">
      <c r="A763">
        <v>40041</v>
      </c>
      <c r="B763" t="s">
        <v>3495</v>
      </c>
      <c r="C763" t="s">
        <v>628</v>
      </c>
      <c r="D763">
        <v>1253</v>
      </c>
      <c r="E763">
        <v>201</v>
      </c>
      <c r="F763">
        <v>122</v>
      </c>
      <c r="G763">
        <v>125</v>
      </c>
      <c r="H763">
        <v>409</v>
      </c>
      <c r="I763">
        <v>396</v>
      </c>
      <c r="J763">
        <v>196</v>
      </c>
      <c r="K763">
        <v>377</v>
      </c>
      <c r="L763">
        <v>680</v>
      </c>
      <c r="M763" s="1">
        <v>1148</v>
      </c>
      <c r="N763">
        <v>105</v>
      </c>
      <c r="O763" t="s">
        <v>3526</v>
      </c>
      <c r="P763" s="1" t="b">
        <f>NOT(OR(Table1[[#This Row],[State]]="Other Foreign Countries", Table1[[#This Row],[State]]="Unknown", Table1[[#This Row],[State]]="Puerto Rico all counties"))</f>
        <v>1</v>
      </c>
    </row>
    <row r="764" spans="1:16" x14ac:dyDescent="0.25">
      <c r="A764">
        <v>42045</v>
      </c>
      <c r="B764" t="s">
        <v>3665</v>
      </c>
      <c r="C764" t="s">
        <v>628</v>
      </c>
      <c r="D764">
        <v>5093</v>
      </c>
      <c r="E764" s="1">
        <v>1026</v>
      </c>
      <c r="F764">
        <v>508</v>
      </c>
      <c r="G764">
        <v>551</v>
      </c>
      <c r="H764" s="1">
        <v>1546</v>
      </c>
      <c r="I764" s="1">
        <v>1462</v>
      </c>
      <c r="J764" s="1">
        <v>1285</v>
      </c>
      <c r="K764" s="1">
        <v>1438</v>
      </c>
      <c r="L764" s="1">
        <v>2370</v>
      </c>
      <c r="M764" s="1">
        <v>4575</v>
      </c>
      <c r="N764">
        <v>516</v>
      </c>
      <c r="O764" t="s">
        <v>3700</v>
      </c>
      <c r="P764" s="1" t="b">
        <f>NOT(OR(Table1[[#This Row],[State]]="Other Foreign Countries", Table1[[#This Row],[State]]="Unknown", Table1[[#This Row],[State]]="Puerto Rico all counties"))</f>
        <v>1</v>
      </c>
    </row>
    <row r="765" spans="1:16" x14ac:dyDescent="0.25">
      <c r="A765">
        <v>8029</v>
      </c>
      <c r="B765" t="s">
        <v>489</v>
      </c>
      <c r="C765" t="s">
        <v>520</v>
      </c>
      <c r="D765">
        <v>979</v>
      </c>
      <c r="E765">
        <v>289</v>
      </c>
      <c r="F765">
        <v>125</v>
      </c>
      <c r="G765">
        <v>110</v>
      </c>
      <c r="H765">
        <v>242</v>
      </c>
      <c r="I765">
        <v>213</v>
      </c>
      <c r="J765">
        <v>161</v>
      </c>
      <c r="K765">
        <v>236</v>
      </c>
      <c r="L765">
        <v>582</v>
      </c>
      <c r="M765">
        <v>886</v>
      </c>
      <c r="N765">
        <v>93</v>
      </c>
      <c r="O765" t="s">
        <v>521</v>
      </c>
      <c r="P765" s="1" t="b">
        <f>NOT(OR(Table1[[#This Row],[State]]="Other Foreign Countries", Table1[[#This Row],[State]]="Unknown", Table1[[#This Row],[State]]="Puerto Rico all counties"))</f>
        <v>1</v>
      </c>
    </row>
    <row r="766" spans="1:16" x14ac:dyDescent="0.25">
      <c r="A766">
        <v>26041</v>
      </c>
      <c r="B766" t="s">
        <v>2099</v>
      </c>
      <c r="C766" t="s">
        <v>520</v>
      </c>
      <c r="D766">
        <v>1402</v>
      </c>
      <c r="E766">
        <v>381</v>
      </c>
      <c r="F766">
        <v>147</v>
      </c>
      <c r="G766">
        <v>161</v>
      </c>
      <c r="H766">
        <v>392</v>
      </c>
      <c r="I766">
        <v>321</v>
      </c>
      <c r="J766">
        <v>233</v>
      </c>
      <c r="K766">
        <v>432</v>
      </c>
      <c r="L766">
        <v>737</v>
      </c>
      <c r="M766" s="1">
        <v>1292</v>
      </c>
      <c r="N766">
        <v>110</v>
      </c>
      <c r="O766" t="s">
        <v>2134</v>
      </c>
      <c r="P766" s="1" t="b">
        <f>NOT(OR(Table1[[#This Row],[State]]="Other Foreign Countries", Table1[[#This Row],[State]]="Unknown", Table1[[#This Row],[State]]="Puerto Rico all counties"))</f>
        <v>1</v>
      </c>
    </row>
    <row r="767" spans="1:16" x14ac:dyDescent="0.25">
      <c r="A767">
        <v>48119</v>
      </c>
      <c r="B767" t="s">
        <v>2654</v>
      </c>
      <c r="C767" t="s">
        <v>520</v>
      </c>
      <c r="D767">
        <v>156</v>
      </c>
      <c r="E767">
        <v>25</v>
      </c>
      <c r="F767">
        <v>19</v>
      </c>
      <c r="G767">
        <v>20</v>
      </c>
      <c r="H767">
        <v>51</v>
      </c>
      <c r="I767">
        <v>41</v>
      </c>
      <c r="J767">
        <v>45</v>
      </c>
      <c r="K767">
        <v>44</v>
      </c>
      <c r="L767">
        <v>67</v>
      </c>
      <c r="M767">
        <v>144</v>
      </c>
      <c r="N767">
        <v>12</v>
      </c>
      <c r="O767" t="s">
        <v>4174</v>
      </c>
      <c r="P767" s="1" t="b">
        <f>NOT(OR(Table1[[#This Row],[State]]="Other Foreign Countries", Table1[[#This Row],[State]]="Unknown", Table1[[#This Row],[State]]="Puerto Rico all counties"))</f>
        <v>1</v>
      </c>
    </row>
    <row r="768" spans="1:16" x14ac:dyDescent="0.25">
      <c r="A768">
        <v>2068</v>
      </c>
      <c r="B768" t="s">
        <v>150</v>
      </c>
      <c r="C768" t="s">
        <v>165</v>
      </c>
      <c r="D768">
        <v>71</v>
      </c>
      <c r="E768">
        <v>17</v>
      </c>
      <c r="G768">
        <v>14</v>
      </c>
      <c r="H768">
        <v>22</v>
      </c>
      <c r="J768">
        <v>27</v>
      </c>
      <c r="K768">
        <v>28</v>
      </c>
      <c r="L768">
        <v>16</v>
      </c>
      <c r="O768" t="s">
        <v>166</v>
      </c>
      <c r="P768" s="1" t="b">
        <f>NOT(OR(Table1[[#This Row],[State]]="Other Foreign Countries", Table1[[#This Row],[State]]="Unknown", Table1[[#This Row],[State]]="Puerto Rico all counties"))</f>
        <v>1</v>
      </c>
    </row>
    <row r="769" spans="1:16" x14ac:dyDescent="0.25">
      <c r="A769">
        <v>29065</v>
      </c>
      <c r="B769" t="s">
        <v>2510</v>
      </c>
      <c r="C769" t="s">
        <v>2552</v>
      </c>
      <c r="D769">
        <v>485</v>
      </c>
      <c r="E769">
        <v>102</v>
      </c>
      <c r="F769">
        <v>59</v>
      </c>
      <c r="G769">
        <v>57</v>
      </c>
      <c r="H769">
        <v>137</v>
      </c>
      <c r="I769">
        <v>130</v>
      </c>
      <c r="J769">
        <v>88</v>
      </c>
      <c r="K769">
        <v>183</v>
      </c>
      <c r="L769">
        <v>214</v>
      </c>
      <c r="M769">
        <v>445</v>
      </c>
      <c r="N769">
        <v>40</v>
      </c>
      <c r="O769" t="s">
        <v>2553</v>
      </c>
      <c r="P769" s="1" t="b">
        <f>NOT(OR(Table1[[#This Row],[State]]="Other Foreign Countries", Table1[[#This Row],[State]]="Unknown", Table1[[#This Row],[State]]="Puerto Rico all counties"))</f>
        <v>1</v>
      </c>
    </row>
    <row r="770" spans="1:16" x14ac:dyDescent="0.25">
      <c r="A770">
        <v>48121</v>
      </c>
      <c r="B770" t="s">
        <v>2654</v>
      </c>
      <c r="C770" t="s">
        <v>4175</v>
      </c>
      <c r="D770">
        <v>17525</v>
      </c>
      <c r="E770" s="1">
        <v>2815</v>
      </c>
      <c r="F770" s="1">
        <v>1794</v>
      </c>
      <c r="G770" s="1">
        <v>2007</v>
      </c>
      <c r="H770" s="1">
        <v>5308</v>
      </c>
      <c r="I770" s="1">
        <v>5601</v>
      </c>
      <c r="J770" s="1">
        <v>6935</v>
      </c>
      <c r="K770" s="1">
        <v>6382</v>
      </c>
      <c r="L770" s="1">
        <v>4208</v>
      </c>
      <c r="M770" s="1">
        <v>15079</v>
      </c>
      <c r="N770" s="1">
        <v>2444</v>
      </c>
      <c r="O770" t="s">
        <v>4176</v>
      </c>
      <c r="P770" s="1" t="b">
        <f>NOT(OR(Table1[[#This Row],[State]]="Other Foreign Countries", Table1[[#This Row],[State]]="Unknown", Table1[[#This Row],[State]]="Puerto Rico all counties"))</f>
        <v>1</v>
      </c>
    </row>
    <row r="771" spans="1:16" x14ac:dyDescent="0.25">
      <c r="A771">
        <v>8031</v>
      </c>
      <c r="B771" t="s">
        <v>489</v>
      </c>
      <c r="C771" t="s">
        <v>522</v>
      </c>
      <c r="D771">
        <v>7684</v>
      </c>
      <c r="E771" s="1">
        <v>1557</v>
      </c>
      <c r="F771">
        <v>996</v>
      </c>
      <c r="G771" s="1">
        <v>1096</v>
      </c>
      <c r="H771" s="1">
        <v>2251</v>
      </c>
      <c r="I771" s="1">
        <v>1784</v>
      </c>
      <c r="J771" s="1">
        <v>3430</v>
      </c>
      <c r="K771" s="1">
        <v>1966</v>
      </c>
      <c r="L771" s="1">
        <v>2288</v>
      </c>
      <c r="M771" s="1">
        <v>6552</v>
      </c>
      <c r="N771" s="1">
        <v>1131</v>
      </c>
      <c r="O771" t="s">
        <v>523</v>
      </c>
      <c r="P771" s="1" t="b">
        <f>NOT(OR(Table1[[#This Row],[State]]="Other Foreign Countries", Table1[[#This Row],[State]]="Unknown", Table1[[#This Row],[State]]="Puerto Rico all counties"))</f>
        <v>1</v>
      </c>
    </row>
    <row r="772" spans="1:16" x14ac:dyDescent="0.25">
      <c r="A772">
        <v>19057</v>
      </c>
      <c r="B772" t="s">
        <v>1399</v>
      </c>
      <c r="C772" t="s">
        <v>1440</v>
      </c>
      <c r="D772">
        <v>625</v>
      </c>
      <c r="E772">
        <v>122</v>
      </c>
      <c r="F772">
        <v>85</v>
      </c>
      <c r="G772">
        <v>89</v>
      </c>
      <c r="H772">
        <v>192</v>
      </c>
      <c r="I772">
        <v>137</v>
      </c>
      <c r="J772">
        <v>155</v>
      </c>
      <c r="K772">
        <v>199</v>
      </c>
      <c r="L772">
        <v>271</v>
      </c>
      <c r="M772">
        <v>571</v>
      </c>
      <c r="N772">
        <v>54</v>
      </c>
      <c r="O772" t="s">
        <v>1441</v>
      </c>
      <c r="P772" s="1" t="b">
        <f>NOT(OR(Table1[[#This Row],[State]]="Other Foreign Countries", Table1[[#This Row],[State]]="Unknown", Table1[[#This Row],[State]]="Puerto Rico all counties"))</f>
        <v>1</v>
      </c>
    </row>
    <row r="773" spans="1:16" x14ac:dyDescent="0.25">
      <c r="A773">
        <v>41017</v>
      </c>
      <c r="B773" t="s">
        <v>2607</v>
      </c>
      <c r="C773" t="s">
        <v>3624</v>
      </c>
      <c r="D773">
        <v>4624</v>
      </c>
      <c r="E773" s="1">
        <v>1079</v>
      </c>
      <c r="F773">
        <v>595</v>
      </c>
      <c r="G773">
        <v>613</v>
      </c>
      <c r="H773" s="1">
        <v>1323</v>
      </c>
      <c r="I773" s="1">
        <v>1014</v>
      </c>
      <c r="J773" s="1">
        <v>1459</v>
      </c>
      <c r="K773" s="1">
        <v>1142</v>
      </c>
      <c r="L773" s="1">
        <v>2023</v>
      </c>
      <c r="M773" s="1">
        <v>4162</v>
      </c>
      <c r="N773">
        <v>462</v>
      </c>
      <c r="O773" t="s">
        <v>3625</v>
      </c>
      <c r="P773" s="1" t="b">
        <f>NOT(OR(Table1[[#This Row],[State]]="Other Foreign Countries", Table1[[#This Row],[State]]="Unknown", Table1[[#This Row],[State]]="Puerto Rico all counties"))</f>
        <v>1</v>
      </c>
    </row>
    <row r="774" spans="1:16" x14ac:dyDescent="0.25">
      <c r="A774">
        <v>5041</v>
      </c>
      <c r="B774" t="s">
        <v>242</v>
      </c>
      <c r="C774" t="s">
        <v>278</v>
      </c>
      <c r="D774">
        <v>173</v>
      </c>
      <c r="E774">
        <v>18</v>
      </c>
      <c r="F774">
        <v>15</v>
      </c>
      <c r="G774">
        <v>28</v>
      </c>
      <c r="H774">
        <v>62</v>
      </c>
      <c r="I774">
        <v>50</v>
      </c>
      <c r="J774">
        <v>33</v>
      </c>
      <c r="K774">
        <v>62</v>
      </c>
      <c r="L774">
        <v>78</v>
      </c>
      <c r="M774">
        <v>150</v>
      </c>
      <c r="N774">
        <v>22</v>
      </c>
      <c r="O774" t="s">
        <v>279</v>
      </c>
      <c r="P774" s="1" t="b">
        <f>NOT(OR(Table1[[#This Row],[State]]="Other Foreign Countries", Table1[[#This Row],[State]]="Unknown", Table1[[#This Row],[State]]="Puerto Rico all counties"))</f>
        <v>1</v>
      </c>
    </row>
    <row r="775" spans="1:16" x14ac:dyDescent="0.25">
      <c r="A775">
        <v>12027</v>
      </c>
      <c r="B775" t="s">
        <v>637</v>
      </c>
      <c r="C775" t="s">
        <v>659</v>
      </c>
      <c r="D775">
        <v>547</v>
      </c>
      <c r="E775">
        <v>129</v>
      </c>
      <c r="F775">
        <v>56</v>
      </c>
      <c r="G775">
        <v>67</v>
      </c>
      <c r="H775">
        <v>152</v>
      </c>
      <c r="I775">
        <v>143</v>
      </c>
      <c r="J775">
        <v>98</v>
      </c>
      <c r="K775">
        <v>115</v>
      </c>
      <c r="L775">
        <v>334</v>
      </c>
      <c r="M775">
        <v>500</v>
      </c>
      <c r="N775">
        <v>47</v>
      </c>
      <c r="O775" t="s">
        <v>660</v>
      </c>
      <c r="P775" s="1" t="b">
        <f>NOT(OR(Table1[[#This Row],[State]]="Other Foreign Countries", Table1[[#This Row],[State]]="Unknown", Table1[[#This Row],[State]]="Puerto Rico all counties"))</f>
        <v>1</v>
      </c>
    </row>
    <row r="776" spans="1:16" x14ac:dyDescent="0.25">
      <c r="A776">
        <v>28033</v>
      </c>
      <c r="B776" t="s">
        <v>322</v>
      </c>
      <c r="C776" t="s">
        <v>659</v>
      </c>
      <c r="D776">
        <v>4706</v>
      </c>
      <c r="E776">
        <v>778</v>
      </c>
      <c r="F776">
        <v>414</v>
      </c>
      <c r="G776">
        <v>510</v>
      </c>
      <c r="H776" s="1">
        <v>1498</v>
      </c>
      <c r="I776" s="1">
        <v>1506</v>
      </c>
      <c r="J776" s="1">
        <v>1395</v>
      </c>
      <c r="K776" s="1">
        <v>1874</v>
      </c>
      <c r="L776" s="1">
        <v>1437</v>
      </c>
      <c r="M776" s="1">
        <v>3993</v>
      </c>
      <c r="N776">
        <v>713</v>
      </c>
      <c r="O776" t="s">
        <v>2416</v>
      </c>
      <c r="P776" s="1" t="b">
        <f>NOT(OR(Table1[[#This Row],[State]]="Other Foreign Countries", Table1[[#This Row],[State]]="Unknown", Table1[[#This Row],[State]]="Puerto Rico all counties"))</f>
        <v>1</v>
      </c>
    </row>
    <row r="777" spans="1:16" x14ac:dyDescent="0.25">
      <c r="A777">
        <v>31049</v>
      </c>
      <c r="B777" t="s">
        <v>2758</v>
      </c>
      <c r="C777" t="s">
        <v>2793</v>
      </c>
      <c r="D777">
        <v>64</v>
      </c>
      <c r="E777">
        <v>32</v>
      </c>
      <c r="H777">
        <v>11</v>
      </c>
      <c r="L777">
        <v>42</v>
      </c>
      <c r="O777" t="s">
        <v>2794</v>
      </c>
      <c r="P777" s="1" t="b">
        <f>NOT(OR(Table1[[#This Row],[State]]="Other Foreign Countries", Table1[[#This Row],[State]]="Unknown", Table1[[#This Row],[State]]="Puerto Rico all counties"))</f>
        <v>1</v>
      </c>
    </row>
    <row r="778" spans="1:16" x14ac:dyDescent="0.25">
      <c r="A778">
        <v>46039</v>
      </c>
      <c r="B778" t="s">
        <v>3846</v>
      </c>
      <c r="C778" t="s">
        <v>2793</v>
      </c>
      <c r="D778">
        <v>97</v>
      </c>
      <c r="E778">
        <v>34</v>
      </c>
      <c r="F778">
        <v>12</v>
      </c>
      <c r="G778">
        <v>15</v>
      </c>
      <c r="H778">
        <v>22</v>
      </c>
      <c r="I778">
        <v>14</v>
      </c>
      <c r="J778">
        <v>12</v>
      </c>
      <c r="K778">
        <v>39</v>
      </c>
      <c r="L778">
        <v>46</v>
      </c>
      <c r="M778">
        <v>84</v>
      </c>
      <c r="N778">
        <v>13</v>
      </c>
      <c r="O778" t="s">
        <v>3876</v>
      </c>
      <c r="P778" s="1" t="b">
        <f>NOT(OR(Table1[[#This Row],[State]]="Other Foreign Countries", Table1[[#This Row],[State]]="Unknown", Table1[[#This Row],[State]]="Puerto Rico all counties"))</f>
        <v>1</v>
      </c>
    </row>
    <row r="779" spans="1:16" x14ac:dyDescent="0.25">
      <c r="A779">
        <v>40043</v>
      </c>
      <c r="B779" t="s">
        <v>3495</v>
      </c>
      <c r="C779" t="s">
        <v>3527</v>
      </c>
      <c r="D779">
        <v>67</v>
      </c>
      <c r="E779">
        <v>15</v>
      </c>
      <c r="H779">
        <v>23</v>
      </c>
      <c r="I779">
        <v>14</v>
      </c>
      <c r="J779">
        <v>17</v>
      </c>
      <c r="K779">
        <v>18</v>
      </c>
      <c r="L779">
        <v>32</v>
      </c>
      <c r="O779" t="s">
        <v>3528</v>
      </c>
      <c r="P779" s="1" t="b">
        <f>NOT(OR(Table1[[#This Row],[State]]="Other Foreign Countries", Table1[[#This Row],[State]]="Unknown", Table1[[#This Row],[State]]="Puerto Rico all counties"))</f>
        <v>1</v>
      </c>
    </row>
    <row r="780" spans="1:16" x14ac:dyDescent="0.25">
      <c r="A780">
        <v>46041</v>
      </c>
      <c r="B780" t="s">
        <v>3846</v>
      </c>
      <c r="C780" t="s">
        <v>3527</v>
      </c>
      <c r="D780">
        <v>73</v>
      </c>
      <c r="E780">
        <v>15</v>
      </c>
      <c r="H780">
        <v>22</v>
      </c>
      <c r="I780">
        <v>16</v>
      </c>
      <c r="J780">
        <v>19</v>
      </c>
      <c r="K780">
        <v>23</v>
      </c>
      <c r="L780">
        <v>31</v>
      </c>
      <c r="O780" t="s">
        <v>3877</v>
      </c>
      <c r="P780" s="1" t="b">
        <f>NOT(OR(Table1[[#This Row],[State]]="Other Foreign Countries", Table1[[#This Row],[State]]="Unknown", Table1[[#This Row],[State]]="Puerto Rico all counties"))</f>
        <v>1</v>
      </c>
    </row>
    <row r="781" spans="1:16" x14ac:dyDescent="0.25">
      <c r="A781">
        <v>48123</v>
      </c>
      <c r="B781" t="s">
        <v>2654</v>
      </c>
      <c r="C781" t="s">
        <v>4177</v>
      </c>
      <c r="D781">
        <v>427</v>
      </c>
      <c r="E781">
        <v>103</v>
      </c>
      <c r="F781">
        <v>53</v>
      </c>
      <c r="G781">
        <v>47</v>
      </c>
      <c r="H781">
        <v>135</v>
      </c>
      <c r="I781">
        <v>89</v>
      </c>
      <c r="J781">
        <v>97</v>
      </c>
      <c r="K781">
        <v>116</v>
      </c>
      <c r="L781">
        <v>214</v>
      </c>
      <c r="M781">
        <v>392</v>
      </c>
      <c r="N781">
        <v>35</v>
      </c>
      <c r="O781" t="s">
        <v>4178</v>
      </c>
      <c r="P781" s="1" t="b">
        <f>NOT(OR(Table1[[#This Row],[State]]="Other Foreign Countries", Table1[[#This Row],[State]]="Unknown", Table1[[#This Row],[State]]="Puerto Rico all counties"))</f>
        <v>1</v>
      </c>
    </row>
    <row r="782" spans="1:16" x14ac:dyDescent="0.25">
      <c r="A782">
        <v>48125</v>
      </c>
      <c r="B782" t="s">
        <v>2654</v>
      </c>
      <c r="C782" t="s">
        <v>4179</v>
      </c>
      <c r="D782">
        <v>50</v>
      </c>
      <c r="H782">
        <v>13</v>
      </c>
      <c r="I782">
        <v>15</v>
      </c>
      <c r="J782">
        <v>11</v>
      </c>
      <c r="K782">
        <v>14</v>
      </c>
      <c r="L782">
        <v>25</v>
      </c>
      <c r="O782" t="s">
        <v>4180</v>
      </c>
      <c r="P782" s="1" t="b">
        <f>NOT(OR(Table1[[#This Row],[State]]="Other Foreign Countries", Table1[[#This Row],[State]]="Unknown", Table1[[#This Row],[State]]="Puerto Rico all counties"))</f>
        <v>1</v>
      </c>
    </row>
    <row r="783" spans="1:16" x14ac:dyDescent="0.25">
      <c r="A783">
        <v>51051</v>
      </c>
      <c r="B783" t="s">
        <v>4555</v>
      </c>
      <c r="C783" t="s">
        <v>4593</v>
      </c>
      <c r="D783">
        <v>292</v>
      </c>
      <c r="E783">
        <v>61</v>
      </c>
      <c r="F783">
        <v>39</v>
      </c>
      <c r="G783">
        <v>29</v>
      </c>
      <c r="H783">
        <v>97</v>
      </c>
      <c r="I783">
        <v>66</v>
      </c>
      <c r="J783">
        <v>46</v>
      </c>
      <c r="K783">
        <v>87</v>
      </c>
      <c r="L783">
        <v>159</v>
      </c>
      <c r="M783">
        <v>280</v>
      </c>
      <c r="N783">
        <v>12</v>
      </c>
      <c r="O783" t="s">
        <v>4594</v>
      </c>
      <c r="P783" s="1" t="b">
        <f>NOT(OR(Table1[[#This Row],[State]]="Other Foreign Countries", Table1[[#This Row],[State]]="Unknown", Table1[[#This Row],[State]]="Puerto Rico all counties"))</f>
        <v>1</v>
      </c>
    </row>
    <row r="784" spans="1:16" x14ac:dyDescent="0.25">
      <c r="A784">
        <v>38021</v>
      </c>
      <c r="B784" t="s">
        <v>3286</v>
      </c>
      <c r="C784" t="s">
        <v>3304</v>
      </c>
      <c r="D784">
        <v>82</v>
      </c>
      <c r="E784">
        <v>30</v>
      </c>
      <c r="H784">
        <v>16</v>
      </c>
      <c r="I784">
        <v>17</v>
      </c>
      <c r="J784">
        <v>16</v>
      </c>
      <c r="K784">
        <v>26</v>
      </c>
      <c r="L784">
        <v>40</v>
      </c>
      <c r="O784" t="s">
        <v>3305</v>
      </c>
      <c r="P784" s="1" t="b">
        <f>NOT(OR(Table1[[#This Row],[State]]="Other Foreign Countries", Table1[[#This Row],[State]]="Unknown", Table1[[#This Row],[State]]="Puerto Rico all counties"))</f>
        <v>1</v>
      </c>
    </row>
    <row r="785" spans="1:16" x14ac:dyDescent="0.25">
      <c r="A785">
        <v>19059</v>
      </c>
      <c r="B785" t="s">
        <v>1399</v>
      </c>
      <c r="C785" t="s">
        <v>1442</v>
      </c>
      <c r="D785">
        <v>318</v>
      </c>
      <c r="E785">
        <v>97</v>
      </c>
      <c r="F785">
        <v>39</v>
      </c>
      <c r="G785">
        <v>29</v>
      </c>
      <c r="H785">
        <v>72</v>
      </c>
      <c r="I785">
        <v>81</v>
      </c>
      <c r="J785">
        <v>56</v>
      </c>
      <c r="K785">
        <v>76</v>
      </c>
      <c r="L785">
        <v>186</v>
      </c>
      <c r="M785">
        <v>301</v>
      </c>
      <c r="N785">
        <v>17</v>
      </c>
      <c r="O785" t="s">
        <v>1443</v>
      </c>
      <c r="P785" s="1" t="b">
        <f>NOT(OR(Table1[[#This Row],[State]]="Other Foreign Countries", Table1[[#This Row],[State]]="Unknown", Table1[[#This Row],[State]]="Puerto Rico all counties"))</f>
        <v>1</v>
      </c>
    </row>
    <row r="786" spans="1:16" x14ac:dyDescent="0.25">
      <c r="A786">
        <v>20041</v>
      </c>
      <c r="B786" t="s">
        <v>1543</v>
      </c>
      <c r="C786" t="s">
        <v>1442</v>
      </c>
      <c r="D786">
        <v>956</v>
      </c>
      <c r="E786">
        <v>123</v>
      </c>
      <c r="F786">
        <v>73</v>
      </c>
      <c r="G786">
        <v>104</v>
      </c>
      <c r="H786">
        <v>340</v>
      </c>
      <c r="I786">
        <v>316</v>
      </c>
      <c r="J786">
        <v>273</v>
      </c>
      <c r="K786">
        <v>424</v>
      </c>
      <c r="L786">
        <v>259</v>
      </c>
      <c r="M786">
        <v>849</v>
      </c>
      <c r="N786">
        <v>107</v>
      </c>
      <c r="O786" t="s">
        <v>1575</v>
      </c>
      <c r="P786" s="1" t="b">
        <f>NOT(OR(Table1[[#This Row],[State]]="Other Foreign Countries", Table1[[#This Row],[State]]="Unknown", Table1[[#This Row],[State]]="Puerto Rico all counties"))</f>
        <v>1</v>
      </c>
    </row>
    <row r="787" spans="1:16" x14ac:dyDescent="0.25">
      <c r="A787">
        <v>26043</v>
      </c>
      <c r="B787" t="s">
        <v>2099</v>
      </c>
      <c r="C787" t="s">
        <v>1442</v>
      </c>
      <c r="D787">
        <v>1133</v>
      </c>
      <c r="E787">
        <v>272</v>
      </c>
      <c r="F787">
        <v>123</v>
      </c>
      <c r="G787">
        <v>154</v>
      </c>
      <c r="H787">
        <v>341</v>
      </c>
      <c r="I787">
        <v>243</v>
      </c>
      <c r="J787">
        <v>253</v>
      </c>
      <c r="K787">
        <v>354</v>
      </c>
      <c r="L787">
        <v>526</v>
      </c>
      <c r="M787" s="1">
        <v>1026</v>
      </c>
      <c r="N787">
        <v>107</v>
      </c>
      <c r="O787" t="s">
        <v>2135</v>
      </c>
      <c r="P787" s="1" t="b">
        <f>NOT(OR(Table1[[#This Row],[State]]="Other Foreign Countries", Table1[[#This Row],[State]]="Unknown", Table1[[#This Row],[State]]="Puerto Rico all counties"))</f>
        <v>1</v>
      </c>
    </row>
    <row r="788" spans="1:16" x14ac:dyDescent="0.25">
      <c r="A788">
        <v>47043</v>
      </c>
      <c r="B788" t="s">
        <v>3951</v>
      </c>
      <c r="C788" t="s">
        <v>3978</v>
      </c>
      <c r="D788">
        <v>1419</v>
      </c>
      <c r="E788">
        <v>288</v>
      </c>
      <c r="F788">
        <v>108</v>
      </c>
      <c r="G788">
        <v>158</v>
      </c>
      <c r="H788">
        <v>437</v>
      </c>
      <c r="I788">
        <v>428</v>
      </c>
      <c r="J788">
        <v>434</v>
      </c>
      <c r="K788">
        <v>458</v>
      </c>
      <c r="L788">
        <v>527</v>
      </c>
      <c r="M788" s="1">
        <v>1279</v>
      </c>
      <c r="N788">
        <v>140</v>
      </c>
      <c r="O788" t="s">
        <v>3979</v>
      </c>
      <c r="P788" s="1" t="b">
        <f>NOT(OR(Table1[[#This Row],[State]]="Other Foreign Countries", Table1[[#This Row],[State]]="Unknown", Table1[[#This Row],[State]]="Puerto Rico all counties"))</f>
        <v>1</v>
      </c>
    </row>
    <row r="789" spans="1:16" x14ac:dyDescent="0.25">
      <c r="A789">
        <v>2070</v>
      </c>
      <c r="B789" t="s">
        <v>150</v>
      </c>
      <c r="C789" t="s">
        <v>167</v>
      </c>
      <c r="D789">
        <v>43</v>
      </c>
      <c r="E789">
        <v>18</v>
      </c>
      <c r="K789">
        <v>18</v>
      </c>
      <c r="O789" t="s">
        <v>168</v>
      </c>
      <c r="P789" s="1" t="b">
        <f>NOT(OR(Table1[[#This Row],[State]]="Other Foreign Countries", Table1[[#This Row],[State]]="Unknown", Table1[[#This Row],[State]]="Puerto Rico all counties"))</f>
        <v>1</v>
      </c>
    </row>
    <row r="790" spans="1:16" x14ac:dyDescent="0.25">
      <c r="A790">
        <v>45033</v>
      </c>
      <c r="B790" t="s">
        <v>3772</v>
      </c>
      <c r="C790" t="s">
        <v>3800</v>
      </c>
      <c r="D790">
        <v>605</v>
      </c>
      <c r="E790">
        <v>97</v>
      </c>
      <c r="F790">
        <v>60</v>
      </c>
      <c r="G790">
        <v>66</v>
      </c>
      <c r="H790">
        <v>216</v>
      </c>
      <c r="I790">
        <v>166</v>
      </c>
      <c r="J790">
        <v>133</v>
      </c>
      <c r="K790">
        <v>236</v>
      </c>
      <c r="L790">
        <v>236</v>
      </c>
      <c r="M790">
        <v>526</v>
      </c>
      <c r="N790">
        <v>79</v>
      </c>
      <c r="O790" t="s">
        <v>3801</v>
      </c>
      <c r="P790" s="1" t="b">
        <f>NOT(OR(Table1[[#This Row],[State]]="Other Foreign Countries", Table1[[#This Row],[State]]="Unknown", Table1[[#This Row],[State]]="Puerto Rico all counties"))</f>
        <v>1</v>
      </c>
    </row>
    <row r="791" spans="1:16" x14ac:dyDescent="0.25">
      <c r="A791">
        <v>48127</v>
      </c>
      <c r="B791" t="s">
        <v>2654</v>
      </c>
      <c r="C791" t="s">
        <v>4181</v>
      </c>
      <c r="D791">
        <v>135</v>
      </c>
      <c r="E791">
        <v>29</v>
      </c>
      <c r="F791">
        <v>17</v>
      </c>
      <c r="G791">
        <v>12</v>
      </c>
      <c r="H791">
        <v>43</v>
      </c>
      <c r="I791">
        <v>34</v>
      </c>
      <c r="J791">
        <v>21</v>
      </c>
      <c r="K791">
        <v>48</v>
      </c>
      <c r="L791">
        <v>66</v>
      </c>
      <c r="O791" t="s">
        <v>4182</v>
      </c>
      <c r="P791" s="1" t="b">
        <f>NOT(OR(Table1[[#This Row],[State]]="Other Foreign Countries", Table1[[#This Row],[State]]="Unknown", Table1[[#This Row],[State]]="Puerto Rico all counties"))</f>
        <v>1</v>
      </c>
    </row>
    <row r="792" spans="1:16" x14ac:dyDescent="0.25">
      <c r="A792">
        <v>51053</v>
      </c>
      <c r="B792" t="s">
        <v>4555</v>
      </c>
      <c r="C792" t="s">
        <v>4595</v>
      </c>
      <c r="D792">
        <v>989</v>
      </c>
      <c r="E792">
        <v>143</v>
      </c>
      <c r="F792">
        <v>93</v>
      </c>
      <c r="G792">
        <v>95</v>
      </c>
      <c r="H792">
        <v>314</v>
      </c>
      <c r="I792">
        <v>344</v>
      </c>
      <c r="J792">
        <v>217</v>
      </c>
      <c r="K792">
        <v>430</v>
      </c>
      <c r="L792">
        <v>342</v>
      </c>
      <c r="M792">
        <v>818</v>
      </c>
      <c r="N792">
        <v>171</v>
      </c>
      <c r="O792" t="s">
        <v>4596</v>
      </c>
      <c r="P792" s="1" t="b">
        <f>NOT(OR(Table1[[#This Row],[State]]="Other Foreign Countries", Table1[[#This Row],[State]]="Unknown", Table1[[#This Row],[State]]="Puerto Rico all counties"))</f>
        <v>1</v>
      </c>
    </row>
    <row r="793" spans="1:16" x14ac:dyDescent="0.25">
      <c r="A793">
        <v>11001</v>
      </c>
      <c r="B793" t="s">
        <v>635</v>
      </c>
      <c r="C793" t="s">
        <v>635</v>
      </c>
      <c r="D793">
        <v>7384</v>
      </c>
      <c r="E793" s="1">
        <v>1294</v>
      </c>
      <c r="F793">
        <v>828</v>
      </c>
      <c r="G793">
        <v>925</v>
      </c>
      <c r="H793" s="1">
        <v>2196</v>
      </c>
      <c r="I793" s="1">
        <v>2141</v>
      </c>
      <c r="J793" s="1">
        <v>2824</v>
      </c>
      <c r="K793" s="1">
        <v>2496</v>
      </c>
      <c r="L793" s="1">
        <v>2064</v>
      </c>
      <c r="M793" s="1">
        <v>5925</v>
      </c>
      <c r="N793" s="1">
        <v>1459</v>
      </c>
      <c r="O793" t="s">
        <v>636</v>
      </c>
      <c r="P793" s="1" t="b">
        <f>NOT(OR(Table1[[#This Row],[State]]="Other Foreign Countries", Table1[[#This Row],[State]]="Unknown", Table1[[#This Row],[State]]="Puerto Rico all counties"))</f>
        <v>1</v>
      </c>
    </row>
    <row r="794" spans="1:16" x14ac:dyDescent="0.25">
      <c r="A794">
        <v>38023</v>
      </c>
      <c r="B794" t="s">
        <v>3286</v>
      </c>
      <c r="C794" t="s">
        <v>3306</v>
      </c>
      <c r="D794">
        <v>45</v>
      </c>
      <c r="G794">
        <v>11</v>
      </c>
      <c r="H794">
        <v>12</v>
      </c>
      <c r="L794">
        <v>20</v>
      </c>
      <c r="O794" t="s">
        <v>3307</v>
      </c>
      <c r="P794" s="1" t="b">
        <f>NOT(OR(Table1[[#This Row],[State]]="Other Foreign Countries", Table1[[#This Row],[State]]="Unknown", Table1[[#This Row],[State]]="Puerto Rico all counties"))</f>
        <v>1</v>
      </c>
    </row>
    <row r="795" spans="1:16" x14ac:dyDescent="0.25">
      <c r="A795">
        <v>12029</v>
      </c>
      <c r="B795" t="s">
        <v>637</v>
      </c>
      <c r="C795" t="s">
        <v>661</v>
      </c>
      <c r="D795">
        <v>460</v>
      </c>
      <c r="E795">
        <v>81</v>
      </c>
      <c r="F795">
        <v>52</v>
      </c>
      <c r="G795">
        <v>54</v>
      </c>
      <c r="H795">
        <v>153</v>
      </c>
      <c r="I795">
        <v>120</v>
      </c>
      <c r="J795">
        <v>68</v>
      </c>
      <c r="K795">
        <v>129</v>
      </c>
      <c r="L795">
        <v>263</v>
      </c>
      <c r="M795">
        <v>417</v>
      </c>
      <c r="N795">
        <v>43</v>
      </c>
      <c r="O795" t="s">
        <v>662</v>
      </c>
      <c r="P795" s="1" t="b">
        <f>NOT(OR(Table1[[#This Row],[State]]="Other Foreign Countries", Table1[[#This Row],[State]]="Unknown", Table1[[#This Row],[State]]="Puerto Rico all counties"))</f>
        <v>1</v>
      </c>
    </row>
    <row r="796" spans="1:16" x14ac:dyDescent="0.25">
      <c r="A796">
        <v>31051</v>
      </c>
      <c r="B796" t="s">
        <v>2758</v>
      </c>
      <c r="C796" t="s">
        <v>2795</v>
      </c>
      <c r="D796">
        <v>168</v>
      </c>
      <c r="E796">
        <v>58</v>
      </c>
      <c r="F796">
        <v>21</v>
      </c>
      <c r="G796">
        <v>28</v>
      </c>
      <c r="H796">
        <v>33</v>
      </c>
      <c r="I796">
        <v>28</v>
      </c>
      <c r="J796">
        <v>21</v>
      </c>
      <c r="K796">
        <v>37</v>
      </c>
      <c r="L796">
        <v>110</v>
      </c>
      <c r="M796">
        <v>154</v>
      </c>
      <c r="N796">
        <v>14</v>
      </c>
      <c r="O796" t="s">
        <v>2796</v>
      </c>
      <c r="P796" s="1" t="b">
        <f>NOT(OR(Table1[[#This Row],[State]]="Other Foreign Countries", Table1[[#This Row],[State]]="Unknown", Table1[[#This Row],[State]]="Puerto Rico all counties"))</f>
        <v>1</v>
      </c>
    </row>
    <row r="797" spans="1:16" x14ac:dyDescent="0.25">
      <c r="A797">
        <v>54017</v>
      </c>
      <c r="B797" t="s">
        <v>4833</v>
      </c>
      <c r="C797" t="s">
        <v>4845</v>
      </c>
      <c r="D797">
        <v>206</v>
      </c>
      <c r="E797">
        <v>35</v>
      </c>
      <c r="F797">
        <v>22</v>
      </c>
      <c r="G797">
        <v>25</v>
      </c>
      <c r="H797">
        <v>58</v>
      </c>
      <c r="I797">
        <v>66</v>
      </c>
      <c r="J797">
        <v>33</v>
      </c>
      <c r="K797">
        <v>76</v>
      </c>
      <c r="L797">
        <v>97</v>
      </c>
      <c r="M797">
        <v>190</v>
      </c>
      <c r="N797">
        <v>16</v>
      </c>
      <c r="O797" t="s">
        <v>4846</v>
      </c>
      <c r="P797" s="1" t="b">
        <f>NOT(OR(Table1[[#This Row],[State]]="Other Foreign Countries", Table1[[#This Row],[State]]="Unknown", Table1[[#This Row],[State]]="Puerto Rico all counties"))</f>
        <v>1</v>
      </c>
    </row>
    <row r="798" spans="1:16" x14ac:dyDescent="0.25">
      <c r="A798">
        <v>13091</v>
      </c>
      <c r="B798" t="s">
        <v>754</v>
      </c>
      <c r="C798" t="s">
        <v>831</v>
      </c>
      <c r="D798">
        <v>399</v>
      </c>
      <c r="E798">
        <v>66</v>
      </c>
      <c r="F798">
        <v>44</v>
      </c>
      <c r="G798">
        <v>50</v>
      </c>
      <c r="H798">
        <v>127</v>
      </c>
      <c r="I798">
        <v>112</v>
      </c>
      <c r="J798">
        <v>88</v>
      </c>
      <c r="K798">
        <v>165</v>
      </c>
      <c r="L798">
        <v>146</v>
      </c>
      <c r="M798">
        <v>357</v>
      </c>
      <c r="N798">
        <v>42</v>
      </c>
      <c r="O798" t="s">
        <v>832</v>
      </c>
      <c r="P798" s="1" t="b">
        <f>NOT(OR(Table1[[#This Row],[State]]="Other Foreign Countries", Table1[[#This Row],[State]]="Unknown", Table1[[#This Row],[State]]="Puerto Rico all counties"))</f>
        <v>1</v>
      </c>
    </row>
    <row r="799" spans="1:16" x14ac:dyDescent="0.25">
      <c r="A799">
        <v>27039</v>
      </c>
      <c r="B799" t="s">
        <v>2245</v>
      </c>
      <c r="C799" t="s">
        <v>831</v>
      </c>
      <c r="D799">
        <v>429</v>
      </c>
      <c r="E799">
        <v>166</v>
      </c>
      <c r="F799">
        <v>40</v>
      </c>
      <c r="G799">
        <v>54</v>
      </c>
      <c r="H799">
        <v>97</v>
      </c>
      <c r="I799">
        <v>72</v>
      </c>
      <c r="J799">
        <v>105</v>
      </c>
      <c r="K799">
        <v>109</v>
      </c>
      <c r="L799">
        <v>215</v>
      </c>
      <c r="M799">
        <v>390</v>
      </c>
      <c r="N799">
        <v>38</v>
      </c>
      <c r="O799" t="s">
        <v>2277</v>
      </c>
      <c r="P799" s="1" t="b">
        <f>NOT(OR(Table1[[#This Row],[State]]="Other Foreign Countries", Table1[[#This Row],[State]]="Unknown", Table1[[#This Row],[State]]="Puerto Rico all counties"))</f>
        <v>1</v>
      </c>
    </row>
    <row r="800" spans="1:16" x14ac:dyDescent="0.25">
      <c r="A800">
        <v>31053</v>
      </c>
      <c r="B800" t="s">
        <v>2758</v>
      </c>
      <c r="C800" t="s">
        <v>831</v>
      </c>
      <c r="D800">
        <v>1034</v>
      </c>
      <c r="E800">
        <v>439</v>
      </c>
      <c r="F800">
        <v>140</v>
      </c>
      <c r="G800">
        <v>119</v>
      </c>
      <c r="H800">
        <v>195</v>
      </c>
      <c r="I800">
        <v>141</v>
      </c>
      <c r="J800">
        <v>177</v>
      </c>
      <c r="K800">
        <v>295</v>
      </c>
      <c r="L800">
        <v>562</v>
      </c>
      <c r="M800">
        <v>978</v>
      </c>
      <c r="N800">
        <v>56</v>
      </c>
      <c r="O800" t="s">
        <v>2797</v>
      </c>
      <c r="P800" s="1" t="b">
        <f>NOT(OR(Table1[[#This Row],[State]]="Other Foreign Countries", Table1[[#This Row],[State]]="Unknown", Table1[[#This Row],[State]]="Puerto Rico all counties"))</f>
        <v>1</v>
      </c>
    </row>
    <row r="801" spans="1:16" x14ac:dyDescent="0.25">
      <c r="A801">
        <v>55027</v>
      </c>
      <c r="B801" t="s">
        <v>4906</v>
      </c>
      <c r="C801" t="s">
        <v>831</v>
      </c>
      <c r="D801">
        <v>1370</v>
      </c>
      <c r="E801">
        <v>358</v>
      </c>
      <c r="F801">
        <v>198</v>
      </c>
      <c r="G801">
        <v>182</v>
      </c>
      <c r="H801">
        <v>347</v>
      </c>
      <c r="I801">
        <v>285</v>
      </c>
      <c r="J801">
        <v>429</v>
      </c>
      <c r="K801">
        <v>373</v>
      </c>
      <c r="L801">
        <v>568</v>
      </c>
      <c r="M801" s="1">
        <v>1226</v>
      </c>
      <c r="N801">
        <v>144</v>
      </c>
      <c r="O801" t="s">
        <v>4925</v>
      </c>
      <c r="P801" s="1" t="b">
        <f>NOT(OR(Table1[[#This Row],[State]]="Other Foreign Countries", Table1[[#This Row],[State]]="Unknown", Table1[[#This Row],[State]]="Puerto Rico all counties"))</f>
        <v>1</v>
      </c>
    </row>
    <row r="802" spans="1:16" x14ac:dyDescent="0.25">
      <c r="A802">
        <v>8033</v>
      </c>
      <c r="B802" t="s">
        <v>489</v>
      </c>
      <c r="C802" t="s">
        <v>524</v>
      </c>
      <c r="D802">
        <v>56</v>
      </c>
      <c r="H802">
        <v>18</v>
      </c>
      <c r="I802">
        <v>17</v>
      </c>
      <c r="J802">
        <v>13</v>
      </c>
      <c r="K802">
        <v>19</v>
      </c>
      <c r="L802">
        <v>24</v>
      </c>
      <c r="O802" t="s">
        <v>525</v>
      </c>
      <c r="P802" s="1" t="b">
        <f>NOT(OR(Table1[[#This Row],[State]]="Other Foreign Countries", Table1[[#This Row],[State]]="Unknown", Table1[[#This Row],[State]]="Puerto Rico all counties"))</f>
        <v>1</v>
      </c>
    </row>
    <row r="803" spans="1:16" x14ac:dyDescent="0.25">
      <c r="A803">
        <v>35013</v>
      </c>
      <c r="B803" t="s">
        <v>2971</v>
      </c>
      <c r="C803" t="s">
        <v>2985</v>
      </c>
      <c r="D803">
        <v>5529</v>
      </c>
      <c r="E803">
        <v>803</v>
      </c>
      <c r="F803">
        <v>471</v>
      </c>
      <c r="G803">
        <v>586</v>
      </c>
      <c r="H803" s="1">
        <v>1902</v>
      </c>
      <c r="I803" s="1">
        <v>1767</v>
      </c>
      <c r="J803" s="1">
        <v>1550</v>
      </c>
      <c r="K803" s="1">
        <v>1841</v>
      </c>
      <c r="L803" s="1">
        <v>2138</v>
      </c>
      <c r="M803" s="1">
        <v>4888</v>
      </c>
      <c r="N803">
        <v>640</v>
      </c>
      <c r="O803" t="s">
        <v>2986</v>
      </c>
      <c r="P803" s="1" t="b">
        <f>NOT(OR(Table1[[#This Row],[State]]="Other Foreign Countries", Table1[[#This Row],[State]]="Unknown", Table1[[#This Row],[State]]="Puerto Rico all counties"))</f>
        <v>1</v>
      </c>
    </row>
    <row r="804" spans="1:16" x14ac:dyDescent="0.25">
      <c r="A804">
        <v>20043</v>
      </c>
      <c r="B804" t="s">
        <v>1543</v>
      </c>
      <c r="C804" t="s">
        <v>1576</v>
      </c>
      <c r="D804">
        <v>145</v>
      </c>
      <c r="E804">
        <v>38</v>
      </c>
      <c r="F804">
        <v>13</v>
      </c>
      <c r="G804">
        <v>24</v>
      </c>
      <c r="H804">
        <v>42</v>
      </c>
      <c r="I804">
        <v>28</v>
      </c>
      <c r="J804">
        <v>40</v>
      </c>
      <c r="K804">
        <v>42</v>
      </c>
      <c r="L804">
        <v>63</v>
      </c>
      <c r="M804">
        <v>132</v>
      </c>
      <c r="N804">
        <v>13</v>
      </c>
      <c r="O804" t="s">
        <v>1577</v>
      </c>
      <c r="P804" s="1" t="b">
        <f>NOT(OR(Table1[[#This Row],[State]]="Other Foreign Countries", Table1[[#This Row],[State]]="Unknown", Table1[[#This Row],[State]]="Puerto Rico all counties"))</f>
        <v>1</v>
      </c>
    </row>
    <row r="805" spans="1:16" x14ac:dyDescent="0.25">
      <c r="A805">
        <v>48129</v>
      </c>
      <c r="B805" t="s">
        <v>2654</v>
      </c>
      <c r="C805" t="s">
        <v>4183</v>
      </c>
      <c r="D805">
        <v>90</v>
      </c>
      <c r="E805">
        <v>11</v>
      </c>
      <c r="H805">
        <v>41</v>
      </c>
      <c r="I805">
        <v>24</v>
      </c>
      <c r="J805">
        <v>17</v>
      </c>
      <c r="K805">
        <v>24</v>
      </c>
      <c r="L805">
        <v>49</v>
      </c>
      <c r="O805" t="s">
        <v>4184</v>
      </c>
      <c r="P805" s="1" t="b">
        <f>NOT(OR(Table1[[#This Row],[State]]="Other Foreign Countries", Table1[[#This Row],[State]]="Unknown", Table1[[#This Row],[State]]="Puerto Rico all counties"))</f>
        <v>1</v>
      </c>
    </row>
    <row r="806" spans="1:16" x14ac:dyDescent="0.25">
      <c r="A806">
        <v>13093</v>
      </c>
      <c r="B806" t="s">
        <v>754</v>
      </c>
      <c r="C806" t="s">
        <v>833</v>
      </c>
      <c r="D806">
        <v>194</v>
      </c>
      <c r="E806">
        <v>32</v>
      </c>
      <c r="F806">
        <v>20</v>
      </c>
      <c r="G806">
        <v>21</v>
      </c>
      <c r="H806">
        <v>63</v>
      </c>
      <c r="I806">
        <v>58</v>
      </c>
      <c r="J806">
        <v>41</v>
      </c>
      <c r="K806">
        <v>66</v>
      </c>
      <c r="L806">
        <v>87</v>
      </c>
      <c r="M806">
        <v>165</v>
      </c>
      <c r="N806">
        <v>29</v>
      </c>
      <c r="O806" t="s">
        <v>834</v>
      </c>
      <c r="P806" s="1" t="b">
        <f>NOT(OR(Table1[[#This Row],[State]]="Other Foreign Countries", Table1[[#This Row],[State]]="Unknown", Table1[[#This Row],[State]]="Puerto Rico all counties"))</f>
        <v>1</v>
      </c>
    </row>
    <row r="807" spans="1:16" x14ac:dyDescent="0.25">
      <c r="A807">
        <v>55029</v>
      </c>
      <c r="B807" t="s">
        <v>4906</v>
      </c>
      <c r="C807" t="s">
        <v>4926</v>
      </c>
      <c r="D807">
        <v>494</v>
      </c>
      <c r="E807">
        <v>139</v>
      </c>
      <c r="F807">
        <v>80</v>
      </c>
      <c r="G807">
        <v>55</v>
      </c>
      <c r="H807">
        <v>120</v>
      </c>
      <c r="I807">
        <v>100</v>
      </c>
      <c r="J807">
        <v>89</v>
      </c>
      <c r="K807">
        <v>103</v>
      </c>
      <c r="L807">
        <v>302</v>
      </c>
      <c r="M807">
        <v>459</v>
      </c>
      <c r="N807">
        <v>34</v>
      </c>
      <c r="O807" t="s">
        <v>4927</v>
      </c>
      <c r="P807" s="1" t="b">
        <f>NOT(OR(Table1[[#This Row],[State]]="Other Foreign Countries", Table1[[#This Row],[State]]="Unknown", Table1[[#This Row],[State]]="Puerto Rico all counties"))</f>
        <v>1</v>
      </c>
    </row>
    <row r="808" spans="1:16" x14ac:dyDescent="0.25">
      <c r="A808">
        <v>24019</v>
      </c>
      <c r="B808" t="s">
        <v>2031</v>
      </c>
      <c r="C808" t="s">
        <v>2047</v>
      </c>
      <c r="D808">
        <v>551</v>
      </c>
      <c r="E808">
        <v>82</v>
      </c>
      <c r="F808">
        <v>63</v>
      </c>
      <c r="G808">
        <v>76</v>
      </c>
      <c r="H808">
        <v>167</v>
      </c>
      <c r="I808">
        <v>163</v>
      </c>
      <c r="J808">
        <v>115</v>
      </c>
      <c r="K808">
        <v>160</v>
      </c>
      <c r="L808">
        <v>276</v>
      </c>
      <c r="M808">
        <v>488</v>
      </c>
      <c r="N808">
        <v>63</v>
      </c>
      <c r="O808" t="s">
        <v>2048</v>
      </c>
      <c r="P808" s="1" t="b">
        <f>NOT(OR(Table1[[#This Row],[State]]="Other Foreign Countries", Table1[[#This Row],[State]]="Unknown", Table1[[#This Row],[State]]="Puerto Rico all counties"))</f>
        <v>1</v>
      </c>
    </row>
    <row r="809" spans="1:16" x14ac:dyDescent="0.25">
      <c r="A809">
        <v>45035</v>
      </c>
      <c r="B809" t="s">
        <v>3772</v>
      </c>
      <c r="C809" t="s">
        <v>2047</v>
      </c>
      <c r="D809">
        <v>8138</v>
      </c>
      <c r="E809" s="1">
        <v>1296</v>
      </c>
      <c r="F809">
        <v>877</v>
      </c>
      <c r="G809" s="1">
        <v>1044</v>
      </c>
      <c r="H809" s="1">
        <v>2557</v>
      </c>
      <c r="I809" s="1">
        <v>2364</v>
      </c>
      <c r="J809" s="1">
        <v>2457</v>
      </c>
      <c r="K809" s="1">
        <v>3304</v>
      </c>
      <c r="L809" s="1">
        <v>2377</v>
      </c>
      <c r="M809" s="1">
        <v>6768</v>
      </c>
      <c r="N809" s="1">
        <v>1370</v>
      </c>
      <c r="O809" t="s">
        <v>3802</v>
      </c>
      <c r="P809" s="1" t="b">
        <f>NOT(OR(Table1[[#This Row],[State]]="Other Foreign Countries", Table1[[#This Row],[State]]="Unknown", Table1[[#This Row],[State]]="Puerto Rico all counties"))</f>
        <v>1</v>
      </c>
    </row>
    <row r="810" spans="1:16" x14ac:dyDescent="0.25">
      <c r="A810">
        <v>13095</v>
      </c>
      <c r="B810" t="s">
        <v>754</v>
      </c>
      <c r="C810" t="s">
        <v>835</v>
      </c>
      <c r="D810">
        <v>2616</v>
      </c>
      <c r="E810">
        <v>345</v>
      </c>
      <c r="F810">
        <v>212</v>
      </c>
      <c r="G810">
        <v>265</v>
      </c>
      <c r="H810">
        <v>848</v>
      </c>
      <c r="I810">
        <v>946</v>
      </c>
      <c r="J810">
        <v>563</v>
      </c>
      <c r="K810" s="1">
        <v>1022</v>
      </c>
      <c r="L810" s="1">
        <v>1031</v>
      </c>
      <c r="M810" s="1">
        <v>2169</v>
      </c>
      <c r="N810">
        <v>447</v>
      </c>
      <c r="O810" t="s">
        <v>836</v>
      </c>
      <c r="P810" s="1" t="b">
        <f>NOT(OR(Table1[[#This Row],[State]]="Other Foreign Countries", Table1[[#This Row],[State]]="Unknown", Table1[[#This Row],[State]]="Puerto Rico all counties"))</f>
        <v>1</v>
      </c>
    </row>
    <row r="811" spans="1:16" x14ac:dyDescent="0.25">
      <c r="A811">
        <v>8035</v>
      </c>
      <c r="B811" t="s">
        <v>489</v>
      </c>
      <c r="C811" t="s">
        <v>526</v>
      </c>
      <c r="D811">
        <v>7654</v>
      </c>
      <c r="E811" s="1">
        <v>1502</v>
      </c>
      <c r="F811">
        <v>948</v>
      </c>
      <c r="G811" s="1">
        <v>1074</v>
      </c>
      <c r="H811" s="1">
        <v>2225</v>
      </c>
      <c r="I811" s="1">
        <v>1905</v>
      </c>
      <c r="J811" s="1">
        <v>2867</v>
      </c>
      <c r="K811" s="1">
        <v>2930</v>
      </c>
      <c r="L811" s="1">
        <v>1857</v>
      </c>
      <c r="M811" s="1">
        <v>6685</v>
      </c>
      <c r="N811">
        <v>967</v>
      </c>
      <c r="O811" t="s">
        <v>527</v>
      </c>
      <c r="P811" s="1" t="b">
        <f>NOT(OR(Table1[[#This Row],[State]]="Other Foreign Countries", Table1[[#This Row],[State]]="Unknown", Table1[[#This Row],[State]]="Puerto Rico all counties"))</f>
        <v>1</v>
      </c>
    </row>
    <row r="812" spans="1:16" x14ac:dyDescent="0.25">
      <c r="A812">
        <v>13097</v>
      </c>
      <c r="B812" t="s">
        <v>754</v>
      </c>
      <c r="C812" t="s">
        <v>526</v>
      </c>
      <c r="D812">
        <v>4490</v>
      </c>
      <c r="E812">
        <v>644</v>
      </c>
      <c r="F812">
        <v>352</v>
      </c>
      <c r="G812">
        <v>391</v>
      </c>
      <c r="H812" s="1">
        <v>1409</v>
      </c>
      <c r="I812" s="1">
        <v>1694</v>
      </c>
      <c r="J812" s="1">
        <v>1173</v>
      </c>
      <c r="K812" s="1">
        <v>2031</v>
      </c>
      <c r="L812" s="1">
        <v>1286</v>
      </c>
      <c r="M812" s="1">
        <v>3488</v>
      </c>
      <c r="N812" s="1">
        <v>1002</v>
      </c>
      <c r="O812" t="s">
        <v>837</v>
      </c>
      <c r="P812" s="1" t="b">
        <f>NOT(OR(Table1[[#This Row],[State]]="Other Foreign Countries", Table1[[#This Row],[State]]="Unknown", Table1[[#This Row],[State]]="Puerto Rico all counties"))</f>
        <v>1</v>
      </c>
    </row>
    <row r="813" spans="1:16" x14ac:dyDescent="0.25">
      <c r="A813">
        <v>17041</v>
      </c>
      <c r="B813" t="s">
        <v>1109</v>
      </c>
      <c r="C813" t="s">
        <v>526</v>
      </c>
      <c r="D813">
        <v>238</v>
      </c>
      <c r="E813">
        <v>33</v>
      </c>
      <c r="F813">
        <v>22</v>
      </c>
      <c r="G813">
        <v>27</v>
      </c>
      <c r="H813">
        <v>84</v>
      </c>
      <c r="I813">
        <v>72</v>
      </c>
      <c r="J813">
        <v>75</v>
      </c>
      <c r="K813">
        <v>69</v>
      </c>
      <c r="L813">
        <v>94</v>
      </c>
      <c r="M813">
        <v>219</v>
      </c>
      <c r="N813">
        <v>19</v>
      </c>
      <c r="O813" t="s">
        <v>1141</v>
      </c>
      <c r="P813" s="1" t="b">
        <f>NOT(OR(Table1[[#This Row],[State]]="Other Foreign Countries", Table1[[#This Row],[State]]="Unknown", Table1[[#This Row],[State]]="Puerto Rico all counties"))</f>
        <v>1</v>
      </c>
    </row>
    <row r="814" spans="1:16" x14ac:dyDescent="0.25">
      <c r="A814">
        <v>20045</v>
      </c>
      <c r="B814" t="s">
        <v>1543</v>
      </c>
      <c r="C814" t="s">
        <v>526</v>
      </c>
      <c r="D814">
        <v>1392</v>
      </c>
      <c r="E814">
        <v>274</v>
      </c>
      <c r="F814">
        <v>139</v>
      </c>
      <c r="G814">
        <v>183</v>
      </c>
      <c r="H814">
        <v>448</v>
      </c>
      <c r="I814">
        <v>348</v>
      </c>
      <c r="J814">
        <v>468</v>
      </c>
      <c r="K814">
        <v>424</v>
      </c>
      <c r="L814">
        <v>500</v>
      </c>
      <c r="M814" s="1">
        <v>1238</v>
      </c>
      <c r="N814">
        <v>154</v>
      </c>
      <c r="O814" t="s">
        <v>1578</v>
      </c>
      <c r="P814" s="1" t="b">
        <f>NOT(OR(Table1[[#This Row],[State]]="Other Foreign Countries", Table1[[#This Row],[State]]="Unknown", Table1[[#This Row],[State]]="Puerto Rico all counties"))</f>
        <v>1</v>
      </c>
    </row>
    <row r="815" spans="1:16" x14ac:dyDescent="0.25">
      <c r="A815">
        <v>27041</v>
      </c>
      <c r="B815" t="s">
        <v>2245</v>
      </c>
      <c r="C815" t="s">
        <v>526</v>
      </c>
      <c r="D815">
        <v>1025</v>
      </c>
      <c r="E815">
        <v>437</v>
      </c>
      <c r="F815">
        <v>130</v>
      </c>
      <c r="G815">
        <v>116</v>
      </c>
      <c r="H815">
        <v>183</v>
      </c>
      <c r="I815">
        <v>159</v>
      </c>
      <c r="J815">
        <v>165</v>
      </c>
      <c r="K815">
        <v>211</v>
      </c>
      <c r="L815">
        <v>649</v>
      </c>
      <c r="M815">
        <v>956</v>
      </c>
      <c r="N815">
        <v>69</v>
      </c>
      <c r="O815" t="s">
        <v>2278</v>
      </c>
      <c r="P815" s="1" t="b">
        <f>NOT(OR(Table1[[#This Row],[State]]="Other Foreign Countries", Table1[[#This Row],[State]]="Unknown", Table1[[#This Row],[State]]="Puerto Rico all counties"))</f>
        <v>1</v>
      </c>
    </row>
    <row r="816" spans="1:16" x14ac:dyDescent="0.25">
      <c r="A816">
        <v>29067</v>
      </c>
      <c r="B816" t="s">
        <v>2510</v>
      </c>
      <c r="C816" t="s">
        <v>526</v>
      </c>
      <c r="D816">
        <v>301</v>
      </c>
      <c r="E816">
        <v>66</v>
      </c>
      <c r="F816">
        <v>36</v>
      </c>
      <c r="G816">
        <v>41</v>
      </c>
      <c r="H816">
        <v>92</v>
      </c>
      <c r="I816">
        <v>66</v>
      </c>
      <c r="J816">
        <v>56</v>
      </c>
      <c r="K816">
        <v>90</v>
      </c>
      <c r="L816">
        <v>155</v>
      </c>
      <c r="M816">
        <v>271</v>
      </c>
      <c r="N816">
        <v>30</v>
      </c>
      <c r="O816" t="s">
        <v>2554</v>
      </c>
      <c r="P816" s="1" t="b">
        <f>NOT(OR(Table1[[#This Row],[State]]="Other Foreign Countries", Table1[[#This Row],[State]]="Unknown", Table1[[#This Row],[State]]="Puerto Rico all counties"))</f>
        <v>1</v>
      </c>
    </row>
    <row r="817" spans="1:16" x14ac:dyDescent="0.25">
      <c r="A817">
        <v>31055</v>
      </c>
      <c r="B817" t="s">
        <v>2758</v>
      </c>
      <c r="C817" t="s">
        <v>526</v>
      </c>
      <c r="D817">
        <v>9676</v>
      </c>
      <c r="E817" s="1">
        <v>2495</v>
      </c>
      <c r="F817" s="1">
        <v>1280</v>
      </c>
      <c r="G817" s="1">
        <v>1260</v>
      </c>
      <c r="H817" s="1">
        <v>2545</v>
      </c>
      <c r="I817" s="1">
        <v>2096</v>
      </c>
      <c r="J817" s="1">
        <v>2897</v>
      </c>
      <c r="K817" s="1">
        <v>3000</v>
      </c>
      <c r="L817" s="1">
        <v>3779</v>
      </c>
      <c r="M817" s="1">
        <v>8602</v>
      </c>
      <c r="N817" s="1">
        <v>1072</v>
      </c>
      <c r="O817" t="s">
        <v>2798</v>
      </c>
      <c r="P817" s="1" t="b">
        <f>NOT(OR(Table1[[#This Row],[State]]="Other Foreign Countries", Table1[[#This Row],[State]]="Unknown", Table1[[#This Row],[State]]="Puerto Rico all counties"))</f>
        <v>1</v>
      </c>
    </row>
    <row r="818" spans="1:16" x14ac:dyDescent="0.25">
      <c r="A818">
        <v>32005</v>
      </c>
      <c r="B818" t="s">
        <v>326</v>
      </c>
      <c r="C818" t="s">
        <v>526</v>
      </c>
      <c r="D818">
        <v>1452</v>
      </c>
      <c r="E818">
        <v>307</v>
      </c>
      <c r="F818">
        <v>151</v>
      </c>
      <c r="G818">
        <v>163</v>
      </c>
      <c r="H818">
        <v>448</v>
      </c>
      <c r="I818">
        <v>383</v>
      </c>
      <c r="J818">
        <v>323</v>
      </c>
      <c r="K818">
        <v>386</v>
      </c>
      <c r="L818">
        <v>743</v>
      </c>
      <c r="M818" s="1">
        <v>1333</v>
      </c>
      <c r="N818">
        <v>118</v>
      </c>
      <c r="O818" t="s">
        <v>2895</v>
      </c>
      <c r="P818" s="1" t="b">
        <f>NOT(OR(Table1[[#This Row],[State]]="Other Foreign Countries", Table1[[#This Row],[State]]="Unknown", Table1[[#This Row],[State]]="Puerto Rico all counties"))</f>
        <v>1</v>
      </c>
    </row>
    <row r="819" spans="1:16" x14ac:dyDescent="0.25">
      <c r="A819">
        <v>41019</v>
      </c>
      <c r="B819" t="s">
        <v>2607</v>
      </c>
      <c r="C819" t="s">
        <v>526</v>
      </c>
      <c r="D819">
        <v>4976</v>
      </c>
      <c r="E819">
        <v>797</v>
      </c>
      <c r="F819">
        <v>465</v>
      </c>
      <c r="G819">
        <v>572</v>
      </c>
      <c r="H819" s="1">
        <v>1620</v>
      </c>
      <c r="I819" s="1">
        <v>1522</v>
      </c>
      <c r="J819">
        <v>898</v>
      </c>
      <c r="K819" s="1">
        <v>1351</v>
      </c>
      <c r="L819" s="1">
        <v>2727</v>
      </c>
      <c r="M819" s="1">
        <v>4490</v>
      </c>
      <c r="N819">
        <v>486</v>
      </c>
      <c r="O819" t="s">
        <v>3626</v>
      </c>
      <c r="P819" s="1" t="b">
        <f>NOT(OR(Table1[[#This Row],[State]]="Other Foreign Countries", Table1[[#This Row],[State]]="Unknown", Table1[[#This Row],[State]]="Puerto Rico all counties"))</f>
        <v>1</v>
      </c>
    </row>
    <row r="820" spans="1:16" x14ac:dyDescent="0.25">
      <c r="A820">
        <v>46043</v>
      </c>
      <c r="B820" t="s">
        <v>3846</v>
      </c>
      <c r="C820" t="s">
        <v>526</v>
      </c>
      <c r="D820">
        <v>50</v>
      </c>
      <c r="E820">
        <v>15</v>
      </c>
      <c r="G820">
        <v>11</v>
      </c>
      <c r="H820">
        <v>10</v>
      </c>
      <c r="J820">
        <v>11</v>
      </c>
      <c r="K820">
        <v>14</v>
      </c>
      <c r="L820">
        <v>25</v>
      </c>
      <c r="O820" t="s">
        <v>3878</v>
      </c>
      <c r="P820" s="1" t="b">
        <f>NOT(OR(Table1[[#This Row],[State]]="Other Foreign Countries", Table1[[#This Row],[State]]="Unknown", Table1[[#This Row],[State]]="Puerto Rico all counties"))</f>
        <v>1</v>
      </c>
    </row>
    <row r="821" spans="1:16" x14ac:dyDescent="0.25">
      <c r="A821">
        <v>53017</v>
      </c>
      <c r="B821" t="s">
        <v>144</v>
      </c>
      <c r="C821" t="s">
        <v>526</v>
      </c>
      <c r="D821">
        <v>685</v>
      </c>
      <c r="E821">
        <v>174</v>
      </c>
      <c r="F821">
        <v>92</v>
      </c>
      <c r="G821">
        <v>76</v>
      </c>
      <c r="H821">
        <v>193</v>
      </c>
      <c r="I821">
        <v>150</v>
      </c>
      <c r="J821">
        <v>155</v>
      </c>
      <c r="K821">
        <v>175</v>
      </c>
      <c r="L821">
        <v>355</v>
      </c>
      <c r="M821">
        <v>633</v>
      </c>
      <c r="N821">
        <v>51</v>
      </c>
      <c r="O821" t="s">
        <v>4784</v>
      </c>
      <c r="P821" s="1" t="b">
        <f>NOT(OR(Table1[[#This Row],[State]]="Other Foreign Countries", Table1[[#This Row],[State]]="Unknown", Table1[[#This Row],[State]]="Puerto Rico all counties"))</f>
        <v>1</v>
      </c>
    </row>
    <row r="822" spans="1:16" x14ac:dyDescent="0.25">
      <c r="A822">
        <v>55031</v>
      </c>
      <c r="B822" t="s">
        <v>4906</v>
      </c>
      <c r="C822" t="s">
        <v>526</v>
      </c>
      <c r="D822">
        <v>1294</v>
      </c>
      <c r="E822">
        <v>373</v>
      </c>
      <c r="F822">
        <v>166</v>
      </c>
      <c r="G822">
        <v>156</v>
      </c>
      <c r="H822">
        <v>315</v>
      </c>
      <c r="I822">
        <v>284</v>
      </c>
      <c r="J822">
        <v>274</v>
      </c>
      <c r="K822">
        <v>365</v>
      </c>
      <c r="L822">
        <v>655</v>
      </c>
      <c r="M822" s="1">
        <v>1182</v>
      </c>
      <c r="N822">
        <v>110</v>
      </c>
      <c r="O822" t="s">
        <v>4928</v>
      </c>
      <c r="P822" s="1" t="b">
        <f>NOT(OR(Table1[[#This Row],[State]]="Other Foreign Countries", Table1[[#This Row],[State]]="Unknown", Table1[[#This Row],[State]]="Puerto Rico all counties"))</f>
        <v>1</v>
      </c>
    </row>
    <row r="823" spans="1:16" x14ac:dyDescent="0.25">
      <c r="A823">
        <v>5043</v>
      </c>
      <c r="B823" t="s">
        <v>242</v>
      </c>
      <c r="C823" t="s">
        <v>280</v>
      </c>
      <c r="D823">
        <v>303</v>
      </c>
      <c r="E823">
        <v>38</v>
      </c>
      <c r="F823">
        <v>31</v>
      </c>
      <c r="G823">
        <v>34</v>
      </c>
      <c r="H823">
        <v>106</v>
      </c>
      <c r="I823">
        <v>94</v>
      </c>
      <c r="J823">
        <v>65</v>
      </c>
      <c r="K823">
        <v>100</v>
      </c>
      <c r="L823">
        <v>138</v>
      </c>
      <c r="M823">
        <v>270</v>
      </c>
      <c r="N823">
        <v>33</v>
      </c>
      <c r="O823" t="s">
        <v>281</v>
      </c>
      <c r="P823" s="1" t="b">
        <f>NOT(OR(Table1[[#This Row],[State]]="Other Foreign Countries", Table1[[#This Row],[State]]="Unknown", Table1[[#This Row],[State]]="Puerto Rico all counties"))</f>
        <v>1</v>
      </c>
    </row>
    <row r="824" spans="1:16" x14ac:dyDescent="0.25">
      <c r="A824">
        <v>18037</v>
      </c>
      <c r="B824" t="s">
        <v>1266</v>
      </c>
      <c r="C824" t="s">
        <v>1290</v>
      </c>
      <c r="D824">
        <v>765</v>
      </c>
      <c r="E824">
        <v>226</v>
      </c>
      <c r="F824">
        <v>91</v>
      </c>
      <c r="G824">
        <v>89</v>
      </c>
      <c r="H824">
        <v>191</v>
      </c>
      <c r="I824">
        <v>168</v>
      </c>
      <c r="J824">
        <v>185</v>
      </c>
      <c r="K824">
        <v>190</v>
      </c>
      <c r="L824">
        <v>390</v>
      </c>
      <c r="M824">
        <v>715</v>
      </c>
      <c r="N824">
        <v>49</v>
      </c>
      <c r="O824" t="s">
        <v>1291</v>
      </c>
      <c r="P824" s="1" t="b">
        <f>NOT(OR(Table1[[#This Row],[State]]="Other Foreign Countries", Table1[[#This Row],[State]]="Unknown", Table1[[#This Row],[State]]="Puerto Rico all counties"))</f>
        <v>1</v>
      </c>
    </row>
    <row r="825" spans="1:16" x14ac:dyDescent="0.25">
      <c r="A825">
        <v>19061</v>
      </c>
      <c r="B825" t="s">
        <v>1399</v>
      </c>
      <c r="C825" t="s">
        <v>1444</v>
      </c>
      <c r="D825">
        <v>1430</v>
      </c>
      <c r="E825">
        <v>339</v>
      </c>
      <c r="F825">
        <v>187</v>
      </c>
      <c r="G825">
        <v>214</v>
      </c>
      <c r="H825">
        <v>402</v>
      </c>
      <c r="I825">
        <v>288</v>
      </c>
      <c r="J825">
        <v>352</v>
      </c>
      <c r="K825">
        <v>407</v>
      </c>
      <c r="L825">
        <v>670</v>
      </c>
      <c r="M825" s="1">
        <v>1307</v>
      </c>
      <c r="N825">
        <v>123</v>
      </c>
      <c r="O825" t="s">
        <v>1445</v>
      </c>
      <c r="P825" s="1" t="b">
        <f>NOT(OR(Table1[[#This Row],[State]]="Other Foreign Countries", Table1[[#This Row],[State]]="Unknown", Table1[[#This Row],[State]]="Puerto Rico all counties"))</f>
        <v>1</v>
      </c>
    </row>
    <row r="826" spans="1:16" x14ac:dyDescent="0.25">
      <c r="A826">
        <v>49013</v>
      </c>
      <c r="B826" t="s">
        <v>4486</v>
      </c>
      <c r="C826" t="s">
        <v>4496</v>
      </c>
      <c r="D826">
        <v>233</v>
      </c>
      <c r="E826">
        <v>46</v>
      </c>
      <c r="F826">
        <v>23</v>
      </c>
      <c r="G826">
        <v>27</v>
      </c>
      <c r="H826">
        <v>79</v>
      </c>
      <c r="I826">
        <v>58</v>
      </c>
      <c r="J826">
        <v>58</v>
      </c>
      <c r="K826">
        <v>77</v>
      </c>
      <c r="L826">
        <v>98</v>
      </c>
      <c r="M826">
        <v>212</v>
      </c>
      <c r="N826">
        <v>21</v>
      </c>
      <c r="O826" t="s">
        <v>4497</v>
      </c>
      <c r="P826" s="1" t="b">
        <f>NOT(OR(Table1[[#This Row],[State]]="Other Foreign Countries", Table1[[#This Row],[State]]="Unknown", Table1[[#This Row],[State]]="Puerto Rico all counties"))</f>
        <v>1</v>
      </c>
    </row>
    <row r="827" spans="1:16" x14ac:dyDescent="0.25">
      <c r="A827">
        <v>25007</v>
      </c>
      <c r="B827" t="s">
        <v>2073</v>
      </c>
      <c r="C827" t="s">
        <v>2080</v>
      </c>
      <c r="D827">
        <v>139</v>
      </c>
      <c r="E827">
        <v>41</v>
      </c>
      <c r="F827">
        <v>12</v>
      </c>
      <c r="G827">
        <v>22</v>
      </c>
      <c r="H827">
        <v>33</v>
      </c>
      <c r="I827">
        <v>31</v>
      </c>
      <c r="J827">
        <v>29</v>
      </c>
      <c r="K827">
        <v>27</v>
      </c>
      <c r="L827">
        <v>83</v>
      </c>
      <c r="M827">
        <v>129</v>
      </c>
      <c r="N827">
        <v>10</v>
      </c>
      <c r="O827" t="s">
        <v>2081</v>
      </c>
      <c r="P827" s="1" t="b">
        <f>NOT(OR(Table1[[#This Row],[State]]="Other Foreign Countries", Table1[[#This Row],[State]]="Unknown", Table1[[#This Row],[State]]="Puerto Rico all counties"))</f>
        <v>1</v>
      </c>
    </row>
    <row r="828" spans="1:16" x14ac:dyDescent="0.25">
      <c r="A828">
        <v>31057</v>
      </c>
      <c r="B828" t="s">
        <v>2758</v>
      </c>
      <c r="C828" t="s">
        <v>2799</v>
      </c>
      <c r="D828">
        <v>33</v>
      </c>
      <c r="E828">
        <v>13</v>
      </c>
      <c r="L828">
        <v>23</v>
      </c>
      <c r="O828" t="s">
        <v>2800</v>
      </c>
      <c r="P828" s="1" t="b">
        <f>NOT(OR(Table1[[#This Row],[State]]="Other Foreign Countries", Table1[[#This Row],[State]]="Unknown", Table1[[#This Row],[State]]="Puerto Rico all counties"))</f>
        <v>1</v>
      </c>
    </row>
    <row r="829" spans="1:16" x14ac:dyDescent="0.25">
      <c r="A829">
        <v>29069</v>
      </c>
      <c r="B829" t="s">
        <v>2510</v>
      </c>
      <c r="C829" t="s">
        <v>2555</v>
      </c>
      <c r="D829">
        <v>509</v>
      </c>
      <c r="E829">
        <v>128</v>
      </c>
      <c r="F829">
        <v>58</v>
      </c>
      <c r="G829">
        <v>69</v>
      </c>
      <c r="H829">
        <v>133</v>
      </c>
      <c r="I829">
        <v>121</v>
      </c>
      <c r="J829">
        <v>83</v>
      </c>
      <c r="K829">
        <v>145</v>
      </c>
      <c r="L829">
        <v>281</v>
      </c>
      <c r="M829">
        <v>480</v>
      </c>
      <c r="N829">
        <v>29</v>
      </c>
      <c r="O829" t="s">
        <v>2556</v>
      </c>
      <c r="P829" s="1" t="b">
        <f>NOT(OR(Table1[[#This Row],[State]]="Other Foreign Countries", Table1[[#This Row],[State]]="Unknown", Table1[[#This Row],[State]]="Puerto Rico all counties"))</f>
        <v>1</v>
      </c>
    </row>
    <row r="830" spans="1:16" x14ac:dyDescent="0.25">
      <c r="A830">
        <v>38025</v>
      </c>
      <c r="B830" t="s">
        <v>3286</v>
      </c>
      <c r="C830" t="s">
        <v>3308</v>
      </c>
      <c r="D830">
        <v>83</v>
      </c>
      <c r="G830">
        <v>15</v>
      </c>
      <c r="H830">
        <v>29</v>
      </c>
      <c r="I830">
        <v>20</v>
      </c>
      <c r="J830">
        <v>29</v>
      </c>
      <c r="K830">
        <v>30</v>
      </c>
      <c r="L830">
        <v>24</v>
      </c>
      <c r="M830">
        <v>70</v>
      </c>
      <c r="N830">
        <v>13</v>
      </c>
      <c r="O830" t="s">
        <v>3309</v>
      </c>
      <c r="P830" s="1" t="b">
        <f>NOT(OR(Table1[[#This Row],[State]]="Other Foreign Countries", Table1[[#This Row],[State]]="Unknown", Table1[[#This Row],[State]]="Puerto Rico all counties"))</f>
        <v>1</v>
      </c>
    </row>
    <row r="831" spans="1:16" x14ac:dyDescent="0.25">
      <c r="A831">
        <v>55033</v>
      </c>
      <c r="B831" t="s">
        <v>4906</v>
      </c>
      <c r="C831" t="s">
        <v>3308</v>
      </c>
      <c r="D831">
        <v>1014</v>
      </c>
      <c r="E831">
        <v>284</v>
      </c>
      <c r="F831">
        <v>131</v>
      </c>
      <c r="G831">
        <v>130</v>
      </c>
      <c r="H831">
        <v>265</v>
      </c>
      <c r="I831">
        <v>204</v>
      </c>
      <c r="J831">
        <v>243</v>
      </c>
      <c r="K831">
        <v>284</v>
      </c>
      <c r="L831">
        <v>487</v>
      </c>
      <c r="M831">
        <v>929</v>
      </c>
      <c r="N831">
        <v>84</v>
      </c>
      <c r="O831" t="s">
        <v>4929</v>
      </c>
      <c r="P831" s="1" t="b">
        <f>NOT(OR(Table1[[#This Row],[State]]="Other Foreign Countries", Table1[[#This Row],[State]]="Unknown", Table1[[#This Row],[State]]="Puerto Rico all counties"))</f>
        <v>1</v>
      </c>
    </row>
    <row r="832" spans="1:16" x14ac:dyDescent="0.25">
      <c r="A832">
        <v>17043</v>
      </c>
      <c r="B832" t="s">
        <v>1109</v>
      </c>
      <c r="C832" t="s">
        <v>1142</v>
      </c>
      <c r="D832">
        <v>5369</v>
      </c>
      <c r="E832" s="1">
        <v>1100</v>
      </c>
      <c r="F832">
        <v>614</v>
      </c>
      <c r="G832">
        <v>632</v>
      </c>
      <c r="H832" s="1">
        <v>1707</v>
      </c>
      <c r="I832" s="1">
        <v>1316</v>
      </c>
      <c r="J832" s="1">
        <v>1905</v>
      </c>
      <c r="K832" s="1">
        <v>1326</v>
      </c>
      <c r="L832" s="1">
        <v>2138</v>
      </c>
      <c r="M832" s="1">
        <v>4837</v>
      </c>
      <c r="N832">
        <v>532</v>
      </c>
      <c r="O832" t="s">
        <v>1143</v>
      </c>
      <c r="P832" s="1" t="b">
        <f>NOT(OR(Table1[[#This Row],[State]]="Other Foreign Countries", Table1[[#This Row],[State]]="Unknown", Table1[[#This Row],[State]]="Puerto Rico all counties"))</f>
        <v>1</v>
      </c>
    </row>
    <row r="833" spans="1:16" x14ac:dyDescent="0.25">
      <c r="A833">
        <v>37061</v>
      </c>
      <c r="B833" t="s">
        <v>3121</v>
      </c>
      <c r="C833" t="s">
        <v>3173</v>
      </c>
      <c r="D833">
        <v>1378</v>
      </c>
      <c r="E833">
        <v>205</v>
      </c>
      <c r="F833">
        <v>143</v>
      </c>
      <c r="G833">
        <v>124</v>
      </c>
      <c r="H833">
        <v>431</v>
      </c>
      <c r="I833">
        <v>475</v>
      </c>
      <c r="J833">
        <v>309</v>
      </c>
      <c r="K833">
        <v>415</v>
      </c>
      <c r="L833">
        <v>654</v>
      </c>
      <c r="M833" s="1">
        <v>1217</v>
      </c>
      <c r="N833">
        <v>161</v>
      </c>
      <c r="O833" t="s">
        <v>3174</v>
      </c>
      <c r="P833" s="1" t="b">
        <f>NOT(OR(Table1[[#This Row],[State]]="Other Foreign Countries", Table1[[#This Row],[State]]="Unknown", Table1[[#This Row],[State]]="Puerto Rico all counties"))</f>
        <v>1</v>
      </c>
    </row>
    <row r="834" spans="1:16" x14ac:dyDescent="0.25">
      <c r="A834">
        <v>37063</v>
      </c>
      <c r="B834" t="s">
        <v>3121</v>
      </c>
      <c r="C834" t="s">
        <v>3175</v>
      </c>
      <c r="D834">
        <v>4979</v>
      </c>
      <c r="E834">
        <v>803</v>
      </c>
      <c r="F834">
        <v>505</v>
      </c>
      <c r="G834">
        <v>601</v>
      </c>
      <c r="H834" s="1">
        <v>1590</v>
      </c>
      <c r="I834" s="1">
        <v>1480</v>
      </c>
      <c r="J834" s="1">
        <v>1566</v>
      </c>
      <c r="K834" s="1">
        <v>1467</v>
      </c>
      <c r="L834" s="1">
        <v>1946</v>
      </c>
      <c r="M834" s="1">
        <v>4137</v>
      </c>
      <c r="N834">
        <v>842</v>
      </c>
      <c r="O834" t="s">
        <v>3176</v>
      </c>
      <c r="P834" s="1" t="b">
        <f>NOT(OR(Table1[[#This Row],[State]]="Other Foreign Countries", Table1[[#This Row],[State]]="Unknown", Table1[[#This Row],[State]]="Puerto Rico all counties"))</f>
        <v>1</v>
      </c>
    </row>
    <row r="835" spans="1:16" x14ac:dyDescent="0.25">
      <c r="A835">
        <v>36027</v>
      </c>
      <c r="B835" t="s">
        <v>3029</v>
      </c>
      <c r="C835" t="s">
        <v>3051</v>
      </c>
      <c r="D835">
        <v>3041</v>
      </c>
      <c r="E835">
        <v>744</v>
      </c>
      <c r="F835">
        <v>341</v>
      </c>
      <c r="G835">
        <v>357</v>
      </c>
      <c r="H835">
        <v>825</v>
      </c>
      <c r="I835">
        <v>774</v>
      </c>
      <c r="J835">
        <v>812</v>
      </c>
      <c r="K835">
        <v>797</v>
      </c>
      <c r="L835" s="1">
        <v>1432</v>
      </c>
      <c r="M835" s="1">
        <v>2778</v>
      </c>
      <c r="N835">
        <v>261</v>
      </c>
      <c r="O835" t="s">
        <v>3052</v>
      </c>
      <c r="P835" s="1" t="b">
        <f>NOT(OR(Table1[[#This Row],[State]]="Other Foreign Countries", Table1[[#This Row],[State]]="Unknown", Table1[[#This Row],[State]]="Puerto Rico all counties"))</f>
        <v>1</v>
      </c>
    </row>
    <row r="836" spans="1:16" x14ac:dyDescent="0.25">
      <c r="A836">
        <v>12031</v>
      </c>
      <c r="B836" t="s">
        <v>637</v>
      </c>
      <c r="C836" t="s">
        <v>663</v>
      </c>
      <c r="D836">
        <v>37487</v>
      </c>
      <c r="E836" s="1">
        <v>6337</v>
      </c>
      <c r="F836" s="1">
        <v>3750</v>
      </c>
      <c r="G836" s="1">
        <v>4042</v>
      </c>
      <c r="H836" s="1">
        <v>10977</v>
      </c>
      <c r="I836" s="1">
        <v>12381</v>
      </c>
      <c r="J836" s="1">
        <v>11403</v>
      </c>
      <c r="K836" s="1">
        <v>15449</v>
      </c>
      <c r="L836" s="1">
        <v>10635</v>
      </c>
      <c r="M836" s="1">
        <v>30566</v>
      </c>
      <c r="N836" s="1">
        <v>6918</v>
      </c>
      <c r="O836" t="s">
        <v>664</v>
      </c>
      <c r="P836" s="1" t="b">
        <f>NOT(OR(Table1[[#This Row],[State]]="Other Foreign Countries", Table1[[#This Row],[State]]="Unknown", Table1[[#This Row],[State]]="Puerto Rico all counties"))</f>
        <v>1</v>
      </c>
    </row>
    <row r="837" spans="1:16" x14ac:dyDescent="0.25">
      <c r="A837">
        <v>48131</v>
      </c>
      <c r="B837" t="s">
        <v>2654</v>
      </c>
      <c r="C837" t="s">
        <v>663</v>
      </c>
      <c r="D837">
        <v>216</v>
      </c>
      <c r="E837">
        <v>59</v>
      </c>
      <c r="F837">
        <v>25</v>
      </c>
      <c r="G837">
        <v>22</v>
      </c>
      <c r="H837">
        <v>58</v>
      </c>
      <c r="I837">
        <v>52</v>
      </c>
      <c r="J837">
        <v>36</v>
      </c>
      <c r="K837">
        <v>55</v>
      </c>
      <c r="L837">
        <v>125</v>
      </c>
      <c r="M837">
        <v>206</v>
      </c>
      <c r="N837">
        <v>10</v>
      </c>
      <c r="O837" t="s">
        <v>4185</v>
      </c>
      <c r="P837" s="1" t="b">
        <f>NOT(OR(Table1[[#This Row],[State]]="Other Foreign Countries", Table1[[#This Row],[State]]="Unknown", Table1[[#This Row],[State]]="Puerto Rico all counties"))</f>
        <v>1</v>
      </c>
    </row>
    <row r="838" spans="1:16" x14ac:dyDescent="0.25">
      <c r="A838">
        <v>47045</v>
      </c>
      <c r="B838" t="s">
        <v>3951</v>
      </c>
      <c r="C838" t="s">
        <v>3980</v>
      </c>
      <c r="D838">
        <v>666</v>
      </c>
      <c r="E838">
        <v>156</v>
      </c>
      <c r="F838">
        <v>78</v>
      </c>
      <c r="G838">
        <v>72</v>
      </c>
      <c r="H838">
        <v>192</v>
      </c>
      <c r="I838">
        <v>168</v>
      </c>
      <c r="J838">
        <v>158</v>
      </c>
      <c r="K838">
        <v>181</v>
      </c>
      <c r="L838">
        <v>327</v>
      </c>
      <c r="M838">
        <v>611</v>
      </c>
      <c r="N838">
        <v>55</v>
      </c>
      <c r="O838" t="s">
        <v>3981</v>
      </c>
      <c r="P838" s="1" t="b">
        <f>NOT(OR(Table1[[#This Row],[State]]="Other Foreign Countries", Table1[[#This Row],[State]]="Unknown", Table1[[#This Row],[State]]="Puerto Rico all counties"))</f>
        <v>1</v>
      </c>
    </row>
    <row r="839" spans="1:16" x14ac:dyDescent="0.25">
      <c r="A839">
        <v>8037</v>
      </c>
      <c r="B839" t="s">
        <v>489</v>
      </c>
      <c r="C839" t="s">
        <v>528</v>
      </c>
      <c r="D839">
        <v>318</v>
      </c>
      <c r="E839">
        <v>87</v>
      </c>
      <c r="F839">
        <v>42</v>
      </c>
      <c r="G839">
        <v>38</v>
      </c>
      <c r="H839">
        <v>81</v>
      </c>
      <c r="I839">
        <v>70</v>
      </c>
      <c r="J839">
        <v>95</v>
      </c>
      <c r="K839">
        <v>99</v>
      </c>
      <c r="L839">
        <v>124</v>
      </c>
      <c r="M839">
        <v>276</v>
      </c>
      <c r="N839">
        <v>42</v>
      </c>
      <c r="O839" t="s">
        <v>529</v>
      </c>
      <c r="P839" s="1" t="b">
        <f>NOT(OR(Table1[[#This Row],[State]]="Other Foreign Countries", Table1[[#This Row],[State]]="Unknown", Table1[[#This Row],[State]]="Puerto Rico all counties"))</f>
        <v>1</v>
      </c>
    </row>
    <row r="840" spans="1:16" x14ac:dyDescent="0.25">
      <c r="A840">
        <v>13099</v>
      </c>
      <c r="B840" t="s">
        <v>754</v>
      </c>
      <c r="C840" t="s">
        <v>838</v>
      </c>
      <c r="D840">
        <v>251</v>
      </c>
      <c r="E840">
        <v>29</v>
      </c>
      <c r="F840">
        <v>26</v>
      </c>
      <c r="G840">
        <v>25</v>
      </c>
      <c r="H840">
        <v>79</v>
      </c>
      <c r="I840">
        <v>92</v>
      </c>
      <c r="J840">
        <v>69</v>
      </c>
      <c r="K840">
        <v>92</v>
      </c>
      <c r="L840">
        <v>90</v>
      </c>
      <c r="M840">
        <v>226</v>
      </c>
      <c r="N840">
        <v>25</v>
      </c>
      <c r="O840" t="s">
        <v>839</v>
      </c>
      <c r="P840" s="1" t="b">
        <f>NOT(OR(Table1[[#This Row],[State]]="Other Foreign Countries", Table1[[#This Row],[State]]="Unknown", Table1[[#This Row],[State]]="Puerto Rico all counties"))</f>
        <v>1</v>
      </c>
    </row>
    <row r="841" spans="1:16" x14ac:dyDescent="0.25">
      <c r="A841">
        <v>22033</v>
      </c>
      <c r="B841" t="s">
        <v>1892</v>
      </c>
      <c r="C841" t="s">
        <v>1923</v>
      </c>
      <c r="D841">
        <v>6382</v>
      </c>
      <c r="E841" s="1">
        <v>1431</v>
      </c>
      <c r="F841">
        <v>660</v>
      </c>
      <c r="G841">
        <v>668</v>
      </c>
      <c r="H841" s="1">
        <v>1923</v>
      </c>
      <c r="I841" s="1">
        <v>1700</v>
      </c>
      <c r="J841" s="1">
        <v>1684</v>
      </c>
      <c r="K841" s="1">
        <v>2132</v>
      </c>
      <c r="L841" s="1">
        <v>2566</v>
      </c>
      <c r="M841" s="1">
        <v>5451</v>
      </c>
      <c r="N841">
        <v>931</v>
      </c>
      <c r="O841" t="s">
        <v>1924</v>
      </c>
      <c r="P841" s="1" t="b">
        <f>NOT(OR(Table1[[#This Row],[State]]="Other Foreign Countries", Table1[[#This Row],[State]]="Unknown", Table1[[#This Row],[State]]="Puerto Rico all counties"))</f>
        <v>1</v>
      </c>
    </row>
    <row r="842" spans="1:16" x14ac:dyDescent="0.25">
      <c r="A842">
        <v>22035</v>
      </c>
      <c r="B842" t="s">
        <v>1892</v>
      </c>
      <c r="C842" t="s">
        <v>1925</v>
      </c>
      <c r="D842">
        <v>53</v>
      </c>
      <c r="H842">
        <v>16</v>
      </c>
      <c r="I842">
        <v>15</v>
      </c>
      <c r="L842">
        <v>28</v>
      </c>
      <c r="O842" t="s">
        <v>1926</v>
      </c>
      <c r="P842" s="1" t="b">
        <f>NOT(OR(Table1[[#This Row],[State]]="Other Foreign Countries", Table1[[#This Row],[State]]="Unknown", Table1[[#This Row],[State]]="Puerto Rico all counties"))</f>
        <v>1</v>
      </c>
    </row>
    <row r="843" spans="1:16" x14ac:dyDescent="0.25">
      <c r="A843">
        <v>22037</v>
      </c>
      <c r="B843" t="s">
        <v>1892</v>
      </c>
      <c r="C843" t="s">
        <v>1927</v>
      </c>
      <c r="D843">
        <v>352</v>
      </c>
      <c r="E843">
        <v>72</v>
      </c>
      <c r="F843">
        <v>29</v>
      </c>
      <c r="G843">
        <v>41</v>
      </c>
      <c r="H843">
        <v>123</v>
      </c>
      <c r="I843">
        <v>87</v>
      </c>
      <c r="J843">
        <v>55</v>
      </c>
      <c r="K843">
        <v>105</v>
      </c>
      <c r="L843">
        <v>192</v>
      </c>
      <c r="M843">
        <v>321</v>
      </c>
      <c r="N843">
        <v>31</v>
      </c>
      <c r="O843" t="s">
        <v>1928</v>
      </c>
      <c r="P843" s="1" t="b">
        <f>NOT(OR(Table1[[#This Row],[State]]="Other Foreign Countries", Table1[[#This Row],[State]]="Unknown", Table1[[#This Row],[State]]="Puerto Rico all counties"))</f>
        <v>1</v>
      </c>
    </row>
    <row r="844" spans="1:16" x14ac:dyDescent="0.25">
      <c r="A844">
        <v>48133</v>
      </c>
      <c r="B844" t="s">
        <v>2654</v>
      </c>
      <c r="C844" t="s">
        <v>4186</v>
      </c>
      <c r="D844">
        <v>427</v>
      </c>
      <c r="E844">
        <v>96</v>
      </c>
      <c r="F844">
        <v>40</v>
      </c>
      <c r="G844">
        <v>51</v>
      </c>
      <c r="H844">
        <v>127</v>
      </c>
      <c r="I844">
        <v>113</v>
      </c>
      <c r="J844">
        <v>101</v>
      </c>
      <c r="K844">
        <v>121</v>
      </c>
      <c r="L844">
        <v>205</v>
      </c>
      <c r="M844">
        <v>390</v>
      </c>
      <c r="N844">
        <v>37</v>
      </c>
      <c r="O844" t="s">
        <v>4187</v>
      </c>
      <c r="P844" s="1" t="b">
        <f>NOT(OR(Table1[[#This Row],[State]]="Other Foreign Countries", Table1[[#This Row],[State]]="Unknown", Table1[[#This Row],[State]]="Puerto Rico all counties"))</f>
        <v>1</v>
      </c>
    </row>
    <row r="845" spans="1:16" x14ac:dyDescent="0.25">
      <c r="A845">
        <v>26045</v>
      </c>
      <c r="B845" t="s">
        <v>2099</v>
      </c>
      <c r="C845" t="s">
        <v>2136</v>
      </c>
      <c r="D845">
        <v>1830</v>
      </c>
      <c r="E845">
        <v>347</v>
      </c>
      <c r="F845">
        <v>214</v>
      </c>
      <c r="G845">
        <v>219</v>
      </c>
      <c r="H845">
        <v>592</v>
      </c>
      <c r="I845">
        <v>458</v>
      </c>
      <c r="J845">
        <v>515</v>
      </c>
      <c r="K845">
        <v>553</v>
      </c>
      <c r="L845">
        <v>762</v>
      </c>
      <c r="M845" s="1">
        <v>1639</v>
      </c>
      <c r="N845">
        <v>189</v>
      </c>
      <c r="O845" t="s">
        <v>2137</v>
      </c>
      <c r="P845" s="1" t="b">
        <f>NOT(OR(Table1[[#This Row],[State]]="Other Foreign Countries", Table1[[#This Row],[State]]="Unknown", Table1[[#This Row],[State]]="Puerto Rico all counties"))</f>
        <v>1</v>
      </c>
    </row>
    <row r="846" spans="1:16" x14ac:dyDescent="0.25">
      <c r="A846">
        <v>55035</v>
      </c>
      <c r="B846" t="s">
        <v>4906</v>
      </c>
      <c r="C846" t="s">
        <v>4930</v>
      </c>
      <c r="D846">
        <v>1760</v>
      </c>
      <c r="E846">
        <v>464</v>
      </c>
      <c r="F846">
        <v>232</v>
      </c>
      <c r="G846">
        <v>236</v>
      </c>
      <c r="H846">
        <v>460</v>
      </c>
      <c r="I846">
        <v>368</v>
      </c>
      <c r="J846">
        <v>464</v>
      </c>
      <c r="K846">
        <v>496</v>
      </c>
      <c r="L846">
        <v>800</v>
      </c>
      <c r="M846" s="1">
        <v>1593</v>
      </c>
      <c r="N846">
        <v>166</v>
      </c>
      <c r="O846" t="s">
        <v>4931</v>
      </c>
      <c r="P846" s="1" t="b">
        <f>NOT(OR(Table1[[#This Row],[State]]="Other Foreign Countries", Table1[[#This Row],[State]]="Unknown", Table1[[#This Row],[State]]="Puerto Rico all counties"))</f>
        <v>1</v>
      </c>
    </row>
    <row r="847" spans="1:16" x14ac:dyDescent="0.25">
      <c r="A847">
        <v>13101</v>
      </c>
      <c r="B847" t="s">
        <v>754</v>
      </c>
      <c r="C847" t="s">
        <v>840</v>
      </c>
      <c r="D847">
        <v>41</v>
      </c>
      <c r="H847">
        <v>10</v>
      </c>
      <c r="I847">
        <v>12</v>
      </c>
      <c r="J847">
        <v>17</v>
      </c>
      <c r="K847">
        <v>12</v>
      </c>
      <c r="L847">
        <v>12</v>
      </c>
      <c r="O847" t="s">
        <v>841</v>
      </c>
      <c r="P847" s="1" t="b">
        <f>NOT(OR(Table1[[#This Row],[State]]="Other Foreign Countries", Table1[[#This Row],[State]]="Unknown", Table1[[#This Row],[State]]="Puerto Rico all counties"))</f>
        <v>1</v>
      </c>
    </row>
    <row r="848" spans="1:16" x14ac:dyDescent="0.25">
      <c r="A848">
        <v>48135</v>
      </c>
      <c r="B848" t="s">
        <v>2654</v>
      </c>
      <c r="C848" t="s">
        <v>4188</v>
      </c>
      <c r="D848">
        <v>1529</v>
      </c>
      <c r="E848">
        <v>297</v>
      </c>
      <c r="F848">
        <v>171</v>
      </c>
      <c r="G848">
        <v>232</v>
      </c>
      <c r="H848">
        <v>493</v>
      </c>
      <c r="I848">
        <v>336</v>
      </c>
      <c r="J848">
        <v>638</v>
      </c>
      <c r="K848">
        <v>495</v>
      </c>
      <c r="L848">
        <v>396</v>
      </c>
      <c r="M848" s="1">
        <v>1385</v>
      </c>
      <c r="N848">
        <v>144</v>
      </c>
      <c r="O848" t="s">
        <v>4189</v>
      </c>
      <c r="P848" s="1" t="b">
        <f>NOT(OR(Table1[[#This Row],[State]]="Other Foreign Countries", Table1[[#This Row],[State]]="Unknown", Table1[[#This Row],[State]]="Puerto Rico all counties"))</f>
        <v>1</v>
      </c>
    </row>
    <row r="849" spans="1:16" x14ac:dyDescent="0.25">
      <c r="A849">
        <v>35015</v>
      </c>
      <c r="B849" t="s">
        <v>2971</v>
      </c>
      <c r="C849" t="s">
        <v>2987</v>
      </c>
      <c r="D849">
        <v>838</v>
      </c>
      <c r="E849">
        <v>158</v>
      </c>
      <c r="F849">
        <v>96</v>
      </c>
      <c r="G849">
        <v>105</v>
      </c>
      <c r="H849">
        <v>290</v>
      </c>
      <c r="I849">
        <v>189</v>
      </c>
      <c r="J849">
        <v>239</v>
      </c>
      <c r="K849">
        <v>266</v>
      </c>
      <c r="L849">
        <v>333</v>
      </c>
      <c r="M849">
        <v>767</v>
      </c>
      <c r="N849">
        <v>70</v>
      </c>
      <c r="O849" t="s">
        <v>2988</v>
      </c>
      <c r="P849" s="1" t="b">
        <f>NOT(OR(Table1[[#This Row],[State]]="Other Foreign Countries", Table1[[#This Row],[State]]="Unknown", Table1[[#This Row],[State]]="Puerto Rico all counties"))</f>
        <v>1</v>
      </c>
    </row>
    <row r="850" spans="1:16" x14ac:dyDescent="0.25">
      <c r="A850">
        <v>38027</v>
      </c>
      <c r="B850" t="s">
        <v>3286</v>
      </c>
      <c r="C850" t="s">
        <v>2987</v>
      </c>
      <c r="D850">
        <v>52</v>
      </c>
      <c r="E850">
        <v>11</v>
      </c>
      <c r="H850">
        <v>15</v>
      </c>
      <c r="I850">
        <v>13</v>
      </c>
      <c r="J850">
        <v>12</v>
      </c>
      <c r="K850">
        <v>12</v>
      </c>
      <c r="L850">
        <v>28</v>
      </c>
      <c r="O850" t="s">
        <v>3310</v>
      </c>
      <c r="P850" s="1" t="b">
        <f>NOT(OR(Table1[[#This Row],[State]]="Other Foreign Countries", Table1[[#This Row],[State]]="Unknown", Table1[[#This Row],[State]]="Puerto Rico all counties"))</f>
        <v>1</v>
      </c>
    </row>
    <row r="851" spans="1:16" x14ac:dyDescent="0.25">
      <c r="A851">
        <v>17045</v>
      </c>
      <c r="B851" t="s">
        <v>1109</v>
      </c>
      <c r="C851" t="s">
        <v>1144</v>
      </c>
      <c r="D851">
        <v>261</v>
      </c>
      <c r="E851">
        <v>48</v>
      </c>
      <c r="F851">
        <v>32</v>
      </c>
      <c r="G851">
        <v>35</v>
      </c>
      <c r="H851">
        <v>79</v>
      </c>
      <c r="I851">
        <v>67</v>
      </c>
      <c r="J851">
        <v>52</v>
      </c>
      <c r="K851">
        <v>87</v>
      </c>
      <c r="L851">
        <v>122</v>
      </c>
      <c r="M851">
        <v>237</v>
      </c>
      <c r="N851">
        <v>24</v>
      </c>
      <c r="O851" t="s">
        <v>1145</v>
      </c>
      <c r="P851" s="1" t="b">
        <f>NOT(OR(Table1[[#This Row],[State]]="Other Foreign Countries", Table1[[#This Row],[State]]="Unknown", Table1[[#This Row],[State]]="Puerto Rico all counties"))</f>
        <v>1</v>
      </c>
    </row>
    <row r="852" spans="1:16" x14ac:dyDescent="0.25">
      <c r="A852">
        <v>37065</v>
      </c>
      <c r="B852" t="s">
        <v>3121</v>
      </c>
      <c r="C852" t="s">
        <v>3177</v>
      </c>
      <c r="D852">
        <v>1144</v>
      </c>
      <c r="E852">
        <v>205</v>
      </c>
      <c r="F852">
        <v>95</v>
      </c>
      <c r="G852">
        <v>136</v>
      </c>
      <c r="H852">
        <v>369</v>
      </c>
      <c r="I852">
        <v>339</v>
      </c>
      <c r="J852">
        <v>196</v>
      </c>
      <c r="K852">
        <v>328</v>
      </c>
      <c r="L852">
        <v>620</v>
      </c>
      <c r="M852" s="1">
        <v>1008</v>
      </c>
      <c r="N852">
        <v>136</v>
      </c>
      <c r="O852" t="s">
        <v>3178</v>
      </c>
      <c r="P852" s="1" t="b">
        <f>NOT(OR(Table1[[#This Row],[State]]="Other Foreign Countries", Table1[[#This Row],[State]]="Unknown", Table1[[#This Row],[State]]="Puerto Rico all counties"))</f>
        <v>1</v>
      </c>
    </row>
    <row r="853" spans="1:16" x14ac:dyDescent="0.25">
      <c r="A853">
        <v>45037</v>
      </c>
      <c r="B853" t="s">
        <v>3772</v>
      </c>
      <c r="C853" t="s">
        <v>3803</v>
      </c>
      <c r="D853">
        <v>902</v>
      </c>
      <c r="E853">
        <v>117</v>
      </c>
      <c r="F853">
        <v>83</v>
      </c>
      <c r="G853">
        <v>122</v>
      </c>
      <c r="H853">
        <v>288</v>
      </c>
      <c r="I853">
        <v>292</v>
      </c>
      <c r="J853">
        <v>211</v>
      </c>
      <c r="K853">
        <v>379</v>
      </c>
      <c r="L853">
        <v>312</v>
      </c>
      <c r="M853">
        <v>760</v>
      </c>
      <c r="N853">
        <v>142</v>
      </c>
      <c r="O853" t="s">
        <v>3804</v>
      </c>
      <c r="P853" s="1" t="b">
        <f>NOT(OR(Table1[[#This Row],[State]]="Other Foreign Countries", Table1[[#This Row],[State]]="Unknown", Table1[[#This Row],[State]]="Puerto Rico all counties"))</f>
        <v>1</v>
      </c>
    </row>
    <row r="854" spans="1:16" x14ac:dyDescent="0.25">
      <c r="A854">
        <v>21061</v>
      </c>
      <c r="B854" t="s">
        <v>1716</v>
      </c>
      <c r="C854" t="s">
        <v>1763</v>
      </c>
      <c r="D854">
        <v>272</v>
      </c>
      <c r="E854">
        <v>51</v>
      </c>
      <c r="F854">
        <v>26</v>
      </c>
      <c r="G854">
        <v>44</v>
      </c>
      <c r="H854">
        <v>72</v>
      </c>
      <c r="I854">
        <v>79</v>
      </c>
      <c r="J854">
        <v>63</v>
      </c>
      <c r="K854">
        <v>90</v>
      </c>
      <c r="L854">
        <v>119</v>
      </c>
      <c r="M854">
        <v>248</v>
      </c>
      <c r="N854">
        <v>24</v>
      </c>
      <c r="O854" t="s">
        <v>1764</v>
      </c>
      <c r="P854" s="1" t="b">
        <f>NOT(OR(Table1[[#This Row],[State]]="Other Foreign Countries", Table1[[#This Row],[State]]="Unknown", Table1[[#This Row],[State]]="Puerto Rico all counties"))</f>
        <v>1</v>
      </c>
    </row>
    <row r="855" spans="1:16" x14ac:dyDescent="0.25">
      <c r="A855">
        <v>46045</v>
      </c>
      <c r="B855" t="s">
        <v>3846</v>
      </c>
      <c r="C855" t="s">
        <v>3879</v>
      </c>
      <c r="D855">
        <v>50</v>
      </c>
      <c r="E855">
        <v>16</v>
      </c>
      <c r="H855">
        <v>11</v>
      </c>
      <c r="L855">
        <v>28</v>
      </c>
      <c r="O855" t="s">
        <v>3880</v>
      </c>
      <c r="P855" s="1" t="b">
        <f>NOT(OR(Table1[[#This Row],[State]]="Other Foreign Countries", Table1[[#This Row],[State]]="Unknown", Table1[[#This Row],[State]]="Puerto Rico all counties"))</f>
        <v>1</v>
      </c>
    </row>
    <row r="856" spans="1:16" x14ac:dyDescent="0.25">
      <c r="A856">
        <v>17047</v>
      </c>
      <c r="B856" t="s">
        <v>1109</v>
      </c>
      <c r="C856" t="s">
        <v>1146</v>
      </c>
      <c r="D856">
        <v>100</v>
      </c>
      <c r="E856">
        <v>24</v>
      </c>
      <c r="F856">
        <v>14</v>
      </c>
      <c r="G856">
        <v>18</v>
      </c>
      <c r="H856">
        <v>19</v>
      </c>
      <c r="I856">
        <v>25</v>
      </c>
      <c r="J856">
        <v>12</v>
      </c>
      <c r="K856">
        <v>31</v>
      </c>
      <c r="L856">
        <v>57</v>
      </c>
      <c r="O856" t="s">
        <v>1147</v>
      </c>
      <c r="P856" s="1" t="b">
        <f>NOT(OR(Table1[[#This Row],[State]]="Other Foreign Countries", Table1[[#This Row],[State]]="Unknown", Table1[[#This Row],[State]]="Puerto Rico all counties"))</f>
        <v>1</v>
      </c>
    </row>
    <row r="857" spans="1:16" x14ac:dyDescent="0.25">
      <c r="A857">
        <v>20047</v>
      </c>
      <c r="B857" t="s">
        <v>1543</v>
      </c>
      <c r="C857" t="s">
        <v>1146</v>
      </c>
      <c r="D857">
        <v>32</v>
      </c>
      <c r="I857">
        <v>10</v>
      </c>
      <c r="L857">
        <v>20</v>
      </c>
      <c r="O857" t="s">
        <v>1579</v>
      </c>
      <c r="P857" s="1" t="b">
        <f>NOT(OR(Table1[[#This Row],[State]]="Other Foreign Countries", Table1[[#This Row],[State]]="Unknown", Table1[[#This Row],[State]]="Puerto Rico all counties"))</f>
        <v>1</v>
      </c>
    </row>
    <row r="858" spans="1:16" x14ac:dyDescent="0.25">
      <c r="A858">
        <v>48137</v>
      </c>
      <c r="B858" t="s">
        <v>2654</v>
      </c>
      <c r="C858" t="s">
        <v>1146</v>
      </c>
      <c r="D858">
        <v>52</v>
      </c>
      <c r="E858">
        <v>10</v>
      </c>
      <c r="H858">
        <v>20</v>
      </c>
      <c r="I858">
        <v>12</v>
      </c>
      <c r="L858">
        <v>33</v>
      </c>
      <c r="O858" t="s">
        <v>4190</v>
      </c>
      <c r="P858" s="1" t="b">
        <f>NOT(OR(Table1[[#This Row],[State]]="Other Foreign Countries", Table1[[#This Row],[State]]="Unknown", Table1[[#This Row],[State]]="Puerto Rico all counties"))</f>
        <v>1</v>
      </c>
    </row>
    <row r="859" spans="1:16" x14ac:dyDescent="0.25">
      <c r="A859">
        <v>13103</v>
      </c>
      <c r="B859" t="s">
        <v>754</v>
      </c>
      <c r="C859" t="s">
        <v>842</v>
      </c>
      <c r="D859">
        <v>2986</v>
      </c>
      <c r="E859">
        <v>388</v>
      </c>
      <c r="F859">
        <v>255</v>
      </c>
      <c r="G859">
        <v>328</v>
      </c>
      <c r="H859" s="1">
        <v>1006</v>
      </c>
      <c r="I859" s="1">
        <v>1009</v>
      </c>
      <c r="J859" s="1">
        <v>1230</v>
      </c>
      <c r="K859" s="1">
        <v>1157</v>
      </c>
      <c r="L859">
        <v>599</v>
      </c>
      <c r="M859" s="1">
        <v>2553</v>
      </c>
      <c r="N859">
        <v>433</v>
      </c>
      <c r="O859" t="s">
        <v>843</v>
      </c>
      <c r="P859" s="1" t="b">
        <f>NOT(OR(Table1[[#This Row],[State]]="Other Foreign Countries", Table1[[#This Row],[State]]="Unknown", Table1[[#This Row],[State]]="Puerto Rico all counties"))</f>
        <v>1</v>
      </c>
    </row>
    <row r="860" spans="1:16" x14ac:dyDescent="0.25">
      <c r="A860">
        <v>17049</v>
      </c>
      <c r="B860" t="s">
        <v>1109</v>
      </c>
      <c r="C860" t="s">
        <v>842</v>
      </c>
      <c r="D860">
        <v>495</v>
      </c>
      <c r="E860">
        <v>105</v>
      </c>
      <c r="F860">
        <v>61</v>
      </c>
      <c r="G860">
        <v>61</v>
      </c>
      <c r="H860">
        <v>155</v>
      </c>
      <c r="I860">
        <v>113</v>
      </c>
      <c r="J860">
        <v>174</v>
      </c>
      <c r="K860">
        <v>123</v>
      </c>
      <c r="L860">
        <v>198</v>
      </c>
      <c r="M860">
        <v>462</v>
      </c>
      <c r="N860">
        <v>33</v>
      </c>
      <c r="O860" t="s">
        <v>1148</v>
      </c>
      <c r="P860" s="1" t="b">
        <f>NOT(OR(Table1[[#This Row],[State]]="Other Foreign Countries", Table1[[#This Row],[State]]="Unknown", Table1[[#This Row],[State]]="Puerto Rico all counties"))</f>
        <v>1</v>
      </c>
    </row>
    <row r="861" spans="1:16" x14ac:dyDescent="0.25">
      <c r="A861">
        <v>6017</v>
      </c>
      <c r="B861" t="s">
        <v>374</v>
      </c>
      <c r="C861" t="s">
        <v>391</v>
      </c>
      <c r="D861">
        <v>3767</v>
      </c>
      <c r="E861" s="1">
        <v>1024</v>
      </c>
      <c r="F861">
        <v>422</v>
      </c>
      <c r="G861">
        <v>406</v>
      </c>
      <c r="H861" s="1">
        <v>1032</v>
      </c>
      <c r="I861">
        <v>883</v>
      </c>
      <c r="J861">
        <v>882</v>
      </c>
      <c r="K861">
        <v>961</v>
      </c>
      <c r="L861" s="1">
        <v>1924</v>
      </c>
      <c r="M861" s="1">
        <v>3437</v>
      </c>
      <c r="N861">
        <v>330</v>
      </c>
      <c r="O861" t="s">
        <v>392</v>
      </c>
      <c r="P861" s="1" t="b">
        <f>NOT(OR(Table1[[#This Row],[State]]="Other Foreign Countries", Table1[[#This Row],[State]]="Unknown", Table1[[#This Row],[State]]="Puerto Rico all counties"))</f>
        <v>1</v>
      </c>
    </row>
    <row r="862" spans="1:16" x14ac:dyDescent="0.25">
      <c r="A862">
        <v>8041</v>
      </c>
      <c r="B862" t="s">
        <v>489</v>
      </c>
      <c r="C862" t="s">
        <v>532</v>
      </c>
      <c r="D862">
        <v>52489</v>
      </c>
      <c r="E862" s="1">
        <v>7178</v>
      </c>
      <c r="F862" s="1">
        <v>5463</v>
      </c>
      <c r="G862" s="1">
        <v>6562</v>
      </c>
      <c r="H862" s="1">
        <v>16118</v>
      </c>
      <c r="I862" s="1">
        <v>17168</v>
      </c>
      <c r="J862" s="1">
        <v>20354</v>
      </c>
      <c r="K862" s="1">
        <v>20062</v>
      </c>
      <c r="L862" s="1">
        <v>12073</v>
      </c>
      <c r="M862" s="1">
        <v>43291</v>
      </c>
      <c r="N862" s="1">
        <v>9195</v>
      </c>
      <c r="O862" t="s">
        <v>533</v>
      </c>
      <c r="P862" s="1" t="b">
        <f>NOT(OR(Table1[[#This Row],[State]]="Other Foreign Countries", Table1[[#This Row],[State]]="Unknown", Table1[[#This Row],[State]]="Puerto Rico all counties"))</f>
        <v>1</v>
      </c>
    </row>
    <row r="863" spans="1:16" x14ac:dyDescent="0.25">
      <c r="A863">
        <v>48141</v>
      </c>
      <c r="B863" t="s">
        <v>2654</v>
      </c>
      <c r="C863" t="s">
        <v>532</v>
      </c>
      <c r="D863">
        <v>30865</v>
      </c>
      <c r="E863" s="1">
        <v>3391</v>
      </c>
      <c r="F863" s="1">
        <v>2122</v>
      </c>
      <c r="G863" s="1">
        <v>2728</v>
      </c>
      <c r="H863" s="1">
        <v>9931</v>
      </c>
      <c r="I863" s="1">
        <v>12693</v>
      </c>
      <c r="J863" s="1">
        <v>12210</v>
      </c>
      <c r="K863" s="1">
        <v>10753</v>
      </c>
      <c r="L863" s="1">
        <v>7902</v>
      </c>
      <c r="M863" s="1">
        <v>26574</v>
      </c>
      <c r="N863" s="1">
        <v>4290</v>
      </c>
      <c r="O863" t="s">
        <v>4192</v>
      </c>
      <c r="P863" s="1" t="b">
        <f>NOT(OR(Table1[[#This Row],[State]]="Other Foreign Countries", Table1[[#This Row],[State]]="Unknown", Table1[[#This Row],[State]]="Puerto Rico all counties"))</f>
        <v>1</v>
      </c>
    </row>
    <row r="864" spans="1:16" x14ac:dyDescent="0.25">
      <c r="A864">
        <v>8039</v>
      </c>
      <c r="B864" t="s">
        <v>489</v>
      </c>
      <c r="C864" t="s">
        <v>530</v>
      </c>
      <c r="D864">
        <v>932</v>
      </c>
      <c r="E864">
        <v>169</v>
      </c>
      <c r="F864">
        <v>111</v>
      </c>
      <c r="G864">
        <v>108</v>
      </c>
      <c r="H864">
        <v>304</v>
      </c>
      <c r="I864">
        <v>240</v>
      </c>
      <c r="J864">
        <v>326</v>
      </c>
      <c r="K864">
        <v>321</v>
      </c>
      <c r="L864">
        <v>285</v>
      </c>
      <c r="M864">
        <v>806</v>
      </c>
      <c r="N864">
        <v>126</v>
      </c>
      <c r="O864" t="s">
        <v>531</v>
      </c>
      <c r="P864" s="1" t="b">
        <f>NOT(OR(Table1[[#This Row],[State]]="Other Foreign Countries", Table1[[#This Row],[State]]="Unknown", Table1[[#This Row],[State]]="Puerto Rico all counties"))</f>
        <v>1</v>
      </c>
    </row>
    <row r="865" spans="1:16" x14ac:dyDescent="0.25">
      <c r="A865">
        <v>13105</v>
      </c>
      <c r="B865" t="s">
        <v>754</v>
      </c>
      <c r="C865" t="s">
        <v>530</v>
      </c>
      <c r="D865">
        <v>391</v>
      </c>
      <c r="E865">
        <v>73</v>
      </c>
      <c r="F865">
        <v>38</v>
      </c>
      <c r="G865">
        <v>40</v>
      </c>
      <c r="H865">
        <v>138</v>
      </c>
      <c r="I865">
        <v>102</v>
      </c>
      <c r="J865">
        <v>73</v>
      </c>
      <c r="K865">
        <v>111</v>
      </c>
      <c r="L865">
        <v>207</v>
      </c>
      <c r="M865">
        <v>348</v>
      </c>
      <c r="N865">
        <v>43</v>
      </c>
      <c r="O865" t="s">
        <v>844</v>
      </c>
      <c r="P865" s="1" t="b">
        <f>NOT(OR(Table1[[#This Row],[State]]="Other Foreign Countries", Table1[[#This Row],[State]]="Unknown", Table1[[#This Row],[State]]="Puerto Rico all counties"))</f>
        <v>1</v>
      </c>
    </row>
    <row r="866" spans="1:16" x14ac:dyDescent="0.25">
      <c r="A866">
        <v>20049</v>
      </c>
      <c r="B866" t="s">
        <v>1543</v>
      </c>
      <c r="C866" t="s">
        <v>1580</v>
      </c>
      <c r="D866">
        <v>64</v>
      </c>
      <c r="F866">
        <v>12</v>
      </c>
      <c r="H866">
        <v>17</v>
      </c>
      <c r="I866">
        <v>17</v>
      </c>
      <c r="J866">
        <v>10</v>
      </c>
      <c r="K866">
        <v>20</v>
      </c>
      <c r="L866">
        <v>34</v>
      </c>
      <c r="O866" t="s">
        <v>1581</v>
      </c>
      <c r="P866" s="1" t="b">
        <f>NOT(OR(Table1[[#This Row],[State]]="Other Foreign Countries", Table1[[#This Row],[State]]="Unknown", Table1[[#This Row],[State]]="Puerto Rico all counties"))</f>
        <v>1</v>
      </c>
    </row>
    <row r="867" spans="1:16" x14ac:dyDescent="0.25">
      <c r="A867">
        <v>42047</v>
      </c>
      <c r="B867" t="s">
        <v>3665</v>
      </c>
      <c r="C867" t="s">
        <v>1580</v>
      </c>
      <c r="D867">
        <v>523</v>
      </c>
      <c r="E867">
        <v>132</v>
      </c>
      <c r="F867">
        <v>78</v>
      </c>
      <c r="G867">
        <v>76</v>
      </c>
      <c r="H867">
        <v>141</v>
      </c>
      <c r="I867">
        <v>96</v>
      </c>
      <c r="J867">
        <v>99</v>
      </c>
      <c r="K867">
        <v>149</v>
      </c>
      <c r="L867">
        <v>275</v>
      </c>
      <c r="M867">
        <v>486</v>
      </c>
      <c r="N867">
        <v>37</v>
      </c>
      <c r="O867" t="s">
        <v>3701</v>
      </c>
      <c r="P867" s="1" t="b">
        <f>NOT(OR(Table1[[#This Row],[State]]="Other Foreign Countries", Table1[[#This Row],[State]]="Unknown", Table1[[#This Row],[State]]="Puerto Rico all counties"))</f>
        <v>1</v>
      </c>
    </row>
    <row r="868" spans="1:16" x14ac:dyDescent="0.25">
      <c r="A868">
        <v>18039</v>
      </c>
      <c r="B868" t="s">
        <v>1266</v>
      </c>
      <c r="C868" t="s">
        <v>1292</v>
      </c>
      <c r="D868">
        <v>2094</v>
      </c>
      <c r="E868">
        <v>677</v>
      </c>
      <c r="F868">
        <v>301</v>
      </c>
      <c r="G868">
        <v>272</v>
      </c>
      <c r="H868">
        <v>479</v>
      </c>
      <c r="I868">
        <v>365</v>
      </c>
      <c r="J868">
        <v>533</v>
      </c>
      <c r="K868">
        <v>559</v>
      </c>
      <c r="L868" s="1">
        <v>1002</v>
      </c>
      <c r="M868" s="1">
        <v>1949</v>
      </c>
      <c r="N868">
        <v>145</v>
      </c>
      <c r="O868" t="s">
        <v>1293</v>
      </c>
      <c r="P868" s="1" t="b">
        <f>NOT(OR(Table1[[#This Row],[State]]="Other Foreign Countries", Table1[[#This Row],[State]]="Unknown", Table1[[#This Row],[State]]="Puerto Rico all counties"))</f>
        <v>1</v>
      </c>
    </row>
    <row r="869" spans="1:16" x14ac:dyDescent="0.25">
      <c r="A869">
        <v>32007</v>
      </c>
      <c r="B869" t="s">
        <v>326</v>
      </c>
      <c r="C869" t="s">
        <v>2896</v>
      </c>
      <c r="D869">
        <v>909</v>
      </c>
      <c r="E869">
        <v>226</v>
      </c>
      <c r="F869">
        <v>118</v>
      </c>
      <c r="G869">
        <v>128</v>
      </c>
      <c r="H869">
        <v>267</v>
      </c>
      <c r="I869">
        <v>170</v>
      </c>
      <c r="J869">
        <v>309</v>
      </c>
      <c r="K869">
        <v>249</v>
      </c>
      <c r="L869">
        <v>351</v>
      </c>
      <c r="M869">
        <v>824</v>
      </c>
      <c r="N869">
        <v>85</v>
      </c>
      <c r="O869" t="s">
        <v>2897</v>
      </c>
      <c r="P869" s="1" t="b">
        <f>NOT(OR(Table1[[#This Row],[State]]="Other Foreign Countries", Table1[[#This Row],[State]]="Unknown", Table1[[#This Row],[State]]="Puerto Rico all counties"))</f>
        <v>1</v>
      </c>
    </row>
    <row r="870" spans="1:16" x14ac:dyDescent="0.25">
      <c r="A870">
        <v>21063</v>
      </c>
      <c r="B870" t="s">
        <v>1716</v>
      </c>
      <c r="C870" t="s">
        <v>1765</v>
      </c>
      <c r="D870">
        <v>82</v>
      </c>
      <c r="E870">
        <v>18</v>
      </c>
      <c r="H870">
        <v>23</v>
      </c>
      <c r="I870">
        <v>25</v>
      </c>
      <c r="J870">
        <v>26</v>
      </c>
      <c r="K870">
        <v>30</v>
      </c>
      <c r="L870">
        <v>26</v>
      </c>
      <c r="O870" t="s">
        <v>1766</v>
      </c>
      <c r="P870" s="1" t="b">
        <f>NOT(OR(Table1[[#This Row],[State]]="Other Foreign Countries", Table1[[#This Row],[State]]="Unknown", Table1[[#This Row],[State]]="Puerto Rico all counties"))</f>
        <v>1</v>
      </c>
    </row>
    <row r="871" spans="1:16" x14ac:dyDescent="0.25">
      <c r="A871">
        <v>20051</v>
      </c>
      <c r="B871" t="s">
        <v>1543</v>
      </c>
      <c r="C871" t="s">
        <v>1582</v>
      </c>
      <c r="D871">
        <v>365</v>
      </c>
      <c r="E871">
        <v>90</v>
      </c>
      <c r="F871">
        <v>49</v>
      </c>
      <c r="G871">
        <v>45</v>
      </c>
      <c r="H871">
        <v>107</v>
      </c>
      <c r="I871">
        <v>74</v>
      </c>
      <c r="J871">
        <v>89</v>
      </c>
      <c r="K871">
        <v>83</v>
      </c>
      <c r="L871">
        <v>193</v>
      </c>
      <c r="M871">
        <v>345</v>
      </c>
      <c r="N871">
        <v>20</v>
      </c>
      <c r="O871" t="s">
        <v>1583</v>
      </c>
      <c r="P871" s="1" t="b">
        <f>NOT(OR(Table1[[#This Row],[State]]="Other Foreign Countries", Table1[[#This Row],[State]]="Unknown", Table1[[#This Row],[State]]="Puerto Rico all counties"))</f>
        <v>1</v>
      </c>
    </row>
    <row r="872" spans="1:16" x14ac:dyDescent="0.25">
      <c r="A872">
        <v>40045</v>
      </c>
      <c r="B872" t="s">
        <v>3495</v>
      </c>
      <c r="C872" t="s">
        <v>1582</v>
      </c>
      <c r="D872">
        <v>62</v>
      </c>
      <c r="H872">
        <v>27</v>
      </c>
      <c r="I872">
        <v>13</v>
      </c>
      <c r="J872">
        <v>20</v>
      </c>
      <c r="K872">
        <v>18</v>
      </c>
      <c r="L872">
        <v>24</v>
      </c>
      <c r="M872">
        <v>52</v>
      </c>
      <c r="N872">
        <v>10</v>
      </c>
      <c r="O872" t="s">
        <v>3529</v>
      </c>
      <c r="P872" s="1" t="b">
        <f>NOT(OR(Table1[[#This Row],[State]]="Other Foreign Countries", Table1[[#This Row],[State]]="Unknown", Table1[[#This Row],[State]]="Puerto Rico all counties"))</f>
        <v>1</v>
      </c>
    </row>
    <row r="873" spans="1:16" x14ac:dyDescent="0.25">
      <c r="A873">
        <v>48139</v>
      </c>
      <c r="B873" t="s">
        <v>2654</v>
      </c>
      <c r="C873" t="s">
        <v>1582</v>
      </c>
      <c r="D873">
        <v>6506</v>
      </c>
      <c r="E873">
        <v>808</v>
      </c>
      <c r="F873">
        <v>514</v>
      </c>
      <c r="G873">
        <v>677</v>
      </c>
      <c r="H873" s="1">
        <v>1900</v>
      </c>
      <c r="I873" s="1">
        <v>2607</v>
      </c>
      <c r="J873" s="1">
        <v>2392</v>
      </c>
      <c r="K873" s="1">
        <v>2614</v>
      </c>
      <c r="L873" s="1">
        <v>1500</v>
      </c>
      <c r="M873" s="1">
        <v>5339</v>
      </c>
      <c r="N873" s="1">
        <v>1166</v>
      </c>
      <c r="O873" t="s">
        <v>4191</v>
      </c>
      <c r="P873" s="1" t="b">
        <f>NOT(OR(Table1[[#This Row],[State]]="Other Foreign Countries", Table1[[#This Row],[State]]="Unknown", Table1[[#This Row],[State]]="Puerto Rico all counties"))</f>
        <v>1</v>
      </c>
    </row>
    <row r="874" spans="1:16" x14ac:dyDescent="0.25">
      <c r="A874">
        <v>20053</v>
      </c>
      <c r="B874" t="s">
        <v>1543</v>
      </c>
      <c r="C874" t="s">
        <v>1584</v>
      </c>
      <c r="D874">
        <v>123</v>
      </c>
      <c r="E874">
        <v>21</v>
      </c>
      <c r="F874">
        <v>19</v>
      </c>
      <c r="G874">
        <v>16</v>
      </c>
      <c r="H874">
        <v>33</v>
      </c>
      <c r="I874">
        <v>34</v>
      </c>
      <c r="J874">
        <v>27</v>
      </c>
      <c r="K874">
        <v>46</v>
      </c>
      <c r="L874">
        <v>50</v>
      </c>
      <c r="O874" t="s">
        <v>1585</v>
      </c>
      <c r="P874" s="1" t="b">
        <f>NOT(OR(Table1[[#This Row],[State]]="Other Foreign Countries", Table1[[#This Row],[State]]="Unknown", Table1[[#This Row],[State]]="Puerto Rico all counties"))</f>
        <v>1</v>
      </c>
    </row>
    <row r="875" spans="1:16" x14ac:dyDescent="0.25">
      <c r="A875">
        <v>1051</v>
      </c>
      <c r="B875" t="s">
        <v>15</v>
      </c>
      <c r="C875" t="s">
        <v>66</v>
      </c>
      <c r="D875">
        <v>3795</v>
      </c>
      <c r="E875">
        <v>535</v>
      </c>
      <c r="F875">
        <v>352</v>
      </c>
      <c r="G875">
        <v>456</v>
      </c>
      <c r="H875" s="1">
        <v>1138</v>
      </c>
      <c r="I875" s="1">
        <v>1314</v>
      </c>
      <c r="J875">
        <v>859</v>
      </c>
      <c r="K875" s="1">
        <v>1614</v>
      </c>
      <c r="L875" s="1">
        <v>1322</v>
      </c>
      <c r="M875" s="1">
        <v>3162</v>
      </c>
      <c r="N875">
        <v>633</v>
      </c>
      <c r="O875" t="s">
        <v>67</v>
      </c>
      <c r="P875" s="1" t="b">
        <f>NOT(OR(Table1[[#This Row],[State]]="Other Foreign Countries", Table1[[#This Row],[State]]="Unknown", Table1[[#This Row],[State]]="Puerto Rico all counties"))</f>
        <v>1</v>
      </c>
    </row>
    <row r="876" spans="1:16" x14ac:dyDescent="0.25">
      <c r="A876">
        <v>16039</v>
      </c>
      <c r="B876" t="s">
        <v>1032</v>
      </c>
      <c r="C876" t="s">
        <v>66</v>
      </c>
      <c r="D876">
        <v>2462</v>
      </c>
      <c r="E876">
        <v>391</v>
      </c>
      <c r="F876">
        <v>318</v>
      </c>
      <c r="G876">
        <v>360</v>
      </c>
      <c r="H876">
        <v>806</v>
      </c>
      <c r="I876">
        <v>587</v>
      </c>
      <c r="J876">
        <v>735</v>
      </c>
      <c r="K876" s="1">
        <v>1004</v>
      </c>
      <c r="L876">
        <v>723</v>
      </c>
      <c r="M876" s="1">
        <v>2051</v>
      </c>
      <c r="N876">
        <v>411</v>
      </c>
      <c r="O876" t="s">
        <v>1067</v>
      </c>
      <c r="P876" s="1" t="b">
        <f>NOT(OR(Table1[[#This Row],[State]]="Other Foreign Countries", Table1[[#This Row],[State]]="Unknown", Table1[[#This Row],[State]]="Puerto Rico all counties"))</f>
        <v>1</v>
      </c>
    </row>
    <row r="877" spans="1:16" x14ac:dyDescent="0.25">
      <c r="A877">
        <v>13107</v>
      </c>
      <c r="B877" t="s">
        <v>754</v>
      </c>
      <c r="C877" t="s">
        <v>845</v>
      </c>
      <c r="D877">
        <v>406</v>
      </c>
      <c r="E877">
        <v>69</v>
      </c>
      <c r="F877">
        <v>41</v>
      </c>
      <c r="G877">
        <v>41</v>
      </c>
      <c r="H877">
        <v>137</v>
      </c>
      <c r="I877">
        <v>118</v>
      </c>
      <c r="J877">
        <v>86</v>
      </c>
      <c r="K877">
        <v>147</v>
      </c>
      <c r="L877">
        <v>173</v>
      </c>
      <c r="M877">
        <v>359</v>
      </c>
      <c r="N877">
        <v>47</v>
      </c>
      <c r="O877" t="s">
        <v>846</v>
      </c>
      <c r="P877" s="1" t="b">
        <f>NOT(OR(Table1[[#This Row],[State]]="Other Foreign Countries", Table1[[#This Row],[State]]="Unknown", Table1[[#This Row],[State]]="Puerto Rico all counties"))</f>
        <v>1</v>
      </c>
    </row>
    <row r="878" spans="1:16" x14ac:dyDescent="0.25">
      <c r="A878">
        <v>49015</v>
      </c>
      <c r="B878" t="s">
        <v>4486</v>
      </c>
      <c r="C878" t="s">
        <v>4498</v>
      </c>
      <c r="D878">
        <v>129</v>
      </c>
      <c r="E878">
        <v>34</v>
      </c>
      <c r="F878">
        <v>17</v>
      </c>
      <c r="G878">
        <v>16</v>
      </c>
      <c r="H878">
        <v>32</v>
      </c>
      <c r="I878">
        <v>30</v>
      </c>
      <c r="J878">
        <v>27</v>
      </c>
      <c r="K878">
        <v>35</v>
      </c>
      <c r="L878">
        <v>67</v>
      </c>
      <c r="O878" t="s">
        <v>4499</v>
      </c>
      <c r="P878" s="1" t="b">
        <f>NOT(OR(Table1[[#This Row],[State]]="Other Foreign Countries", Table1[[#This Row],[State]]="Unknown", Table1[[#This Row],[State]]="Puerto Rico all counties"))</f>
        <v>1</v>
      </c>
    </row>
    <row r="879" spans="1:16" x14ac:dyDescent="0.25">
      <c r="A879">
        <v>19063</v>
      </c>
      <c r="B879" t="s">
        <v>1399</v>
      </c>
      <c r="C879" t="s">
        <v>1446</v>
      </c>
      <c r="D879">
        <v>211</v>
      </c>
      <c r="E879">
        <v>76</v>
      </c>
      <c r="F879">
        <v>18</v>
      </c>
      <c r="G879">
        <v>26</v>
      </c>
      <c r="H879">
        <v>44</v>
      </c>
      <c r="I879">
        <v>47</v>
      </c>
      <c r="J879">
        <v>43</v>
      </c>
      <c r="K879">
        <v>45</v>
      </c>
      <c r="L879">
        <v>123</v>
      </c>
      <c r="M879">
        <v>198</v>
      </c>
      <c r="N879">
        <v>13</v>
      </c>
      <c r="O879" t="s">
        <v>1447</v>
      </c>
      <c r="P879" s="1" t="b">
        <f>NOT(OR(Table1[[#This Row],[State]]="Other Foreign Countries", Table1[[#This Row],[State]]="Unknown", Table1[[#This Row],[State]]="Puerto Rico all counties"))</f>
        <v>1</v>
      </c>
    </row>
    <row r="880" spans="1:16" x14ac:dyDescent="0.25">
      <c r="A880">
        <v>26047</v>
      </c>
      <c r="B880" t="s">
        <v>2099</v>
      </c>
      <c r="C880" t="s">
        <v>1446</v>
      </c>
      <c r="D880">
        <v>646</v>
      </c>
      <c r="E880">
        <v>173</v>
      </c>
      <c r="F880">
        <v>82</v>
      </c>
      <c r="G880">
        <v>75</v>
      </c>
      <c r="H880">
        <v>175</v>
      </c>
      <c r="I880">
        <v>141</v>
      </c>
      <c r="J880">
        <v>114</v>
      </c>
      <c r="K880">
        <v>187</v>
      </c>
      <c r="L880">
        <v>345</v>
      </c>
      <c r="M880">
        <v>596</v>
      </c>
      <c r="N880">
        <v>50</v>
      </c>
      <c r="O880" t="s">
        <v>2138</v>
      </c>
      <c r="P880" s="1" t="b">
        <f>NOT(OR(Table1[[#This Row],[State]]="Other Foreign Countries", Table1[[#This Row],[State]]="Unknown", Table1[[#This Row],[State]]="Puerto Rico all counties"))</f>
        <v>1</v>
      </c>
    </row>
    <row r="881" spans="1:16" x14ac:dyDescent="0.25">
      <c r="A881">
        <v>38029</v>
      </c>
      <c r="B881" t="s">
        <v>3286</v>
      </c>
      <c r="C881" t="s">
        <v>3311</v>
      </c>
      <c r="D881">
        <v>64</v>
      </c>
      <c r="E881">
        <v>17</v>
      </c>
      <c r="G881">
        <v>13</v>
      </c>
      <c r="H881">
        <v>22</v>
      </c>
      <c r="L881">
        <v>39</v>
      </c>
      <c r="M881">
        <v>54</v>
      </c>
      <c r="N881">
        <v>10</v>
      </c>
      <c r="O881" t="s">
        <v>3312</v>
      </c>
      <c r="P881" s="1" t="b">
        <f>NOT(OR(Table1[[#This Row],[State]]="Other Foreign Countries", Table1[[#This Row],[State]]="Unknown", Table1[[#This Row],[State]]="Puerto Rico all counties"))</f>
        <v>1</v>
      </c>
    </row>
    <row r="882" spans="1:16" x14ac:dyDescent="0.25">
      <c r="A882">
        <v>51595</v>
      </c>
      <c r="B882" t="s">
        <v>4555</v>
      </c>
      <c r="C882" t="s">
        <v>4712</v>
      </c>
      <c r="D882">
        <v>115</v>
      </c>
      <c r="E882">
        <v>13</v>
      </c>
      <c r="F882">
        <v>16</v>
      </c>
      <c r="G882">
        <v>11</v>
      </c>
      <c r="H882">
        <v>37</v>
      </c>
      <c r="I882">
        <v>38</v>
      </c>
      <c r="J882">
        <v>28</v>
      </c>
      <c r="K882">
        <v>32</v>
      </c>
      <c r="L882">
        <v>55</v>
      </c>
      <c r="M882">
        <v>100</v>
      </c>
      <c r="N882">
        <v>15</v>
      </c>
      <c r="O882" t="s">
        <v>4713</v>
      </c>
      <c r="P882" s="1" t="b">
        <f>NOT(OR(Table1[[#This Row],[State]]="Other Foreign Countries", Table1[[#This Row],[State]]="Unknown", Table1[[#This Row],[State]]="Puerto Rico all counties"))</f>
        <v>1</v>
      </c>
    </row>
    <row r="883" spans="1:16" x14ac:dyDescent="0.25">
      <c r="A883">
        <v>48143</v>
      </c>
      <c r="B883" t="s">
        <v>2654</v>
      </c>
      <c r="C883" t="s">
        <v>4193</v>
      </c>
      <c r="D883">
        <v>602</v>
      </c>
      <c r="E883">
        <v>103</v>
      </c>
      <c r="F883">
        <v>58</v>
      </c>
      <c r="G883">
        <v>58</v>
      </c>
      <c r="H883">
        <v>189</v>
      </c>
      <c r="I883">
        <v>194</v>
      </c>
      <c r="J883">
        <v>187</v>
      </c>
      <c r="K883">
        <v>193</v>
      </c>
      <c r="L883">
        <v>222</v>
      </c>
      <c r="M883">
        <v>547</v>
      </c>
      <c r="N883">
        <v>55</v>
      </c>
      <c r="O883" t="s">
        <v>4194</v>
      </c>
      <c r="P883" s="1" t="b">
        <f>NOT(OR(Table1[[#This Row],[State]]="Other Foreign Countries", Table1[[#This Row],[State]]="Unknown", Table1[[#This Row],[State]]="Puerto Rico all counties"))</f>
        <v>1</v>
      </c>
    </row>
    <row r="884" spans="1:16" x14ac:dyDescent="0.25">
      <c r="A884">
        <v>36029</v>
      </c>
      <c r="B884" t="s">
        <v>3029</v>
      </c>
      <c r="C884" t="s">
        <v>3053</v>
      </c>
      <c r="D884">
        <v>12448</v>
      </c>
      <c r="E884" s="1">
        <v>1964</v>
      </c>
      <c r="F884" s="1">
        <v>1305</v>
      </c>
      <c r="G884" s="1">
        <v>1484</v>
      </c>
      <c r="H884" s="1">
        <v>4248</v>
      </c>
      <c r="I884" s="1">
        <v>3447</v>
      </c>
      <c r="J884" s="1">
        <v>3219</v>
      </c>
      <c r="K884" s="1">
        <v>3670</v>
      </c>
      <c r="L884" s="1">
        <v>5559</v>
      </c>
      <c r="M884" s="1">
        <v>11145</v>
      </c>
      <c r="N884" s="1">
        <v>1301</v>
      </c>
      <c r="O884" t="s">
        <v>3054</v>
      </c>
      <c r="P884" s="1" t="b">
        <f>NOT(OR(Table1[[#This Row],[State]]="Other Foreign Countries", Table1[[#This Row],[State]]="Unknown", Table1[[#This Row],[State]]="Puerto Rico all counties"))</f>
        <v>1</v>
      </c>
    </row>
    <row r="885" spans="1:16" x14ac:dyDescent="0.25">
      <c r="A885">
        <v>39043</v>
      </c>
      <c r="B885" t="s">
        <v>1343</v>
      </c>
      <c r="C885" t="s">
        <v>3053</v>
      </c>
      <c r="D885">
        <v>1335</v>
      </c>
      <c r="E885">
        <v>298</v>
      </c>
      <c r="F885">
        <v>159</v>
      </c>
      <c r="G885">
        <v>145</v>
      </c>
      <c r="H885">
        <v>404</v>
      </c>
      <c r="I885">
        <v>329</v>
      </c>
      <c r="J885">
        <v>312</v>
      </c>
      <c r="K885">
        <v>395</v>
      </c>
      <c r="L885">
        <v>628</v>
      </c>
      <c r="M885" s="1">
        <v>1194</v>
      </c>
      <c r="N885">
        <v>141</v>
      </c>
      <c r="O885" t="s">
        <v>3403</v>
      </c>
      <c r="P885" s="1" t="b">
        <f>NOT(OR(Table1[[#This Row],[State]]="Other Foreign Countries", Table1[[#This Row],[State]]="Unknown", Table1[[#This Row],[State]]="Puerto Rico all counties"))</f>
        <v>1</v>
      </c>
    </row>
    <row r="886" spans="1:16" x14ac:dyDescent="0.25">
      <c r="A886">
        <v>42049</v>
      </c>
      <c r="B886" t="s">
        <v>3665</v>
      </c>
      <c r="C886" t="s">
        <v>3053</v>
      </c>
      <c r="D886">
        <v>5311</v>
      </c>
      <c r="E886" s="1">
        <v>1403</v>
      </c>
      <c r="F886">
        <v>601</v>
      </c>
      <c r="G886">
        <v>620</v>
      </c>
      <c r="H886" s="1">
        <v>1475</v>
      </c>
      <c r="I886" s="1">
        <v>1212</v>
      </c>
      <c r="J886" s="1">
        <v>1337</v>
      </c>
      <c r="K886" s="1">
        <v>1577</v>
      </c>
      <c r="L886" s="1">
        <v>2397</v>
      </c>
      <c r="M886" s="1">
        <v>4823</v>
      </c>
      <c r="N886">
        <v>487</v>
      </c>
      <c r="O886" t="s">
        <v>3702</v>
      </c>
      <c r="P886" s="1" t="b">
        <f>NOT(OR(Table1[[#This Row],[State]]="Other Foreign Countries", Table1[[#This Row],[State]]="Unknown", Table1[[#This Row],[State]]="Puerto Rico all counties"))</f>
        <v>1</v>
      </c>
    </row>
    <row r="887" spans="1:16" x14ac:dyDescent="0.25">
      <c r="A887">
        <v>1053</v>
      </c>
      <c r="B887" t="s">
        <v>15</v>
      </c>
      <c r="C887" t="s">
        <v>68</v>
      </c>
      <c r="D887">
        <v>843</v>
      </c>
      <c r="E887">
        <v>169</v>
      </c>
      <c r="F887">
        <v>99</v>
      </c>
      <c r="G887">
        <v>103</v>
      </c>
      <c r="H887">
        <v>249</v>
      </c>
      <c r="I887">
        <v>223</v>
      </c>
      <c r="J887">
        <v>141</v>
      </c>
      <c r="K887">
        <v>297</v>
      </c>
      <c r="L887">
        <v>405</v>
      </c>
      <c r="M887">
        <v>744</v>
      </c>
      <c r="N887">
        <v>99</v>
      </c>
      <c r="O887" t="s">
        <v>69</v>
      </c>
      <c r="P887" s="1" t="b">
        <f>NOT(OR(Table1[[#This Row],[State]]="Other Foreign Countries", Table1[[#This Row],[State]]="Unknown", Table1[[#This Row],[State]]="Puerto Rico all counties"))</f>
        <v>1</v>
      </c>
    </row>
    <row r="888" spans="1:16" x14ac:dyDescent="0.25">
      <c r="A888">
        <v>12033</v>
      </c>
      <c r="B888" t="s">
        <v>637</v>
      </c>
      <c r="C888" t="s">
        <v>68</v>
      </c>
      <c r="D888">
        <v>17646</v>
      </c>
      <c r="E888" s="1">
        <v>3425</v>
      </c>
      <c r="F888" s="1">
        <v>1910</v>
      </c>
      <c r="G888" s="1">
        <v>2067</v>
      </c>
      <c r="H888" s="1">
        <v>5277</v>
      </c>
      <c r="I888" s="1">
        <v>4967</v>
      </c>
      <c r="J888" s="1">
        <v>4208</v>
      </c>
      <c r="K888" s="1">
        <v>6711</v>
      </c>
      <c r="L888" s="1">
        <v>6727</v>
      </c>
      <c r="M888" s="1">
        <v>14800</v>
      </c>
      <c r="N888" s="1">
        <v>2845</v>
      </c>
      <c r="O888" t="s">
        <v>665</v>
      </c>
      <c r="P888" s="1" t="b">
        <f>NOT(OR(Table1[[#This Row],[State]]="Other Foreign Countries", Table1[[#This Row],[State]]="Unknown", Table1[[#This Row],[State]]="Puerto Rico all counties"))</f>
        <v>1</v>
      </c>
    </row>
    <row r="889" spans="1:16" x14ac:dyDescent="0.25">
      <c r="A889">
        <v>32009</v>
      </c>
      <c r="B889" t="s">
        <v>326</v>
      </c>
      <c r="C889" t="s">
        <v>2898</v>
      </c>
      <c r="D889">
        <v>16</v>
      </c>
      <c r="O889" t="s">
        <v>2899</v>
      </c>
      <c r="P889" s="1" t="b">
        <f>NOT(OR(Table1[[#This Row],[State]]="Other Foreign Countries", Table1[[#This Row],[State]]="Unknown", Table1[[#This Row],[State]]="Puerto Rico all counties"))</f>
        <v>1</v>
      </c>
    </row>
    <row r="890" spans="1:16" x14ac:dyDescent="0.25">
      <c r="A890">
        <v>25009</v>
      </c>
      <c r="B890" t="s">
        <v>2073</v>
      </c>
      <c r="C890" t="s">
        <v>2082</v>
      </c>
      <c r="D890">
        <v>7491</v>
      </c>
      <c r="E890" s="1">
        <v>2096</v>
      </c>
      <c r="F890">
        <v>987</v>
      </c>
      <c r="G890">
        <v>952</v>
      </c>
      <c r="H890" s="1">
        <v>1966</v>
      </c>
      <c r="I890" s="1">
        <v>1490</v>
      </c>
      <c r="J890" s="1">
        <v>1995</v>
      </c>
      <c r="K890" s="1">
        <v>1750</v>
      </c>
      <c r="L890" s="1">
        <v>3746</v>
      </c>
      <c r="M890" s="1">
        <v>6976</v>
      </c>
      <c r="N890">
        <v>513</v>
      </c>
      <c r="O890" t="s">
        <v>2083</v>
      </c>
      <c r="P890" s="1" t="b">
        <f>NOT(OR(Table1[[#This Row],[State]]="Other Foreign Countries", Table1[[#This Row],[State]]="Unknown", Table1[[#This Row],[State]]="Puerto Rico all counties"))</f>
        <v>1</v>
      </c>
    </row>
    <row r="891" spans="1:16" x14ac:dyDescent="0.25">
      <c r="A891">
        <v>34013</v>
      </c>
      <c r="B891" t="s">
        <v>2938</v>
      </c>
      <c r="C891" t="s">
        <v>2082</v>
      </c>
      <c r="D891">
        <v>4145</v>
      </c>
      <c r="E891">
        <v>843</v>
      </c>
      <c r="F891">
        <v>408</v>
      </c>
      <c r="G891">
        <v>456</v>
      </c>
      <c r="H891" s="1">
        <v>1117</v>
      </c>
      <c r="I891" s="1">
        <v>1321</v>
      </c>
      <c r="J891" s="1">
        <v>1528</v>
      </c>
      <c r="K891" s="1">
        <v>1161</v>
      </c>
      <c r="L891" s="1">
        <v>1456</v>
      </c>
      <c r="M891" s="1">
        <v>3565</v>
      </c>
      <c r="N891">
        <v>578</v>
      </c>
      <c r="O891" t="s">
        <v>2949</v>
      </c>
      <c r="P891" s="1" t="b">
        <f>NOT(OR(Table1[[#This Row],[State]]="Other Foreign Countries", Table1[[#This Row],[State]]="Unknown", Table1[[#This Row],[State]]="Puerto Rico all counties"))</f>
        <v>1</v>
      </c>
    </row>
    <row r="892" spans="1:16" x14ac:dyDescent="0.25">
      <c r="A892">
        <v>36031</v>
      </c>
      <c r="B892" t="s">
        <v>3029</v>
      </c>
      <c r="C892" t="s">
        <v>2082</v>
      </c>
      <c r="D892">
        <v>752</v>
      </c>
      <c r="E892">
        <v>216</v>
      </c>
      <c r="F892">
        <v>100</v>
      </c>
      <c r="G892">
        <v>104</v>
      </c>
      <c r="H892">
        <v>201</v>
      </c>
      <c r="I892">
        <v>131</v>
      </c>
      <c r="J892">
        <v>128</v>
      </c>
      <c r="K892">
        <v>227</v>
      </c>
      <c r="L892">
        <v>397</v>
      </c>
      <c r="M892">
        <v>698</v>
      </c>
      <c r="N892">
        <v>54</v>
      </c>
      <c r="O892" t="s">
        <v>3055</v>
      </c>
      <c r="P892" s="1" t="b">
        <f>NOT(OR(Table1[[#This Row],[State]]="Other Foreign Countries", Table1[[#This Row],[State]]="Unknown", Table1[[#This Row],[State]]="Puerto Rico all counties"))</f>
        <v>1</v>
      </c>
    </row>
    <row r="893" spans="1:16" x14ac:dyDescent="0.25">
      <c r="A893">
        <v>50009</v>
      </c>
      <c r="B893" t="s">
        <v>4531</v>
      </c>
      <c r="C893" t="s">
        <v>2082</v>
      </c>
      <c r="D893">
        <v>144</v>
      </c>
      <c r="E893">
        <v>30</v>
      </c>
      <c r="F893">
        <v>25</v>
      </c>
      <c r="G893">
        <v>17</v>
      </c>
      <c r="H893">
        <v>42</v>
      </c>
      <c r="I893">
        <v>30</v>
      </c>
      <c r="J893">
        <v>24</v>
      </c>
      <c r="K893">
        <v>45</v>
      </c>
      <c r="L893">
        <v>75</v>
      </c>
      <c r="O893" t="s">
        <v>4540</v>
      </c>
      <c r="P893" s="1" t="b">
        <f>NOT(OR(Table1[[#This Row],[State]]="Other Foreign Countries", Table1[[#This Row],[State]]="Unknown", Table1[[#This Row],[State]]="Puerto Rico all counties"))</f>
        <v>1</v>
      </c>
    </row>
    <row r="894" spans="1:16" x14ac:dyDescent="0.25">
      <c r="A894">
        <v>51057</v>
      </c>
      <c r="B894" t="s">
        <v>4555</v>
      </c>
      <c r="C894" t="s">
        <v>2082</v>
      </c>
      <c r="D894">
        <v>256</v>
      </c>
      <c r="E894">
        <v>55</v>
      </c>
      <c r="F894">
        <v>21</v>
      </c>
      <c r="G894">
        <v>27</v>
      </c>
      <c r="H894">
        <v>78</v>
      </c>
      <c r="I894">
        <v>75</v>
      </c>
      <c r="J894">
        <v>43</v>
      </c>
      <c r="K894">
        <v>96</v>
      </c>
      <c r="L894">
        <v>117</v>
      </c>
      <c r="M894">
        <v>220</v>
      </c>
      <c r="N894">
        <v>36</v>
      </c>
      <c r="O894" t="s">
        <v>4597</v>
      </c>
      <c r="P894" s="1" t="b">
        <f>NOT(OR(Table1[[#This Row],[State]]="Other Foreign Countries", Table1[[#This Row],[State]]="Unknown", Table1[[#This Row],[State]]="Puerto Rico all counties"))</f>
        <v>1</v>
      </c>
    </row>
    <row r="895" spans="1:16" x14ac:dyDescent="0.25">
      <c r="A895">
        <v>21065</v>
      </c>
      <c r="B895" t="s">
        <v>1716</v>
      </c>
      <c r="C895" t="s">
        <v>1767</v>
      </c>
      <c r="D895">
        <v>238</v>
      </c>
      <c r="E895">
        <v>41</v>
      </c>
      <c r="F895">
        <v>22</v>
      </c>
      <c r="G895">
        <v>28</v>
      </c>
      <c r="H895">
        <v>83</v>
      </c>
      <c r="I895">
        <v>64</v>
      </c>
      <c r="J895">
        <v>72</v>
      </c>
      <c r="K895">
        <v>86</v>
      </c>
      <c r="L895">
        <v>80</v>
      </c>
      <c r="M895">
        <v>215</v>
      </c>
      <c r="N895">
        <v>23</v>
      </c>
      <c r="O895" t="s">
        <v>1768</v>
      </c>
      <c r="P895" s="1" t="b">
        <f>NOT(OR(Table1[[#This Row],[State]]="Other Foreign Countries", Table1[[#This Row],[State]]="Unknown", Table1[[#This Row],[State]]="Puerto Rico all counties"))</f>
        <v>1</v>
      </c>
    </row>
    <row r="896" spans="1:16" x14ac:dyDescent="0.25">
      <c r="A896">
        <v>1055</v>
      </c>
      <c r="B896" t="s">
        <v>15</v>
      </c>
      <c r="C896" t="s">
        <v>70</v>
      </c>
      <c r="D896">
        <v>2401</v>
      </c>
      <c r="E896">
        <v>460</v>
      </c>
      <c r="F896">
        <v>250</v>
      </c>
      <c r="G896">
        <v>287</v>
      </c>
      <c r="H896">
        <v>780</v>
      </c>
      <c r="I896">
        <v>624</v>
      </c>
      <c r="J896">
        <v>503</v>
      </c>
      <c r="K896">
        <v>752</v>
      </c>
      <c r="L896" s="1">
        <v>1146</v>
      </c>
      <c r="M896" s="1">
        <v>2188</v>
      </c>
      <c r="N896">
        <v>211</v>
      </c>
      <c r="O896" t="s">
        <v>71</v>
      </c>
      <c r="P896" s="1" t="b">
        <f>NOT(OR(Table1[[#This Row],[State]]="Other Foreign Countries", Table1[[#This Row],[State]]="Unknown", Table1[[#This Row],[State]]="Puerto Rico all counties"))</f>
        <v>1</v>
      </c>
    </row>
    <row r="897" spans="1:16" x14ac:dyDescent="0.25">
      <c r="A897">
        <v>32011</v>
      </c>
      <c r="B897" t="s">
        <v>326</v>
      </c>
      <c r="C897" t="s">
        <v>2900</v>
      </c>
      <c r="D897">
        <v>37</v>
      </c>
      <c r="H897">
        <v>11</v>
      </c>
      <c r="J897">
        <v>13</v>
      </c>
      <c r="K897">
        <v>13</v>
      </c>
      <c r="L897">
        <v>11</v>
      </c>
      <c r="O897" t="s">
        <v>2901</v>
      </c>
      <c r="P897" s="1" t="b">
        <f>NOT(OR(Table1[[#This Row],[State]]="Other Foreign Countries", Table1[[#This Row],[State]]="Unknown", Table1[[#This Row],[State]]="Puerto Rico all counties"))</f>
        <v>1</v>
      </c>
    </row>
    <row r="898" spans="1:16" x14ac:dyDescent="0.25">
      <c r="A898">
        <v>22039</v>
      </c>
      <c r="B898" t="s">
        <v>1892</v>
      </c>
      <c r="C898" t="s">
        <v>1929</v>
      </c>
      <c r="D898">
        <v>493</v>
      </c>
      <c r="E898">
        <v>110</v>
      </c>
      <c r="F898">
        <v>46</v>
      </c>
      <c r="G898">
        <v>59</v>
      </c>
      <c r="H898">
        <v>160</v>
      </c>
      <c r="I898">
        <v>118</v>
      </c>
      <c r="J898">
        <v>120</v>
      </c>
      <c r="K898">
        <v>178</v>
      </c>
      <c r="L898">
        <v>195</v>
      </c>
      <c r="M898">
        <v>448</v>
      </c>
      <c r="N898">
        <v>45</v>
      </c>
      <c r="O898" t="s">
        <v>1930</v>
      </c>
      <c r="P898" s="1" t="b">
        <f>NOT(OR(Table1[[#This Row],[State]]="Other Foreign Countries", Table1[[#This Row],[State]]="Unknown", Table1[[#This Row],[State]]="Puerto Rico all counties"))</f>
        <v>1</v>
      </c>
    </row>
    <row r="899" spans="1:16" x14ac:dyDescent="0.25">
      <c r="A899">
        <v>13109</v>
      </c>
      <c r="B899" t="s">
        <v>754</v>
      </c>
      <c r="C899" t="s">
        <v>847</v>
      </c>
      <c r="D899">
        <v>206</v>
      </c>
      <c r="E899">
        <v>29</v>
      </c>
      <c r="F899">
        <v>23</v>
      </c>
      <c r="G899">
        <v>35</v>
      </c>
      <c r="H899">
        <v>66</v>
      </c>
      <c r="I899">
        <v>53</v>
      </c>
      <c r="J899">
        <v>46</v>
      </c>
      <c r="K899">
        <v>66</v>
      </c>
      <c r="L899">
        <v>94</v>
      </c>
      <c r="M899">
        <v>185</v>
      </c>
      <c r="N899">
        <v>21</v>
      </c>
      <c r="O899" t="s">
        <v>848</v>
      </c>
      <c r="P899" s="1" t="b">
        <f>NOT(OR(Table1[[#This Row],[State]]="Other Foreign Countries", Table1[[#This Row],[State]]="Unknown", Table1[[#This Row],[State]]="Puerto Rico all counties"))</f>
        <v>1</v>
      </c>
    </row>
    <row r="900" spans="1:16" x14ac:dyDescent="0.25">
      <c r="A900">
        <v>2090</v>
      </c>
      <c r="B900" t="s">
        <v>150</v>
      </c>
      <c r="C900" t="s">
        <v>169</v>
      </c>
      <c r="D900">
        <v>4671</v>
      </c>
      <c r="E900">
        <v>725</v>
      </c>
      <c r="F900">
        <v>546</v>
      </c>
      <c r="G900">
        <v>591</v>
      </c>
      <c r="H900" s="1">
        <v>1505</v>
      </c>
      <c r="I900" s="1">
        <v>1304</v>
      </c>
      <c r="J900" s="1">
        <v>1907</v>
      </c>
      <c r="K900" s="1">
        <v>1837</v>
      </c>
      <c r="L900">
        <v>927</v>
      </c>
      <c r="M900" s="1">
        <v>3928</v>
      </c>
      <c r="N900">
        <v>742</v>
      </c>
      <c r="O900" t="s">
        <v>170</v>
      </c>
      <c r="P900" s="1" t="b">
        <f>NOT(OR(Table1[[#This Row],[State]]="Other Foreign Countries", Table1[[#This Row],[State]]="Unknown", Table1[[#This Row],[State]]="Puerto Rico all counties"))</f>
        <v>1</v>
      </c>
    </row>
    <row r="901" spans="1:16" x14ac:dyDescent="0.25">
      <c r="A901">
        <v>51059</v>
      </c>
      <c r="B901" t="s">
        <v>4555</v>
      </c>
      <c r="C901" t="s">
        <v>4598</v>
      </c>
      <c r="D901">
        <v>28220</v>
      </c>
      <c r="E901" s="1">
        <v>4622</v>
      </c>
      <c r="F901" s="1">
        <v>3408</v>
      </c>
      <c r="G901" s="1">
        <v>3547</v>
      </c>
      <c r="H901" s="1">
        <v>7627</v>
      </c>
      <c r="I901" s="1">
        <v>9016</v>
      </c>
      <c r="J901" s="1">
        <v>8203</v>
      </c>
      <c r="K901" s="1">
        <v>12792</v>
      </c>
      <c r="L901" s="1">
        <v>7225</v>
      </c>
      <c r="M901" s="1">
        <v>22928</v>
      </c>
      <c r="N901" s="1">
        <v>5290</v>
      </c>
      <c r="O901" t="s">
        <v>4599</v>
      </c>
      <c r="P901" s="1" t="b">
        <f>NOT(OR(Table1[[#This Row],[State]]="Other Foreign Countries", Table1[[#This Row],[State]]="Unknown", Table1[[#This Row],[State]]="Puerto Rico all counties"))</f>
        <v>1</v>
      </c>
    </row>
    <row r="902" spans="1:16" x14ac:dyDescent="0.25">
      <c r="A902">
        <v>51600</v>
      </c>
      <c r="B902" t="s">
        <v>4555</v>
      </c>
      <c r="C902" t="s">
        <v>4714</v>
      </c>
      <c r="D902">
        <v>508</v>
      </c>
      <c r="E902">
        <v>103</v>
      </c>
      <c r="F902">
        <v>62</v>
      </c>
      <c r="G902">
        <v>64</v>
      </c>
      <c r="H902">
        <v>137</v>
      </c>
      <c r="I902">
        <v>142</v>
      </c>
      <c r="J902">
        <v>177</v>
      </c>
      <c r="K902">
        <v>190</v>
      </c>
      <c r="L902">
        <v>141</v>
      </c>
      <c r="M902">
        <v>425</v>
      </c>
      <c r="N902">
        <v>83</v>
      </c>
      <c r="O902" t="s">
        <v>4715</v>
      </c>
      <c r="P902" s="1" t="b">
        <f>NOT(OR(Table1[[#This Row],[State]]="Other Foreign Countries", Table1[[#This Row],[State]]="Unknown", Table1[[#This Row],[State]]="Puerto Rico all counties"))</f>
        <v>1</v>
      </c>
    </row>
    <row r="903" spans="1:16" x14ac:dyDescent="0.25">
      <c r="A903">
        <v>39045</v>
      </c>
      <c r="B903" t="s">
        <v>1343</v>
      </c>
      <c r="C903" t="s">
        <v>3404</v>
      </c>
      <c r="D903">
        <v>3319</v>
      </c>
      <c r="E903">
        <v>732</v>
      </c>
      <c r="F903">
        <v>433</v>
      </c>
      <c r="G903">
        <v>439</v>
      </c>
      <c r="H903">
        <v>942</v>
      </c>
      <c r="I903">
        <v>773</v>
      </c>
      <c r="J903" s="1">
        <v>1056</v>
      </c>
      <c r="K903" s="1">
        <v>1157</v>
      </c>
      <c r="L903" s="1">
        <v>1106</v>
      </c>
      <c r="M903" s="1">
        <v>2953</v>
      </c>
      <c r="N903">
        <v>366</v>
      </c>
      <c r="O903" t="s">
        <v>3405</v>
      </c>
      <c r="P903" s="1" t="b">
        <f>NOT(OR(Table1[[#This Row],[State]]="Other Foreign Countries", Table1[[#This Row],[State]]="Unknown", Table1[[#This Row],[State]]="Puerto Rico all counties"))</f>
        <v>1</v>
      </c>
    </row>
    <row r="904" spans="1:16" x14ac:dyDescent="0.25">
      <c r="A904">
        <v>45039</v>
      </c>
      <c r="B904" t="s">
        <v>3772</v>
      </c>
      <c r="C904" t="s">
        <v>3404</v>
      </c>
      <c r="D904">
        <v>718</v>
      </c>
      <c r="E904">
        <v>113</v>
      </c>
      <c r="F904">
        <v>70</v>
      </c>
      <c r="G904">
        <v>72</v>
      </c>
      <c r="H904">
        <v>218</v>
      </c>
      <c r="I904">
        <v>245</v>
      </c>
      <c r="J904">
        <v>93</v>
      </c>
      <c r="K904">
        <v>292</v>
      </c>
      <c r="L904">
        <v>333</v>
      </c>
      <c r="M904">
        <v>628</v>
      </c>
      <c r="N904">
        <v>90</v>
      </c>
      <c r="O904" t="s">
        <v>3805</v>
      </c>
      <c r="P904" s="1" t="b">
        <f>NOT(OR(Table1[[#This Row],[State]]="Other Foreign Countries", Table1[[#This Row],[State]]="Unknown", Table1[[#This Row],[State]]="Puerto Rico all counties"))</f>
        <v>1</v>
      </c>
    </row>
    <row r="905" spans="1:16" x14ac:dyDescent="0.25">
      <c r="A905">
        <v>46047</v>
      </c>
      <c r="B905" t="s">
        <v>3846</v>
      </c>
      <c r="C905" t="s">
        <v>3881</v>
      </c>
      <c r="D905">
        <v>598</v>
      </c>
      <c r="E905">
        <v>118</v>
      </c>
      <c r="F905">
        <v>73</v>
      </c>
      <c r="G905">
        <v>79</v>
      </c>
      <c r="H905">
        <v>158</v>
      </c>
      <c r="I905">
        <v>170</v>
      </c>
      <c r="J905">
        <v>66</v>
      </c>
      <c r="K905">
        <v>212</v>
      </c>
      <c r="L905">
        <v>320</v>
      </c>
      <c r="M905">
        <v>528</v>
      </c>
      <c r="N905">
        <v>70</v>
      </c>
      <c r="O905" t="s">
        <v>3882</v>
      </c>
      <c r="P905" s="1" t="b">
        <f>NOT(OR(Table1[[#This Row],[State]]="Other Foreign Countries", Table1[[#This Row],[State]]="Unknown", Table1[[#This Row],[State]]="Puerto Rico all counties"))</f>
        <v>1</v>
      </c>
    </row>
    <row r="906" spans="1:16" x14ac:dyDescent="0.25">
      <c r="A906">
        <v>30025</v>
      </c>
      <c r="B906" t="s">
        <v>2665</v>
      </c>
      <c r="C906" t="s">
        <v>2686</v>
      </c>
      <c r="D906">
        <v>43</v>
      </c>
      <c r="E906">
        <v>14</v>
      </c>
      <c r="H906">
        <v>15</v>
      </c>
      <c r="L906">
        <v>20</v>
      </c>
      <c r="O906" t="s">
        <v>2687</v>
      </c>
      <c r="P906" s="1" t="b">
        <f>NOT(OR(Table1[[#This Row],[State]]="Other Foreign Countries", Table1[[#This Row],[State]]="Unknown", Table1[[#This Row],[State]]="Puerto Rico all counties"))</f>
        <v>1</v>
      </c>
    </row>
    <row r="907" spans="1:16" x14ac:dyDescent="0.25">
      <c r="A907">
        <v>48145</v>
      </c>
      <c r="B907" t="s">
        <v>2654</v>
      </c>
      <c r="C907" t="s">
        <v>4195</v>
      </c>
      <c r="D907">
        <v>495</v>
      </c>
      <c r="E907">
        <v>90</v>
      </c>
      <c r="F907">
        <v>51</v>
      </c>
      <c r="G907">
        <v>61</v>
      </c>
      <c r="H907">
        <v>164</v>
      </c>
      <c r="I907">
        <v>129</v>
      </c>
      <c r="J907">
        <v>105</v>
      </c>
      <c r="K907">
        <v>158</v>
      </c>
      <c r="L907">
        <v>232</v>
      </c>
      <c r="M907">
        <v>429</v>
      </c>
      <c r="N907">
        <v>66</v>
      </c>
      <c r="O907" t="s">
        <v>4196</v>
      </c>
      <c r="P907" s="1" t="b">
        <f>NOT(OR(Table1[[#This Row],[State]]="Other Foreign Countries", Table1[[#This Row],[State]]="Unknown", Table1[[#This Row],[State]]="Puerto Rico all counties"))</f>
        <v>1</v>
      </c>
    </row>
    <row r="908" spans="1:16" x14ac:dyDescent="0.25">
      <c r="A908">
        <v>51610</v>
      </c>
      <c r="B908" t="s">
        <v>4555</v>
      </c>
      <c r="C908" t="s">
        <v>4716</v>
      </c>
      <c r="D908">
        <v>258</v>
      </c>
      <c r="E908">
        <v>46</v>
      </c>
      <c r="F908">
        <v>32</v>
      </c>
      <c r="G908">
        <v>30</v>
      </c>
      <c r="H908">
        <v>79</v>
      </c>
      <c r="I908">
        <v>71</v>
      </c>
      <c r="J908">
        <v>99</v>
      </c>
      <c r="K908">
        <v>109</v>
      </c>
      <c r="L908">
        <v>50</v>
      </c>
      <c r="M908">
        <v>210</v>
      </c>
      <c r="N908">
        <v>48</v>
      </c>
      <c r="O908" t="s">
        <v>4717</v>
      </c>
      <c r="P908" s="1" t="b">
        <f>NOT(OR(Table1[[#This Row],[State]]="Other Foreign Countries", Table1[[#This Row],[State]]="Unknown", Table1[[#This Row],[State]]="Puerto Rico all counties"))</f>
        <v>1</v>
      </c>
    </row>
    <row r="909" spans="1:16" x14ac:dyDescent="0.25">
      <c r="A909">
        <v>13111</v>
      </c>
      <c r="B909" t="s">
        <v>754</v>
      </c>
      <c r="C909" t="s">
        <v>849</v>
      </c>
      <c r="D909">
        <v>702</v>
      </c>
      <c r="E909">
        <v>163</v>
      </c>
      <c r="F909">
        <v>81</v>
      </c>
      <c r="G909">
        <v>85</v>
      </c>
      <c r="H909">
        <v>186</v>
      </c>
      <c r="I909">
        <v>187</v>
      </c>
      <c r="J909">
        <v>95</v>
      </c>
      <c r="K909">
        <v>192</v>
      </c>
      <c r="L909">
        <v>415</v>
      </c>
      <c r="M909">
        <v>647</v>
      </c>
      <c r="N909">
        <v>54</v>
      </c>
      <c r="O909" t="s">
        <v>850</v>
      </c>
      <c r="P909" s="1" t="b">
        <f>NOT(OR(Table1[[#This Row],[State]]="Other Foreign Countries", Table1[[#This Row],[State]]="Unknown", Table1[[#This Row],[State]]="Puerto Rico all counties"))</f>
        <v>1</v>
      </c>
    </row>
    <row r="910" spans="1:16" x14ac:dyDescent="0.25">
      <c r="A910">
        <v>48147</v>
      </c>
      <c r="B910" t="s">
        <v>2654</v>
      </c>
      <c r="C910" t="s">
        <v>849</v>
      </c>
      <c r="D910">
        <v>1195</v>
      </c>
      <c r="E910">
        <v>200</v>
      </c>
      <c r="F910">
        <v>126</v>
      </c>
      <c r="G910">
        <v>124</v>
      </c>
      <c r="H910">
        <v>387</v>
      </c>
      <c r="I910">
        <v>358</v>
      </c>
      <c r="J910">
        <v>300</v>
      </c>
      <c r="K910">
        <v>353</v>
      </c>
      <c r="L910">
        <v>542</v>
      </c>
      <c r="M910" s="1">
        <v>1063</v>
      </c>
      <c r="N910">
        <v>132</v>
      </c>
      <c r="O910" t="s">
        <v>4197</v>
      </c>
      <c r="P910" s="1" t="b">
        <f>NOT(OR(Table1[[#This Row],[State]]="Other Foreign Countries", Table1[[#This Row],[State]]="Unknown", Table1[[#This Row],[State]]="Puerto Rico all counties"))</f>
        <v>1</v>
      </c>
    </row>
    <row r="911" spans="1:16" x14ac:dyDescent="0.25">
      <c r="A911">
        <v>27043</v>
      </c>
      <c r="B911" t="s">
        <v>2245</v>
      </c>
      <c r="C911" t="s">
        <v>2279</v>
      </c>
      <c r="D911">
        <v>359</v>
      </c>
      <c r="E911">
        <v>137</v>
      </c>
      <c r="F911">
        <v>57</v>
      </c>
      <c r="G911">
        <v>29</v>
      </c>
      <c r="H911">
        <v>70</v>
      </c>
      <c r="I911">
        <v>66</v>
      </c>
      <c r="J911">
        <v>69</v>
      </c>
      <c r="K911">
        <v>79</v>
      </c>
      <c r="L911">
        <v>211</v>
      </c>
      <c r="M911">
        <v>333</v>
      </c>
      <c r="N911">
        <v>26</v>
      </c>
      <c r="O911" t="s">
        <v>2280</v>
      </c>
      <c r="P911" s="1" t="b">
        <f>NOT(OR(Table1[[#This Row],[State]]="Other Foreign Countries", Table1[[#This Row],[State]]="Unknown", Table1[[#This Row],[State]]="Puerto Rico all counties"))</f>
        <v>1</v>
      </c>
    </row>
    <row r="912" spans="1:16" x14ac:dyDescent="0.25">
      <c r="A912">
        <v>46049</v>
      </c>
      <c r="B912" t="s">
        <v>3846</v>
      </c>
      <c r="C912" t="s">
        <v>3883</v>
      </c>
      <c r="D912">
        <v>41</v>
      </c>
      <c r="I912">
        <v>10</v>
      </c>
      <c r="L912">
        <v>23</v>
      </c>
      <c r="O912" t="s">
        <v>3884</v>
      </c>
      <c r="P912" s="1" t="b">
        <f>NOT(OR(Table1[[#This Row],[State]]="Other Foreign Countries", Table1[[#This Row],[State]]="Unknown", Table1[[#This Row],[State]]="Puerto Rico all counties"))</f>
        <v>1</v>
      </c>
    </row>
    <row r="913" spans="1:16" x14ac:dyDescent="0.25">
      <c r="A913">
        <v>5045</v>
      </c>
      <c r="B913" t="s">
        <v>242</v>
      </c>
      <c r="C913" t="s">
        <v>282</v>
      </c>
      <c r="D913">
        <v>2885</v>
      </c>
      <c r="E913">
        <v>439</v>
      </c>
      <c r="F913">
        <v>279</v>
      </c>
      <c r="G913">
        <v>347</v>
      </c>
      <c r="H913">
        <v>948</v>
      </c>
      <c r="I913">
        <v>872</v>
      </c>
      <c r="J913">
        <v>825</v>
      </c>
      <c r="K913" s="1">
        <v>1083</v>
      </c>
      <c r="L913">
        <v>977</v>
      </c>
      <c r="M913" s="1">
        <v>2569</v>
      </c>
      <c r="N913">
        <v>316</v>
      </c>
      <c r="O913" t="s">
        <v>283</v>
      </c>
      <c r="P913" s="1" t="b">
        <f>NOT(OR(Table1[[#This Row],[State]]="Other Foreign Countries", Table1[[#This Row],[State]]="Unknown", Table1[[#This Row],[State]]="Puerto Rico all counties"))</f>
        <v>1</v>
      </c>
    </row>
    <row r="914" spans="1:16" x14ac:dyDescent="0.25">
      <c r="A914">
        <v>51061</v>
      </c>
      <c r="B914" t="s">
        <v>4555</v>
      </c>
      <c r="C914" t="s">
        <v>4600</v>
      </c>
      <c r="D914">
        <v>1989</v>
      </c>
      <c r="E914">
        <v>321</v>
      </c>
      <c r="F914">
        <v>239</v>
      </c>
      <c r="G914">
        <v>266</v>
      </c>
      <c r="H914">
        <v>549</v>
      </c>
      <c r="I914">
        <v>614</v>
      </c>
      <c r="J914">
        <v>616</v>
      </c>
      <c r="K914">
        <v>849</v>
      </c>
      <c r="L914">
        <v>524</v>
      </c>
      <c r="M914" s="1">
        <v>1733</v>
      </c>
      <c r="N914">
        <v>255</v>
      </c>
      <c r="O914" t="s">
        <v>4601</v>
      </c>
      <c r="P914" s="1" t="b">
        <f>NOT(OR(Table1[[#This Row],[State]]="Other Foreign Countries", Table1[[#This Row],[State]]="Unknown", Table1[[#This Row],[State]]="Puerto Rico all counties"))</f>
        <v>1</v>
      </c>
    </row>
    <row r="915" spans="1:16" x14ac:dyDescent="0.25">
      <c r="A915">
        <v>1057</v>
      </c>
      <c r="B915" t="s">
        <v>15</v>
      </c>
      <c r="C915" t="s">
        <v>72</v>
      </c>
      <c r="D915">
        <v>362</v>
      </c>
      <c r="E915">
        <v>48</v>
      </c>
      <c r="F915">
        <v>40</v>
      </c>
      <c r="G915">
        <v>43</v>
      </c>
      <c r="H915">
        <v>121</v>
      </c>
      <c r="I915">
        <v>110</v>
      </c>
      <c r="J915">
        <v>93</v>
      </c>
      <c r="K915">
        <v>127</v>
      </c>
      <c r="L915">
        <v>142</v>
      </c>
      <c r="M915">
        <v>327</v>
      </c>
      <c r="N915">
        <v>35</v>
      </c>
      <c r="O915" t="s">
        <v>73</v>
      </c>
      <c r="P915" s="1" t="b">
        <f>NOT(OR(Table1[[#This Row],[State]]="Other Foreign Countries", Table1[[#This Row],[State]]="Unknown", Table1[[#This Row],[State]]="Puerto Rico all counties"))</f>
        <v>1</v>
      </c>
    </row>
    <row r="916" spans="1:16" x14ac:dyDescent="0.25">
      <c r="A916">
        <v>13113</v>
      </c>
      <c r="B916" t="s">
        <v>754</v>
      </c>
      <c r="C916" t="s">
        <v>72</v>
      </c>
      <c r="D916">
        <v>4339</v>
      </c>
      <c r="E916">
        <v>852</v>
      </c>
      <c r="F916">
        <v>426</v>
      </c>
      <c r="G916">
        <v>466</v>
      </c>
      <c r="H916" s="1">
        <v>1209</v>
      </c>
      <c r="I916" s="1">
        <v>1386</v>
      </c>
      <c r="J916">
        <v>821</v>
      </c>
      <c r="K916" s="1">
        <v>1770</v>
      </c>
      <c r="L916" s="1">
        <v>1748</v>
      </c>
      <c r="M916" s="1">
        <v>3679</v>
      </c>
      <c r="N916">
        <v>659</v>
      </c>
      <c r="O916" t="s">
        <v>851</v>
      </c>
      <c r="P916" s="1" t="b">
        <f>NOT(OR(Table1[[#This Row],[State]]="Other Foreign Countries", Table1[[#This Row],[State]]="Unknown", Table1[[#This Row],[State]]="Puerto Rico all counties"))</f>
        <v>1</v>
      </c>
    </row>
    <row r="917" spans="1:16" x14ac:dyDescent="0.25">
      <c r="A917">
        <v>17051</v>
      </c>
      <c r="B917" t="s">
        <v>1109</v>
      </c>
      <c r="C917" t="s">
        <v>72</v>
      </c>
      <c r="D917">
        <v>293</v>
      </c>
      <c r="E917">
        <v>55</v>
      </c>
      <c r="F917">
        <v>39</v>
      </c>
      <c r="G917">
        <v>45</v>
      </c>
      <c r="H917">
        <v>98</v>
      </c>
      <c r="I917">
        <v>56</v>
      </c>
      <c r="J917">
        <v>81</v>
      </c>
      <c r="K917">
        <v>101</v>
      </c>
      <c r="L917">
        <v>111</v>
      </c>
      <c r="M917">
        <v>279</v>
      </c>
      <c r="N917">
        <v>14</v>
      </c>
      <c r="O917" t="s">
        <v>1149</v>
      </c>
      <c r="P917" s="1" t="b">
        <f>NOT(OR(Table1[[#This Row],[State]]="Other Foreign Countries", Table1[[#This Row],[State]]="Unknown", Table1[[#This Row],[State]]="Puerto Rico all counties"))</f>
        <v>1</v>
      </c>
    </row>
    <row r="918" spans="1:16" x14ac:dyDescent="0.25">
      <c r="A918">
        <v>18041</v>
      </c>
      <c r="B918" t="s">
        <v>1266</v>
      </c>
      <c r="C918" t="s">
        <v>72</v>
      </c>
      <c r="D918">
        <v>416</v>
      </c>
      <c r="E918">
        <v>105</v>
      </c>
      <c r="F918">
        <v>51</v>
      </c>
      <c r="G918">
        <v>58</v>
      </c>
      <c r="H918">
        <v>118</v>
      </c>
      <c r="I918">
        <v>84</v>
      </c>
      <c r="J918">
        <v>93</v>
      </c>
      <c r="K918">
        <v>120</v>
      </c>
      <c r="L918">
        <v>203</v>
      </c>
      <c r="M918">
        <v>399</v>
      </c>
      <c r="N918">
        <v>17</v>
      </c>
      <c r="O918" t="s">
        <v>1294</v>
      </c>
      <c r="P918" s="1" t="b">
        <f>NOT(OR(Table1[[#This Row],[State]]="Other Foreign Countries", Table1[[#This Row],[State]]="Unknown", Table1[[#This Row],[State]]="Puerto Rico all counties"))</f>
        <v>1</v>
      </c>
    </row>
    <row r="919" spans="1:16" x14ac:dyDescent="0.25">
      <c r="A919">
        <v>19065</v>
      </c>
      <c r="B919" t="s">
        <v>1399</v>
      </c>
      <c r="C919" t="s">
        <v>72</v>
      </c>
      <c r="D919">
        <v>278</v>
      </c>
      <c r="E919">
        <v>73</v>
      </c>
      <c r="F919">
        <v>42</v>
      </c>
      <c r="G919">
        <v>39</v>
      </c>
      <c r="H919">
        <v>66</v>
      </c>
      <c r="I919">
        <v>58</v>
      </c>
      <c r="J919">
        <v>63</v>
      </c>
      <c r="K919">
        <v>85</v>
      </c>
      <c r="L919">
        <v>130</v>
      </c>
      <c r="M919">
        <v>251</v>
      </c>
      <c r="N919">
        <v>27</v>
      </c>
      <c r="O919" t="s">
        <v>1448</v>
      </c>
      <c r="P919" s="1" t="b">
        <f>NOT(OR(Table1[[#This Row],[State]]="Other Foreign Countries", Table1[[#This Row],[State]]="Unknown", Table1[[#This Row],[State]]="Puerto Rico all counties"))</f>
        <v>1</v>
      </c>
    </row>
    <row r="920" spans="1:16" x14ac:dyDescent="0.25">
      <c r="A920">
        <v>21067</v>
      </c>
      <c r="B920" t="s">
        <v>1716</v>
      </c>
      <c r="C920" t="s">
        <v>72</v>
      </c>
      <c r="D920">
        <v>3985</v>
      </c>
      <c r="E920">
        <v>845</v>
      </c>
      <c r="F920">
        <v>514</v>
      </c>
      <c r="G920">
        <v>480</v>
      </c>
      <c r="H920" s="1">
        <v>1193</v>
      </c>
      <c r="I920">
        <v>953</v>
      </c>
      <c r="J920" s="1">
        <v>1147</v>
      </c>
      <c r="K920" s="1">
        <v>1351</v>
      </c>
      <c r="L920" s="1">
        <v>1487</v>
      </c>
      <c r="M920" s="1">
        <v>3485</v>
      </c>
      <c r="N920">
        <v>500</v>
      </c>
      <c r="O920" t="s">
        <v>1769</v>
      </c>
      <c r="P920" s="1" t="b">
        <f>NOT(OR(Table1[[#This Row],[State]]="Other Foreign Countries", Table1[[#This Row],[State]]="Unknown", Table1[[#This Row],[State]]="Puerto Rico all counties"))</f>
        <v>1</v>
      </c>
    </row>
    <row r="921" spans="1:16" x14ac:dyDescent="0.25">
      <c r="A921">
        <v>39047</v>
      </c>
      <c r="B921" t="s">
        <v>1343</v>
      </c>
      <c r="C921" t="s">
        <v>72</v>
      </c>
      <c r="D921">
        <v>553</v>
      </c>
      <c r="E921">
        <v>107</v>
      </c>
      <c r="F921">
        <v>78</v>
      </c>
      <c r="G921">
        <v>55</v>
      </c>
      <c r="H921">
        <v>190</v>
      </c>
      <c r="I921">
        <v>123</v>
      </c>
      <c r="J921">
        <v>168</v>
      </c>
      <c r="K921">
        <v>153</v>
      </c>
      <c r="L921">
        <v>232</v>
      </c>
      <c r="M921">
        <v>512</v>
      </c>
      <c r="N921">
        <v>41</v>
      </c>
      <c r="O921" t="s">
        <v>3406</v>
      </c>
      <c r="P921" s="1" t="b">
        <f>NOT(OR(Table1[[#This Row],[State]]="Other Foreign Countries", Table1[[#This Row],[State]]="Unknown", Table1[[#This Row],[State]]="Puerto Rico all counties"))</f>
        <v>1</v>
      </c>
    </row>
    <row r="922" spans="1:16" x14ac:dyDescent="0.25">
      <c r="A922">
        <v>42051</v>
      </c>
      <c r="B922" t="s">
        <v>3665</v>
      </c>
      <c r="C922" t="s">
        <v>72</v>
      </c>
      <c r="D922">
        <v>2165</v>
      </c>
      <c r="E922">
        <v>483</v>
      </c>
      <c r="F922">
        <v>268</v>
      </c>
      <c r="G922">
        <v>279</v>
      </c>
      <c r="H922">
        <v>645</v>
      </c>
      <c r="I922">
        <v>490</v>
      </c>
      <c r="J922">
        <v>391</v>
      </c>
      <c r="K922">
        <v>691</v>
      </c>
      <c r="L922" s="1">
        <v>1083</v>
      </c>
      <c r="M922" s="1">
        <v>2026</v>
      </c>
      <c r="N922">
        <v>138</v>
      </c>
      <c r="O922" t="s">
        <v>3703</v>
      </c>
      <c r="P922" s="1" t="b">
        <f>NOT(OR(Table1[[#This Row],[State]]="Other Foreign Countries", Table1[[#This Row],[State]]="Unknown", Table1[[#This Row],[State]]="Puerto Rico all counties"))</f>
        <v>1</v>
      </c>
    </row>
    <row r="923" spans="1:16" x14ac:dyDescent="0.25">
      <c r="A923">
        <v>47047</v>
      </c>
      <c r="B923" t="s">
        <v>3951</v>
      </c>
      <c r="C923" t="s">
        <v>72</v>
      </c>
      <c r="D923">
        <v>1131</v>
      </c>
      <c r="E923">
        <v>224</v>
      </c>
      <c r="F923">
        <v>117</v>
      </c>
      <c r="G923">
        <v>128</v>
      </c>
      <c r="H923">
        <v>340</v>
      </c>
      <c r="I923">
        <v>322</v>
      </c>
      <c r="J923">
        <v>214</v>
      </c>
      <c r="K923">
        <v>428</v>
      </c>
      <c r="L923">
        <v>489</v>
      </c>
      <c r="M923">
        <v>994</v>
      </c>
      <c r="N923">
        <v>137</v>
      </c>
      <c r="O923" t="s">
        <v>3982</v>
      </c>
      <c r="P923" s="1" t="b">
        <f>NOT(OR(Table1[[#This Row],[State]]="Other Foreign Countries", Table1[[#This Row],[State]]="Unknown", Table1[[#This Row],[State]]="Puerto Rico all counties"))</f>
        <v>1</v>
      </c>
    </row>
    <row r="924" spans="1:16" x14ac:dyDescent="0.25">
      <c r="A924">
        <v>48149</v>
      </c>
      <c r="B924" t="s">
        <v>2654</v>
      </c>
      <c r="C924" t="s">
        <v>72</v>
      </c>
      <c r="D924">
        <v>492</v>
      </c>
      <c r="E924">
        <v>96</v>
      </c>
      <c r="F924">
        <v>64</v>
      </c>
      <c r="G924">
        <v>57</v>
      </c>
      <c r="H924">
        <v>142</v>
      </c>
      <c r="I924">
        <v>133</v>
      </c>
      <c r="J924">
        <v>113</v>
      </c>
      <c r="K924">
        <v>117</v>
      </c>
      <c r="L924">
        <v>262</v>
      </c>
      <c r="M924">
        <v>437</v>
      </c>
      <c r="N924">
        <v>55</v>
      </c>
      <c r="O924" t="s">
        <v>4198</v>
      </c>
      <c r="P924" s="1" t="b">
        <f>NOT(OR(Table1[[#This Row],[State]]="Other Foreign Countries", Table1[[#This Row],[State]]="Unknown", Table1[[#This Row],[State]]="Puerto Rico all counties"))</f>
        <v>1</v>
      </c>
    </row>
    <row r="925" spans="1:16" x14ac:dyDescent="0.25">
      <c r="A925">
        <v>54019</v>
      </c>
      <c r="B925" t="s">
        <v>4833</v>
      </c>
      <c r="C925" t="s">
        <v>72</v>
      </c>
      <c r="D925">
        <v>1232</v>
      </c>
      <c r="E925">
        <v>284</v>
      </c>
      <c r="F925">
        <v>112</v>
      </c>
      <c r="G925">
        <v>118</v>
      </c>
      <c r="H925">
        <v>405</v>
      </c>
      <c r="I925">
        <v>313</v>
      </c>
      <c r="J925">
        <v>165</v>
      </c>
      <c r="K925">
        <v>381</v>
      </c>
      <c r="L925">
        <v>686</v>
      </c>
      <c r="M925" s="1">
        <v>1154</v>
      </c>
      <c r="N925">
        <v>78</v>
      </c>
      <c r="O925" t="s">
        <v>4847</v>
      </c>
      <c r="P925" s="1" t="b">
        <f>NOT(OR(Table1[[#This Row],[State]]="Other Foreign Countries", Table1[[#This Row],[State]]="Unknown", Table1[[#This Row],[State]]="Puerto Rico all counties"))</f>
        <v>1</v>
      </c>
    </row>
    <row r="926" spans="1:16" x14ac:dyDescent="0.25">
      <c r="A926">
        <v>47049</v>
      </c>
      <c r="B926" t="s">
        <v>3951</v>
      </c>
      <c r="C926" t="s">
        <v>3983</v>
      </c>
      <c r="D926">
        <v>603</v>
      </c>
      <c r="E926">
        <v>135</v>
      </c>
      <c r="F926">
        <v>58</v>
      </c>
      <c r="G926">
        <v>76</v>
      </c>
      <c r="H926">
        <v>167</v>
      </c>
      <c r="I926">
        <v>167</v>
      </c>
      <c r="J926">
        <v>125</v>
      </c>
      <c r="K926">
        <v>170</v>
      </c>
      <c r="L926">
        <v>308</v>
      </c>
      <c r="M926">
        <v>543</v>
      </c>
      <c r="N926">
        <v>60</v>
      </c>
      <c r="O926" t="s">
        <v>3984</v>
      </c>
      <c r="P926" s="1" t="b">
        <f>NOT(OR(Table1[[#This Row],[State]]="Other Foreign Countries", Table1[[#This Row],[State]]="Unknown", Table1[[#This Row],[State]]="Puerto Rico all counties"))</f>
        <v>1</v>
      </c>
    </row>
    <row r="927" spans="1:16" x14ac:dyDescent="0.25">
      <c r="A927">
        <v>30027</v>
      </c>
      <c r="B927" t="s">
        <v>2665</v>
      </c>
      <c r="C927" t="s">
        <v>2688</v>
      </c>
      <c r="D927">
        <v>278</v>
      </c>
      <c r="E927">
        <v>65</v>
      </c>
      <c r="F927">
        <v>47</v>
      </c>
      <c r="G927">
        <v>41</v>
      </c>
      <c r="H927">
        <v>67</v>
      </c>
      <c r="I927">
        <v>58</v>
      </c>
      <c r="J927">
        <v>45</v>
      </c>
      <c r="K927">
        <v>74</v>
      </c>
      <c r="L927">
        <v>159</v>
      </c>
      <c r="M927">
        <v>254</v>
      </c>
      <c r="N927">
        <v>24</v>
      </c>
      <c r="O927" t="s">
        <v>2689</v>
      </c>
      <c r="P927" s="1" t="b">
        <f>NOT(OR(Table1[[#This Row],[State]]="Other Foreign Countries", Table1[[#This Row],[State]]="Unknown", Table1[[#This Row],[State]]="Puerto Rico all counties"))</f>
        <v>1</v>
      </c>
    </row>
    <row r="928" spans="1:16" x14ac:dyDescent="0.25">
      <c r="A928">
        <v>53019</v>
      </c>
      <c r="B928" t="s">
        <v>144</v>
      </c>
      <c r="C928" t="s">
        <v>4785</v>
      </c>
      <c r="D928">
        <v>278</v>
      </c>
      <c r="E928">
        <v>60</v>
      </c>
      <c r="F928">
        <v>33</v>
      </c>
      <c r="G928">
        <v>25</v>
      </c>
      <c r="H928">
        <v>76</v>
      </c>
      <c r="I928">
        <v>84</v>
      </c>
      <c r="J928">
        <v>42</v>
      </c>
      <c r="K928">
        <v>84</v>
      </c>
      <c r="L928">
        <v>152</v>
      </c>
      <c r="M928">
        <v>255</v>
      </c>
      <c r="N928">
        <v>23</v>
      </c>
      <c r="O928" t="s">
        <v>4786</v>
      </c>
      <c r="P928" s="1" t="b">
        <f>NOT(OR(Table1[[#This Row],[State]]="Other Foreign Countries", Table1[[#This Row],[State]]="Unknown", Table1[[#This Row],[State]]="Puerto Rico all counties"))</f>
        <v>1</v>
      </c>
    </row>
    <row r="929" spans="1:16" x14ac:dyDescent="0.25">
      <c r="A929">
        <v>27045</v>
      </c>
      <c r="B929" t="s">
        <v>2245</v>
      </c>
      <c r="C929" t="s">
        <v>2281</v>
      </c>
      <c r="D929">
        <v>520</v>
      </c>
      <c r="E929">
        <v>198</v>
      </c>
      <c r="F929">
        <v>68</v>
      </c>
      <c r="G929">
        <v>72</v>
      </c>
      <c r="H929">
        <v>113</v>
      </c>
      <c r="I929">
        <v>69</v>
      </c>
      <c r="J929">
        <v>96</v>
      </c>
      <c r="K929">
        <v>118</v>
      </c>
      <c r="L929">
        <v>306</v>
      </c>
      <c r="M929">
        <v>482</v>
      </c>
      <c r="N929">
        <v>37</v>
      </c>
      <c r="O929" t="s">
        <v>2282</v>
      </c>
      <c r="P929" s="1" t="b">
        <f>NOT(OR(Table1[[#This Row],[State]]="Other Foreign Countries", Table1[[#This Row],[State]]="Unknown", Table1[[#This Row],[State]]="Puerto Rico all counties"))</f>
        <v>1</v>
      </c>
    </row>
    <row r="930" spans="1:16" x14ac:dyDescent="0.25">
      <c r="A930">
        <v>31059</v>
      </c>
      <c r="B930" t="s">
        <v>2758</v>
      </c>
      <c r="C930" t="s">
        <v>2281</v>
      </c>
      <c r="D930">
        <v>178</v>
      </c>
      <c r="E930">
        <v>63</v>
      </c>
      <c r="F930">
        <v>24</v>
      </c>
      <c r="G930">
        <v>20</v>
      </c>
      <c r="H930">
        <v>36</v>
      </c>
      <c r="I930">
        <v>35</v>
      </c>
      <c r="J930">
        <v>33</v>
      </c>
      <c r="K930">
        <v>41</v>
      </c>
      <c r="L930">
        <v>104</v>
      </c>
      <c r="O930" t="s">
        <v>2801</v>
      </c>
      <c r="P930" s="1" t="b">
        <f>NOT(OR(Table1[[#This Row],[State]]="Other Foreign Countries", Table1[[#This Row],[State]]="Unknown", Table1[[#This Row],[State]]="Puerto Rico all counties"))</f>
        <v>1</v>
      </c>
    </row>
    <row r="931" spans="1:16" x14ac:dyDescent="0.25">
      <c r="A931">
        <v>20055</v>
      </c>
      <c r="B931" t="s">
        <v>1543</v>
      </c>
      <c r="C931" t="s">
        <v>1586</v>
      </c>
      <c r="D931">
        <v>244</v>
      </c>
      <c r="E931">
        <v>59</v>
      </c>
      <c r="F931">
        <v>34</v>
      </c>
      <c r="G931">
        <v>30</v>
      </c>
      <c r="H931">
        <v>56</v>
      </c>
      <c r="I931">
        <v>65</v>
      </c>
      <c r="J931">
        <v>83</v>
      </c>
      <c r="K931">
        <v>64</v>
      </c>
      <c r="L931">
        <v>97</v>
      </c>
      <c r="M931">
        <v>220</v>
      </c>
      <c r="N931">
        <v>24</v>
      </c>
      <c r="O931" t="s">
        <v>1587</v>
      </c>
      <c r="P931" s="1" t="b">
        <f>NOT(OR(Table1[[#This Row],[State]]="Other Foreign Countries", Table1[[#This Row],[State]]="Unknown", Table1[[#This Row],[State]]="Puerto Rico all counties"))</f>
        <v>1</v>
      </c>
    </row>
    <row r="932" spans="1:16" x14ac:dyDescent="0.25">
      <c r="A932">
        <v>48151</v>
      </c>
      <c r="B932" t="s">
        <v>2654</v>
      </c>
      <c r="C932" t="s">
        <v>4199</v>
      </c>
      <c r="D932">
        <v>64</v>
      </c>
      <c r="E932">
        <v>13</v>
      </c>
      <c r="H932">
        <v>23</v>
      </c>
      <c r="I932">
        <v>14</v>
      </c>
      <c r="J932">
        <v>15</v>
      </c>
      <c r="K932">
        <v>16</v>
      </c>
      <c r="L932">
        <v>33</v>
      </c>
      <c r="O932" t="s">
        <v>4200</v>
      </c>
      <c r="P932" s="1" t="b">
        <f>NOT(OR(Table1[[#This Row],[State]]="Other Foreign Countries", Table1[[#This Row],[State]]="Unknown", Table1[[#This Row],[State]]="Puerto Rico all counties"))</f>
        <v>1</v>
      </c>
    </row>
    <row r="933" spans="1:16" x14ac:dyDescent="0.25">
      <c r="A933">
        <v>12035</v>
      </c>
      <c r="B933" t="s">
        <v>637</v>
      </c>
      <c r="C933" t="s">
        <v>666</v>
      </c>
      <c r="D933">
        <v>4878</v>
      </c>
      <c r="E933">
        <v>929</v>
      </c>
      <c r="F933">
        <v>402</v>
      </c>
      <c r="G933">
        <v>490</v>
      </c>
      <c r="H933" s="1">
        <v>1412</v>
      </c>
      <c r="I933" s="1">
        <v>1645</v>
      </c>
      <c r="J933">
        <v>995</v>
      </c>
      <c r="K933" s="1">
        <v>1615</v>
      </c>
      <c r="L933" s="1">
        <v>2268</v>
      </c>
      <c r="M933" s="1">
        <v>4343</v>
      </c>
      <c r="N933">
        <v>534</v>
      </c>
      <c r="O933" t="s">
        <v>667</v>
      </c>
      <c r="P933" s="1" t="b">
        <f>NOT(OR(Table1[[#This Row],[State]]="Other Foreign Countries", Table1[[#This Row],[State]]="Unknown", Table1[[#This Row],[State]]="Puerto Rico all counties"))</f>
        <v>1</v>
      </c>
    </row>
    <row r="934" spans="1:16" x14ac:dyDescent="0.25">
      <c r="A934">
        <v>30029</v>
      </c>
      <c r="B934" t="s">
        <v>2665</v>
      </c>
      <c r="C934" t="s">
        <v>2690</v>
      </c>
      <c r="D934">
        <v>2989</v>
      </c>
      <c r="E934">
        <v>554</v>
      </c>
      <c r="F934">
        <v>337</v>
      </c>
      <c r="G934">
        <v>394</v>
      </c>
      <c r="H934">
        <v>876</v>
      </c>
      <c r="I934">
        <v>828</v>
      </c>
      <c r="J934">
        <v>923</v>
      </c>
      <c r="K934">
        <v>981</v>
      </c>
      <c r="L934" s="1">
        <v>1085</v>
      </c>
      <c r="M934" s="1">
        <v>2676</v>
      </c>
      <c r="N934">
        <v>313</v>
      </c>
      <c r="O934" t="s">
        <v>2691</v>
      </c>
      <c r="P934" s="1" t="b">
        <f>NOT(OR(Table1[[#This Row],[State]]="Other Foreign Countries", Table1[[#This Row],[State]]="Unknown", Table1[[#This Row],[State]]="Puerto Rico all counties"))</f>
        <v>1</v>
      </c>
    </row>
    <row r="935" spans="1:16" x14ac:dyDescent="0.25">
      <c r="A935">
        <v>21069</v>
      </c>
      <c r="B935" t="s">
        <v>1716</v>
      </c>
      <c r="C935" t="s">
        <v>1770</v>
      </c>
      <c r="D935">
        <v>253</v>
      </c>
      <c r="E935">
        <v>48</v>
      </c>
      <c r="F935">
        <v>24</v>
      </c>
      <c r="G935">
        <v>46</v>
      </c>
      <c r="H935">
        <v>75</v>
      </c>
      <c r="I935">
        <v>60</v>
      </c>
      <c r="J935">
        <v>55</v>
      </c>
      <c r="K935">
        <v>88</v>
      </c>
      <c r="L935">
        <v>110</v>
      </c>
      <c r="M935">
        <v>237</v>
      </c>
      <c r="N935">
        <v>16</v>
      </c>
      <c r="O935" t="s">
        <v>1771</v>
      </c>
      <c r="P935" s="1" t="b">
        <f>NOT(OR(Table1[[#This Row],[State]]="Other Foreign Countries", Table1[[#This Row],[State]]="Unknown", Table1[[#This Row],[State]]="Puerto Rico all counties"))</f>
        <v>1</v>
      </c>
    </row>
    <row r="936" spans="1:16" x14ac:dyDescent="0.25">
      <c r="A936">
        <v>45041</v>
      </c>
      <c r="B936" t="s">
        <v>3772</v>
      </c>
      <c r="C936" t="s">
        <v>3806</v>
      </c>
      <c r="D936">
        <v>3271</v>
      </c>
      <c r="E936">
        <v>496</v>
      </c>
      <c r="F936">
        <v>311</v>
      </c>
      <c r="G936">
        <v>391</v>
      </c>
      <c r="H936" s="1">
        <v>1117</v>
      </c>
      <c r="I936">
        <v>956</v>
      </c>
      <c r="J936">
        <v>725</v>
      </c>
      <c r="K936" s="1">
        <v>1191</v>
      </c>
      <c r="L936" s="1">
        <v>1355</v>
      </c>
      <c r="M936" s="1">
        <v>2800</v>
      </c>
      <c r="N936">
        <v>471</v>
      </c>
      <c r="O936" t="s">
        <v>3807</v>
      </c>
      <c r="P936" s="1" t="b">
        <f>NOT(OR(Table1[[#This Row],[State]]="Other Foreign Countries", Table1[[#This Row],[State]]="Unknown", Table1[[#This Row],[State]]="Puerto Rico all counties"))</f>
        <v>1</v>
      </c>
    </row>
    <row r="937" spans="1:16" x14ac:dyDescent="0.25">
      <c r="A937">
        <v>55037</v>
      </c>
      <c r="B937" t="s">
        <v>4906</v>
      </c>
      <c r="C937" t="s">
        <v>3806</v>
      </c>
      <c r="D937">
        <v>203</v>
      </c>
      <c r="E937">
        <v>58</v>
      </c>
      <c r="F937">
        <v>29</v>
      </c>
      <c r="G937">
        <v>20</v>
      </c>
      <c r="H937">
        <v>64</v>
      </c>
      <c r="I937">
        <v>32</v>
      </c>
      <c r="J937">
        <v>29</v>
      </c>
      <c r="K937">
        <v>51</v>
      </c>
      <c r="L937">
        <v>123</v>
      </c>
      <c r="M937">
        <v>188</v>
      </c>
      <c r="N937">
        <v>14</v>
      </c>
      <c r="O937" t="s">
        <v>4932</v>
      </c>
      <c r="P937" s="1" t="b">
        <f>NOT(OR(Table1[[#This Row],[State]]="Other Foreign Countries", Table1[[#This Row],[State]]="Unknown", Table1[[#This Row],[State]]="Puerto Rico all counties"))</f>
        <v>1</v>
      </c>
    </row>
    <row r="938" spans="1:16" x14ac:dyDescent="0.25">
      <c r="A938">
        <v>13115</v>
      </c>
      <c r="B938" t="s">
        <v>754</v>
      </c>
      <c r="C938" t="s">
        <v>852</v>
      </c>
      <c r="D938">
        <v>1686</v>
      </c>
      <c r="E938">
        <v>363</v>
      </c>
      <c r="F938">
        <v>183</v>
      </c>
      <c r="G938">
        <v>212</v>
      </c>
      <c r="H938">
        <v>498</v>
      </c>
      <c r="I938">
        <v>430</v>
      </c>
      <c r="J938">
        <v>415</v>
      </c>
      <c r="K938">
        <v>474</v>
      </c>
      <c r="L938">
        <v>797</v>
      </c>
      <c r="M938" s="1">
        <v>1497</v>
      </c>
      <c r="N938">
        <v>189</v>
      </c>
      <c r="O938" t="s">
        <v>853</v>
      </c>
      <c r="P938" s="1" t="b">
        <f>NOT(OR(Table1[[#This Row],[State]]="Other Foreign Countries", Table1[[#This Row],[State]]="Unknown", Table1[[#This Row],[State]]="Puerto Rico all counties"))</f>
        <v>1</v>
      </c>
    </row>
    <row r="939" spans="1:16" x14ac:dyDescent="0.25">
      <c r="A939">
        <v>18043</v>
      </c>
      <c r="B939" t="s">
        <v>1266</v>
      </c>
      <c r="C939" t="s">
        <v>852</v>
      </c>
      <c r="D939">
        <v>1817</v>
      </c>
      <c r="E939">
        <v>641</v>
      </c>
      <c r="F939">
        <v>266</v>
      </c>
      <c r="G939">
        <v>213</v>
      </c>
      <c r="H939">
        <v>386</v>
      </c>
      <c r="I939">
        <v>311</v>
      </c>
      <c r="J939">
        <v>406</v>
      </c>
      <c r="K939">
        <v>643</v>
      </c>
      <c r="L939">
        <v>768</v>
      </c>
      <c r="M939" s="1">
        <v>1655</v>
      </c>
      <c r="N939">
        <v>162</v>
      </c>
      <c r="O939" t="s">
        <v>1295</v>
      </c>
      <c r="P939" s="1" t="b">
        <f>NOT(OR(Table1[[#This Row],[State]]="Other Foreign Countries", Table1[[#This Row],[State]]="Unknown", Table1[[#This Row],[State]]="Puerto Rico all counties"))</f>
        <v>1</v>
      </c>
    </row>
    <row r="940" spans="1:16" x14ac:dyDescent="0.25">
      <c r="A940">
        <v>19067</v>
      </c>
      <c r="B940" t="s">
        <v>1399</v>
      </c>
      <c r="C940" t="s">
        <v>852</v>
      </c>
      <c r="D940">
        <v>323</v>
      </c>
      <c r="E940">
        <v>92</v>
      </c>
      <c r="F940">
        <v>43</v>
      </c>
      <c r="G940">
        <v>38</v>
      </c>
      <c r="H940">
        <v>93</v>
      </c>
      <c r="I940">
        <v>57</v>
      </c>
      <c r="J940">
        <v>52</v>
      </c>
      <c r="K940">
        <v>94</v>
      </c>
      <c r="L940">
        <v>177</v>
      </c>
      <c r="M940">
        <v>305</v>
      </c>
      <c r="N940">
        <v>18</v>
      </c>
      <c r="O940" t="s">
        <v>1449</v>
      </c>
      <c r="P940" s="1" t="b">
        <f>NOT(OR(Table1[[#This Row],[State]]="Other Foreign Countries", Table1[[#This Row],[State]]="Unknown", Table1[[#This Row],[State]]="Puerto Rico all counties"))</f>
        <v>1</v>
      </c>
    </row>
    <row r="941" spans="1:16" x14ac:dyDescent="0.25">
      <c r="A941">
        <v>21071</v>
      </c>
      <c r="B941" t="s">
        <v>1716</v>
      </c>
      <c r="C941" t="s">
        <v>852</v>
      </c>
      <c r="D941">
        <v>434</v>
      </c>
      <c r="E941">
        <v>65</v>
      </c>
      <c r="F941">
        <v>43</v>
      </c>
      <c r="G941">
        <v>43</v>
      </c>
      <c r="H941">
        <v>140</v>
      </c>
      <c r="I941">
        <v>143</v>
      </c>
      <c r="J941">
        <v>82</v>
      </c>
      <c r="K941">
        <v>117</v>
      </c>
      <c r="L941">
        <v>235</v>
      </c>
      <c r="M941">
        <v>415</v>
      </c>
      <c r="N941">
        <v>19</v>
      </c>
      <c r="O941" t="s">
        <v>1772</v>
      </c>
      <c r="P941" s="1" t="b">
        <f>NOT(OR(Table1[[#This Row],[State]]="Other Foreign Countries", Table1[[#This Row],[State]]="Unknown", Table1[[#This Row],[State]]="Puerto Rico all counties"))</f>
        <v>1</v>
      </c>
    </row>
    <row r="942" spans="1:16" x14ac:dyDescent="0.25">
      <c r="A942">
        <v>48153</v>
      </c>
      <c r="B942" t="s">
        <v>2654</v>
      </c>
      <c r="C942" t="s">
        <v>852</v>
      </c>
      <c r="D942">
        <v>87</v>
      </c>
      <c r="G942">
        <v>17</v>
      </c>
      <c r="H942">
        <v>25</v>
      </c>
      <c r="I942">
        <v>21</v>
      </c>
      <c r="J942">
        <v>18</v>
      </c>
      <c r="K942">
        <v>26</v>
      </c>
      <c r="L942">
        <v>43</v>
      </c>
      <c r="O942" t="s">
        <v>4201</v>
      </c>
      <c r="P942" s="1" t="b">
        <f>NOT(OR(Table1[[#This Row],[State]]="Other Foreign Countries", Table1[[#This Row],[State]]="Unknown", Table1[[#This Row],[State]]="Puerto Rico all counties"))</f>
        <v>1</v>
      </c>
    </row>
    <row r="943" spans="1:16" x14ac:dyDescent="0.25">
      <c r="A943">
        <v>51063</v>
      </c>
      <c r="B943" t="s">
        <v>4555</v>
      </c>
      <c r="C943" t="s">
        <v>852</v>
      </c>
      <c r="D943">
        <v>291</v>
      </c>
      <c r="E943">
        <v>65</v>
      </c>
      <c r="F943">
        <v>50</v>
      </c>
      <c r="G943">
        <v>35</v>
      </c>
      <c r="H943">
        <v>76</v>
      </c>
      <c r="I943">
        <v>65</v>
      </c>
      <c r="J943">
        <v>70</v>
      </c>
      <c r="K943">
        <v>98</v>
      </c>
      <c r="L943">
        <v>123</v>
      </c>
      <c r="M943">
        <v>261</v>
      </c>
      <c r="N943">
        <v>30</v>
      </c>
      <c r="O943" t="s">
        <v>4602</v>
      </c>
      <c r="P943" s="1" t="b">
        <f>NOT(OR(Table1[[#This Row],[State]]="Other Foreign Countries", Table1[[#This Row],[State]]="Unknown", Table1[[#This Row],[State]]="Puerto Rico all counties"))</f>
        <v>1</v>
      </c>
    </row>
    <row r="944" spans="1:16" x14ac:dyDescent="0.25">
      <c r="A944">
        <v>51065</v>
      </c>
      <c r="B944" t="s">
        <v>4555</v>
      </c>
      <c r="C944" t="s">
        <v>4603</v>
      </c>
      <c r="D944">
        <v>690</v>
      </c>
      <c r="E944">
        <v>149</v>
      </c>
      <c r="F944">
        <v>87</v>
      </c>
      <c r="G944">
        <v>90</v>
      </c>
      <c r="H944">
        <v>190</v>
      </c>
      <c r="I944">
        <v>174</v>
      </c>
      <c r="J944">
        <v>166</v>
      </c>
      <c r="K944">
        <v>246</v>
      </c>
      <c r="L944">
        <v>278</v>
      </c>
      <c r="M944">
        <v>598</v>
      </c>
      <c r="N944">
        <v>92</v>
      </c>
      <c r="O944" t="s">
        <v>4604</v>
      </c>
      <c r="P944" s="1" t="b">
        <f>NOT(OR(Table1[[#This Row],[State]]="Other Foreign Countries", Table1[[#This Row],[State]]="Unknown", Table1[[#This Row],[State]]="Puerto Rico all counties"))</f>
        <v>1</v>
      </c>
    </row>
    <row r="945" spans="1:16" x14ac:dyDescent="0.25">
      <c r="A945">
        <v>48155</v>
      </c>
      <c r="B945" t="s">
        <v>2654</v>
      </c>
      <c r="C945" t="s">
        <v>4202</v>
      </c>
      <c r="D945">
        <v>26</v>
      </c>
      <c r="O945" t="s">
        <v>4203</v>
      </c>
      <c r="P945" s="1" t="b">
        <f>NOT(OR(Table1[[#This Row],[State]]="Other Foreign Countries", Table1[[#This Row],[State]]="Unknown", Table1[[#This Row],[State]]="Puerto Rico all counties"))</f>
        <v>1</v>
      </c>
    </row>
    <row r="946" spans="1:16" x14ac:dyDescent="0.25">
      <c r="A946">
        <v>55039</v>
      </c>
      <c r="B946" t="s">
        <v>4906</v>
      </c>
      <c r="C946" t="s">
        <v>4933</v>
      </c>
      <c r="D946">
        <v>1453</v>
      </c>
      <c r="E946">
        <v>381</v>
      </c>
      <c r="F946">
        <v>215</v>
      </c>
      <c r="G946">
        <v>209</v>
      </c>
      <c r="H946">
        <v>382</v>
      </c>
      <c r="I946">
        <v>266</v>
      </c>
      <c r="J946">
        <v>426</v>
      </c>
      <c r="K946">
        <v>410</v>
      </c>
      <c r="L946">
        <v>617</v>
      </c>
      <c r="M946" s="1">
        <v>1292</v>
      </c>
      <c r="N946">
        <v>160</v>
      </c>
      <c r="O946" t="s">
        <v>4934</v>
      </c>
      <c r="P946" s="1" t="b">
        <f>NOT(OR(Table1[[#This Row],[State]]="Other Foreign Countries", Table1[[#This Row],[State]]="Unknown", Table1[[#This Row],[State]]="Puerto Rico all counties"))</f>
        <v>1</v>
      </c>
    </row>
    <row r="947" spans="1:16" x14ac:dyDescent="0.25">
      <c r="A947">
        <v>17053</v>
      </c>
      <c r="B947" t="s">
        <v>1109</v>
      </c>
      <c r="C947" t="s">
        <v>1150</v>
      </c>
      <c r="D947">
        <v>158</v>
      </c>
      <c r="E947">
        <v>29</v>
      </c>
      <c r="F947">
        <v>25</v>
      </c>
      <c r="G947">
        <v>22</v>
      </c>
      <c r="H947">
        <v>44</v>
      </c>
      <c r="I947">
        <v>38</v>
      </c>
      <c r="J947">
        <v>43</v>
      </c>
      <c r="K947">
        <v>37</v>
      </c>
      <c r="L947">
        <v>78</v>
      </c>
      <c r="M947">
        <v>147</v>
      </c>
      <c r="N947">
        <v>10</v>
      </c>
      <c r="O947" t="s">
        <v>1151</v>
      </c>
      <c r="P947" s="1" t="b">
        <f>NOT(OR(Table1[[#This Row],[State]]="Other Foreign Countries", Table1[[#This Row],[State]]="Unknown", Table1[[#This Row],[State]]="Puerto Rico all counties"))</f>
        <v>1</v>
      </c>
    </row>
    <row r="948" spans="1:16" x14ac:dyDescent="0.25">
      <c r="A948">
        <v>20057</v>
      </c>
      <c r="B948" t="s">
        <v>1543</v>
      </c>
      <c r="C948" t="s">
        <v>1150</v>
      </c>
      <c r="D948">
        <v>232</v>
      </c>
      <c r="E948">
        <v>56</v>
      </c>
      <c r="F948">
        <v>29</v>
      </c>
      <c r="G948">
        <v>17</v>
      </c>
      <c r="H948">
        <v>78</v>
      </c>
      <c r="I948">
        <v>52</v>
      </c>
      <c r="J948">
        <v>68</v>
      </c>
      <c r="K948">
        <v>70</v>
      </c>
      <c r="L948">
        <v>94</v>
      </c>
      <c r="M948">
        <v>211</v>
      </c>
      <c r="N948">
        <v>21</v>
      </c>
      <c r="O948" t="s">
        <v>1588</v>
      </c>
      <c r="P948" s="1" t="b">
        <f>NOT(OR(Table1[[#This Row],[State]]="Other Foreign Countries", Table1[[#This Row],[State]]="Unknown", Table1[[#This Row],[State]]="Puerto Rico all counties"))</f>
        <v>1</v>
      </c>
    </row>
    <row r="949" spans="1:16" x14ac:dyDescent="0.25">
      <c r="A949">
        <v>42053</v>
      </c>
      <c r="B949" t="s">
        <v>3665</v>
      </c>
      <c r="C949" t="s">
        <v>3704</v>
      </c>
      <c r="D949">
        <v>152</v>
      </c>
      <c r="E949">
        <v>49</v>
      </c>
      <c r="F949">
        <v>17</v>
      </c>
      <c r="G949">
        <v>23</v>
      </c>
      <c r="H949">
        <v>31</v>
      </c>
      <c r="I949">
        <v>32</v>
      </c>
      <c r="J949">
        <v>18</v>
      </c>
      <c r="K949">
        <v>51</v>
      </c>
      <c r="L949">
        <v>83</v>
      </c>
      <c r="O949" t="s">
        <v>3705</v>
      </c>
      <c r="P949" s="1" t="b">
        <f>NOT(OR(Table1[[#This Row],[State]]="Other Foreign Countries", Table1[[#This Row],[State]]="Unknown", Table1[[#This Row],[State]]="Puerto Rico all counties"))</f>
        <v>1</v>
      </c>
    </row>
    <row r="950" spans="1:16" x14ac:dyDescent="0.25">
      <c r="A950">
        <v>55041</v>
      </c>
      <c r="B950" t="s">
        <v>4906</v>
      </c>
      <c r="C950" t="s">
        <v>3704</v>
      </c>
      <c r="D950">
        <v>313</v>
      </c>
      <c r="E950">
        <v>86</v>
      </c>
      <c r="F950">
        <v>38</v>
      </c>
      <c r="G950">
        <v>30</v>
      </c>
      <c r="H950">
        <v>95</v>
      </c>
      <c r="I950">
        <v>64</v>
      </c>
      <c r="J950">
        <v>39</v>
      </c>
      <c r="K950">
        <v>92</v>
      </c>
      <c r="L950">
        <v>182</v>
      </c>
      <c r="M950">
        <v>293</v>
      </c>
      <c r="N950">
        <v>20</v>
      </c>
      <c r="O950" t="s">
        <v>4935</v>
      </c>
      <c r="P950" s="1" t="b">
        <f>NOT(OR(Table1[[#This Row],[State]]="Other Foreign Countries", Table1[[#This Row],[State]]="Unknown", Table1[[#This Row],[State]]="Puerto Rico all counties"))</f>
        <v>1</v>
      </c>
    </row>
    <row r="951" spans="1:16" x14ac:dyDescent="0.25">
      <c r="A951">
        <v>28035</v>
      </c>
      <c r="B951" t="s">
        <v>322</v>
      </c>
      <c r="C951" t="s">
        <v>2417</v>
      </c>
      <c r="D951">
        <v>1714</v>
      </c>
      <c r="E951">
        <v>286</v>
      </c>
      <c r="F951">
        <v>146</v>
      </c>
      <c r="G951">
        <v>196</v>
      </c>
      <c r="H951">
        <v>525</v>
      </c>
      <c r="I951">
        <v>561</v>
      </c>
      <c r="J951">
        <v>371</v>
      </c>
      <c r="K951">
        <v>701</v>
      </c>
      <c r="L951">
        <v>642</v>
      </c>
      <c r="M951" s="1">
        <v>1488</v>
      </c>
      <c r="N951">
        <v>226</v>
      </c>
      <c r="O951" t="s">
        <v>2418</v>
      </c>
      <c r="P951" s="1" t="b">
        <f>NOT(OR(Table1[[#This Row],[State]]="Other Foreign Countries", Table1[[#This Row],[State]]="Unknown", Table1[[#This Row],[State]]="Puerto Rico all counties"))</f>
        <v>1</v>
      </c>
    </row>
    <row r="952" spans="1:16" x14ac:dyDescent="0.25">
      <c r="A952">
        <v>13117</v>
      </c>
      <c r="B952" t="s">
        <v>754</v>
      </c>
      <c r="C952" t="s">
        <v>854</v>
      </c>
      <c r="D952">
        <v>2759</v>
      </c>
      <c r="E952">
        <v>595</v>
      </c>
      <c r="F952">
        <v>305</v>
      </c>
      <c r="G952">
        <v>327</v>
      </c>
      <c r="H952">
        <v>762</v>
      </c>
      <c r="I952">
        <v>770</v>
      </c>
      <c r="J952">
        <v>753</v>
      </c>
      <c r="K952" s="1">
        <v>1004</v>
      </c>
      <c r="L952" s="1">
        <v>1001</v>
      </c>
      <c r="M952" s="1">
        <v>2463</v>
      </c>
      <c r="N952">
        <v>295</v>
      </c>
      <c r="O952" t="s">
        <v>855</v>
      </c>
      <c r="P952" s="1" t="b">
        <f>NOT(OR(Table1[[#This Row],[State]]="Other Foreign Countries", Table1[[#This Row],[State]]="Unknown", Table1[[#This Row],[State]]="Puerto Rico all counties"))</f>
        <v>1</v>
      </c>
    </row>
    <row r="953" spans="1:16" x14ac:dyDescent="0.25">
      <c r="A953">
        <v>37067</v>
      </c>
      <c r="B953" t="s">
        <v>3121</v>
      </c>
      <c r="C953" t="s">
        <v>854</v>
      </c>
      <c r="D953">
        <v>7014</v>
      </c>
      <c r="E953" s="1">
        <v>1181</v>
      </c>
      <c r="F953">
        <v>681</v>
      </c>
      <c r="G953">
        <v>825</v>
      </c>
      <c r="H953" s="1">
        <v>2256</v>
      </c>
      <c r="I953" s="1">
        <v>2071</v>
      </c>
      <c r="J953" s="1">
        <v>1910</v>
      </c>
      <c r="K953" s="1">
        <v>2285</v>
      </c>
      <c r="L953" s="1">
        <v>2819</v>
      </c>
      <c r="M953" s="1">
        <v>6069</v>
      </c>
      <c r="N953">
        <v>945</v>
      </c>
      <c r="O953" t="s">
        <v>3179</v>
      </c>
      <c r="P953" s="1" t="b">
        <f>NOT(OR(Table1[[#This Row],[State]]="Other Foreign Countries", Table1[[#This Row],[State]]="Unknown", Table1[[#This Row],[State]]="Puerto Rico all counties"))</f>
        <v>1</v>
      </c>
    </row>
    <row r="954" spans="1:16" x14ac:dyDescent="0.25">
      <c r="A954">
        <v>48157</v>
      </c>
      <c r="B954" t="s">
        <v>2654</v>
      </c>
      <c r="C954" t="s">
        <v>4204</v>
      </c>
      <c r="D954">
        <v>12986</v>
      </c>
      <c r="E954" s="1">
        <v>1916</v>
      </c>
      <c r="F954" s="1">
        <v>1028</v>
      </c>
      <c r="G954" s="1">
        <v>1306</v>
      </c>
      <c r="H954" s="1">
        <v>3855</v>
      </c>
      <c r="I954" s="1">
        <v>4881</v>
      </c>
      <c r="J954" s="1">
        <v>4701</v>
      </c>
      <c r="K954" s="1">
        <v>4865</v>
      </c>
      <c r="L954" s="1">
        <v>3420</v>
      </c>
      <c r="M954" s="1">
        <v>10845</v>
      </c>
      <c r="N954" s="1">
        <v>2141</v>
      </c>
      <c r="O954" t="s">
        <v>4205</v>
      </c>
      <c r="P954" s="1" t="b">
        <f>NOT(OR(Table1[[#This Row],[State]]="Other Foreign Countries", Table1[[#This Row],[State]]="Unknown", Table1[[#This Row],[State]]="Puerto Rico all counties"))</f>
        <v>1</v>
      </c>
    </row>
    <row r="955" spans="1:16" x14ac:dyDescent="0.25">
      <c r="A955">
        <v>38031</v>
      </c>
      <c r="B955" t="s">
        <v>3286</v>
      </c>
      <c r="C955" t="s">
        <v>3313</v>
      </c>
      <c r="D955">
        <v>55</v>
      </c>
      <c r="E955">
        <v>19</v>
      </c>
      <c r="H955">
        <v>10</v>
      </c>
      <c r="I955">
        <v>10</v>
      </c>
      <c r="J955">
        <v>16</v>
      </c>
      <c r="K955">
        <v>12</v>
      </c>
      <c r="L955">
        <v>27</v>
      </c>
      <c r="O955" t="s">
        <v>3314</v>
      </c>
      <c r="P955" s="1" t="b">
        <f>NOT(OR(Table1[[#This Row],[State]]="Other Foreign Countries", Table1[[#This Row],[State]]="Unknown", Table1[[#This Row],[State]]="Puerto Rico all counties"))</f>
        <v>1</v>
      </c>
    </row>
    <row r="956" spans="1:16" x14ac:dyDescent="0.25">
      <c r="A956">
        <v>18045</v>
      </c>
      <c r="B956" t="s">
        <v>1266</v>
      </c>
      <c r="C956" t="s">
        <v>1296</v>
      </c>
      <c r="D956">
        <v>304</v>
      </c>
      <c r="E956">
        <v>64</v>
      </c>
      <c r="F956">
        <v>32</v>
      </c>
      <c r="G956">
        <v>39</v>
      </c>
      <c r="H956">
        <v>101</v>
      </c>
      <c r="I956">
        <v>68</v>
      </c>
      <c r="J956">
        <v>96</v>
      </c>
      <c r="K956">
        <v>79</v>
      </c>
      <c r="L956">
        <v>129</v>
      </c>
      <c r="M956">
        <v>286</v>
      </c>
      <c r="N956">
        <v>18</v>
      </c>
      <c r="O956" t="s">
        <v>1297</v>
      </c>
      <c r="P956" s="1" t="b">
        <f>NOT(OR(Table1[[#This Row],[State]]="Other Foreign Countries", Table1[[#This Row],[State]]="Unknown", Table1[[#This Row],[State]]="Puerto Rico all counties"))</f>
        <v>1</v>
      </c>
    </row>
    <row r="957" spans="1:16" x14ac:dyDescent="0.25">
      <c r="A957">
        <v>1059</v>
      </c>
      <c r="B957" t="s">
        <v>15</v>
      </c>
      <c r="C957" t="s">
        <v>74</v>
      </c>
      <c r="D957">
        <v>391</v>
      </c>
      <c r="E957">
        <v>56</v>
      </c>
      <c r="F957">
        <v>50</v>
      </c>
      <c r="G957">
        <v>49</v>
      </c>
      <c r="H957">
        <v>123</v>
      </c>
      <c r="I957">
        <v>113</v>
      </c>
      <c r="J957">
        <v>102</v>
      </c>
      <c r="K957">
        <v>124</v>
      </c>
      <c r="L957">
        <v>165</v>
      </c>
      <c r="M957">
        <v>357</v>
      </c>
      <c r="N957">
        <v>33</v>
      </c>
      <c r="O957" t="s">
        <v>75</v>
      </c>
      <c r="P957" s="1" t="b">
        <f>NOT(OR(Table1[[#This Row],[State]]="Other Foreign Countries", Table1[[#This Row],[State]]="Unknown", Table1[[#This Row],[State]]="Puerto Rico all counties"))</f>
        <v>1</v>
      </c>
    </row>
    <row r="958" spans="1:16" x14ac:dyDescent="0.25">
      <c r="A958">
        <v>5047</v>
      </c>
      <c r="B958" t="s">
        <v>242</v>
      </c>
      <c r="C958" t="s">
        <v>74</v>
      </c>
      <c r="D958">
        <v>428</v>
      </c>
      <c r="E958">
        <v>72</v>
      </c>
      <c r="F958">
        <v>28</v>
      </c>
      <c r="G958">
        <v>54</v>
      </c>
      <c r="H958">
        <v>139</v>
      </c>
      <c r="I958">
        <v>135</v>
      </c>
      <c r="J958">
        <v>98</v>
      </c>
      <c r="K958">
        <v>150</v>
      </c>
      <c r="L958">
        <v>180</v>
      </c>
      <c r="M958">
        <v>398</v>
      </c>
      <c r="N958">
        <v>30</v>
      </c>
      <c r="O958" t="s">
        <v>284</v>
      </c>
      <c r="P958" s="1" t="b">
        <f>NOT(OR(Table1[[#This Row],[State]]="Other Foreign Countries", Table1[[#This Row],[State]]="Unknown", Table1[[#This Row],[State]]="Puerto Rico all counties"))</f>
        <v>1</v>
      </c>
    </row>
    <row r="959" spans="1:16" x14ac:dyDescent="0.25">
      <c r="A959">
        <v>12037</v>
      </c>
      <c r="B959" t="s">
        <v>637</v>
      </c>
      <c r="C959" t="s">
        <v>74</v>
      </c>
      <c r="D959">
        <v>294</v>
      </c>
      <c r="E959">
        <v>64</v>
      </c>
      <c r="F959">
        <v>37</v>
      </c>
      <c r="G959">
        <v>38</v>
      </c>
      <c r="H959">
        <v>67</v>
      </c>
      <c r="I959">
        <v>88</v>
      </c>
      <c r="J959">
        <v>37</v>
      </c>
      <c r="K959">
        <v>84</v>
      </c>
      <c r="L959">
        <v>173</v>
      </c>
      <c r="M959">
        <v>273</v>
      </c>
      <c r="N959">
        <v>21</v>
      </c>
      <c r="O959" t="s">
        <v>668</v>
      </c>
      <c r="P959" s="1" t="b">
        <f>NOT(OR(Table1[[#This Row],[State]]="Other Foreign Countries", Table1[[#This Row],[State]]="Unknown", Table1[[#This Row],[State]]="Puerto Rico all counties"))</f>
        <v>1</v>
      </c>
    </row>
    <row r="960" spans="1:16" x14ac:dyDescent="0.25">
      <c r="A960">
        <v>13119</v>
      </c>
      <c r="B960" t="s">
        <v>754</v>
      </c>
      <c r="C960" t="s">
        <v>74</v>
      </c>
      <c r="D960">
        <v>412</v>
      </c>
      <c r="E960">
        <v>84</v>
      </c>
      <c r="F960">
        <v>45</v>
      </c>
      <c r="G960">
        <v>48</v>
      </c>
      <c r="H960">
        <v>119</v>
      </c>
      <c r="I960">
        <v>116</v>
      </c>
      <c r="J960">
        <v>119</v>
      </c>
      <c r="K960">
        <v>107</v>
      </c>
      <c r="L960">
        <v>186</v>
      </c>
      <c r="M960">
        <v>373</v>
      </c>
      <c r="N960">
        <v>39</v>
      </c>
      <c r="O960" t="s">
        <v>856</v>
      </c>
      <c r="P960" s="1" t="b">
        <f>NOT(OR(Table1[[#This Row],[State]]="Other Foreign Countries", Table1[[#This Row],[State]]="Unknown", Table1[[#This Row],[State]]="Puerto Rico all counties"))</f>
        <v>1</v>
      </c>
    </row>
    <row r="961" spans="1:16" x14ac:dyDescent="0.25">
      <c r="A961">
        <v>16041</v>
      </c>
      <c r="B961" t="s">
        <v>1032</v>
      </c>
      <c r="C961" t="s">
        <v>74</v>
      </c>
      <c r="D961">
        <v>178</v>
      </c>
      <c r="E961">
        <v>40</v>
      </c>
      <c r="F961">
        <v>21</v>
      </c>
      <c r="G961">
        <v>31</v>
      </c>
      <c r="H961">
        <v>47</v>
      </c>
      <c r="I961">
        <v>39</v>
      </c>
      <c r="J961">
        <v>40</v>
      </c>
      <c r="K961">
        <v>54</v>
      </c>
      <c r="L961">
        <v>84</v>
      </c>
      <c r="M961">
        <v>168</v>
      </c>
      <c r="N961">
        <v>10</v>
      </c>
      <c r="O961" t="s">
        <v>1068</v>
      </c>
      <c r="P961" s="1" t="b">
        <f>NOT(OR(Table1[[#This Row],[State]]="Other Foreign Countries", Table1[[#This Row],[State]]="Unknown", Table1[[#This Row],[State]]="Puerto Rico all counties"))</f>
        <v>1</v>
      </c>
    </row>
    <row r="962" spans="1:16" x14ac:dyDescent="0.25">
      <c r="A962">
        <v>17055</v>
      </c>
      <c r="B962" t="s">
        <v>1109</v>
      </c>
      <c r="C962" t="s">
        <v>74</v>
      </c>
      <c r="D962">
        <v>825</v>
      </c>
      <c r="E962">
        <v>176</v>
      </c>
      <c r="F962">
        <v>91</v>
      </c>
      <c r="G962">
        <v>100</v>
      </c>
      <c r="H962">
        <v>251</v>
      </c>
      <c r="I962">
        <v>207</v>
      </c>
      <c r="J962">
        <v>211</v>
      </c>
      <c r="K962">
        <v>237</v>
      </c>
      <c r="L962">
        <v>377</v>
      </c>
      <c r="M962">
        <v>765</v>
      </c>
      <c r="N962">
        <v>60</v>
      </c>
      <c r="O962" t="s">
        <v>1152</v>
      </c>
      <c r="P962" s="1" t="b">
        <f>NOT(OR(Table1[[#This Row],[State]]="Other Foreign Countries", Table1[[#This Row],[State]]="Unknown", Table1[[#This Row],[State]]="Puerto Rico all counties"))</f>
        <v>1</v>
      </c>
    </row>
    <row r="963" spans="1:16" x14ac:dyDescent="0.25">
      <c r="A963">
        <v>18047</v>
      </c>
      <c r="B963" t="s">
        <v>1266</v>
      </c>
      <c r="C963" t="s">
        <v>74</v>
      </c>
      <c r="D963">
        <v>414</v>
      </c>
      <c r="E963">
        <v>119</v>
      </c>
      <c r="F963">
        <v>62</v>
      </c>
      <c r="G963">
        <v>57</v>
      </c>
      <c r="H963">
        <v>86</v>
      </c>
      <c r="I963">
        <v>90</v>
      </c>
      <c r="J963">
        <v>110</v>
      </c>
      <c r="K963">
        <v>102</v>
      </c>
      <c r="L963">
        <v>202</v>
      </c>
      <c r="M963">
        <v>389</v>
      </c>
      <c r="N963">
        <v>25</v>
      </c>
      <c r="O963" t="s">
        <v>1298</v>
      </c>
      <c r="P963" s="1" t="b">
        <f>NOT(OR(Table1[[#This Row],[State]]="Other Foreign Countries", Table1[[#This Row],[State]]="Unknown", Table1[[#This Row],[State]]="Puerto Rico all counties"))</f>
        <v>1</v>
      </c>
    </row>
    <row r="964" spans="1:16" x14ac:dyDescent="0.25">
      <c r="A964">
        <v>19069</v>
      </c>
      <c r="B964" t="s">
        <v>1399</v>
      </c>
      <c r="C964" t="s">
        <v>74</v>
      </c>
      <c r="D964">
        <v>159</v>
      </c>
      <c r="E964">
        <v>43</v>
      </c>
      <c r="F964">
        <v>18</v>
      </c>
      <c r="G964">
        <v>19</v>
      </c>
      <c r="H964">
        <v>45</v>
      </c>
      <c r="I964">
        <v>34</v>
      </c>
      <c r="J964">
        <v>25</v>
      </c>
      <c r="K964">
        <v>41</v>
      </c>
      <c r="L964">
        <v>93</v>
      </c>
      <c r="O964" t="s">
        <v>1450</v>
      </c>
      <c r="P964" s="1" t="b">
        <f>NOT(OR(Table1[[#This Row],[State]]="Other Foreign Countries", Table1[[#This Row],[State]]="Unknown", Table1[[#This Row],[State]]="Puerto Rico all counties"))</f>
        <v>1</v>
      </c>
    </row>
    <row r="965" spans="1:16" x14ac:dyDescent="0.25">
      <c r="A965">
        <v>20059</v>
      </c>
      <c r="B965" t="s">
        <v>1543</v>
      </c>
      <c r="C965" t="s">
        <v>74</v>
      </c>
      <c r="D965">
        <v>441</v>
      </c>
      <c r="E965">
        <v>88</v>
      </c>
      <c r="F965">
        <v>44</v>
      </c>
      <c r="G965">
        <v>56</v>
      </c>
      <c r="H965">
        <v>141</v>
      </c>
      <c r="I965">
        <v>112</v>
      </c>
      <c r="J965">
        <v>129</v>
      </c>
      <c r="K965">
        <v>140</v>
      </c>
      <c r="L965">
        <v>172</v>
      </c>
      <c r="M965">
        <v>405</v>
      </c>
      <c r="N965">
        <v>36</v>
      </c>
      <c r="O965" t="s">
        <v>1589</v>
      </c>
      <c r="P965" s="1" t="b">
        <f>NOT(OR(Table1[[#This Row],[State]]="Other Foreign Countries", Table1[[#This Row],[State]]="Unknown", Table1[[#This Row],[State]]="Puerto Rico all counties"))</f>
        <v>1</v>
      </c>
    </row>
    <row r="966" spans="1:16" x14ac:dyDescent="0.25">
      <c r="A966">
        <v>21073</v>
      </c>
      <c r="B966" t="s">
        <v>1716</v>
      </c>
      <c r="C966" t="s">
        <v>74</v>
      </c>
      <c r="D966">
        <v>880</v>
      </c>
      <c r="E966">
        <v>196</v>
      </c>
      <c r="F966">
        <v>110</v>
      </c>
      <c r="G966">
        <v>106</v>
      </c>
      <c r="H966">
        <v>263</v>
      </c>
      <c r="I966">
        <v>205</v>
      </c>
      <c r="J966">
        <v>215</v>
      </c>
      <c r="K966">
        <v>318</v>
      </c>
      <c r="L966">
        <v>347</v>
      </c>
      <c r="M966">
        <v>762</v>
      </c>
      <c r="N966">
        <v>118</v>
      </c>
      <c r="O966" t="s">
        <v>1773</v>
      </c>
      <c r="P966" s="1" t="b">
        <f>NOT(OR(Table1[[#This Row],[State]]="Other Foreign Countries", Table1[[#This Row],[State]]="Unknown", Table1[[#This Row],[State]]="Puerto Rico all counties"))</f>
        <v>1</v>
      </c>
    </row>
    <row r="967" spans="1:16" x14ac:dyDescent="0.25">
      <c r="A967">
        <v>22041</v>
      </c>
      <c r="B967" t="s">
        <v>1892</v>
      </c>
      <c r="C967" t="s">
        <v>74</v>
      </c>
      <c r="D967">
        <v>247</v>
      </c>
      <c r="E967">
        <v>43</v>
      </c>
      <c r="F967">
        <v>20</v>
      </c>
      <c r="G967">
        <v>32</v>
      </c>
      <c r="H967">
        <v>89</v>
      </c>
      <c r="I967">
        <v>63</v>
      </c>
      <c r="J967">
        <v>51</v>
      </c>
      <c r="K967">
        <v>70</v>
      </c>
      <c r="L967">
        <v>126</v>
      </c>
      <c r="M967">
        <v>232</v>
      </c>
      <c r="N967">
        <v>15</v>
      </c>
      <c r="O967" t="s">
        <v>1931</v>
      </c>
      <c r="P967" s="1" t="b">
        <f>NOT(OR(Table1[[#This Row],[State]]="Other Foreign Countries", Table1[[#This Row],[State]]="Unknown", Table1[[#This Row],[State]]="Puerto Rico all counties"))</f>
        <v>1</v>
      </c>
    </row>
    <row r="968" spans="1:16" x14ac:dyDescent="0.25">
      <c r="A968">
        <v>23007</v>
      </c>
      <c r="B968" t="s">
        <v>2004</v>
      </c>
      <c r="C968" t="s">
        <v>74</v>
      </c>
      <c r="D968">
        <v>788</v>
      </c>
      <c r="E968">
        <v>144</v>
      </c>
      <c r="F968">
        <v>69</v>
      </c>
      <c r="G968">
        <v>92</v>
      </c>
      <c r="H968">
        <v>270</v>
      </c>
      <c r="I968">
        <v>213</v>
      </c>
      <c r="J968">
        <v>204</v>
      </c>
      <c r="K968">
        <v>230</v>
      </c>
      <c r="L968">
        <v>354</v>
      </c>
      <c r="M968">
        <v>704</v>
      </c>
      <c r="N968">
        <v>84</v>
      </c>
      <c r="O968" t="s">
        <v>2010</v>
      </c>
      <c r="P968" s="1" t="b">
        <f>NOT(OR(Table1[[#This Row],[State]]="Other Foreign Countries", Table1[[#This Row],[State]]="Unknown", Table1[[#This Row],[State]]="Puerto Rico all counties"))</f>
        <v>1</v>
      </c>
    </row>
    <row r="969" spans="1:16" x14ac:dyDescent="0.25">
      <c r="A969">
        <v>25011</v>
      </c>
      <c r="B969" t="s">
        <v>2073</v>
      </c>
      <c r="C969" t="s">
        <v>74</v>
      </c>
      <c r="D969">
        <v>1170</v>
      </c>
      <c r="E969">
        <v>318</v>
      </c>
      <c r="F969">
        <v>126</v>
      </c>
      <c r="G969">
        <v>136</v>
      </c>
      <c r="H969">
        <v>320</v>
      </c>
      <c r="I969">
        <v>270</v>
      </c>
      <c r="J969">
        <v>227</v>
      </c>
      <c r="K969">
        <v>289</v>
      </c>
      <c r="L969">
        <v>654</v>
      </c>
      <c r="M969" s="1">
        <v>1072</v>
      </c>
      <c r="N969">
        <v>98</v>
      </c>
      <c r="O969" t="s">
        <v>2084</v>
      </c>
      <c r="P969" s="1" t="b">
        <f>NOT(OR(Table1[[#This Row],[State]]="Other Foreign Countries", Table1[[#This Row],[State]]="Unknown", Table1[[#This Row],[State]]="Puerto Rico all counties"))</f>
        <v>1</v>
      </c>
    </row>
    <row r="970" spans="1:16" x14ac:dyDescent="0.25">
      <c r="A970">
        <v>28037</v>
      </c>
      <c r="B970" t="s">
        <v>322</v>
      </c>
      <c r="C970" t="s">
        <v>74</v>
      </c>
      <c r="D970">
        <v>131</v>
      </c>
      <c r="E970">
        <v>26</v>
      </c>
      <c r="F970">
        <v>11</v>
      </c>
      <c r="G970">
        <v>16</v>
      </c>
      <c r="H970">
        <v>39</v>
      </c>
      <c r="I970">
        <v>39</v>
      </c>
      <c r="J970">
        <v>20</v>
      </c>
      <c r="K970">
        <v>54</v>
      </c>
      <c r="L970">
        <v>57</v>
      </c>
      <c r="M970">
        <v>112</v>
      </c>
      <c r="N970">
        <v>19</v>
      </c>
      <c r="O970" t="s">
        <v>2419</v>
      </c>
      <c r="P970" s="1" t="b">
        <f>NOT(OR(Table1[[#This Row],[State]]="Other Foreign Countries", Table1[[#This Row],[State]]="Unknown", Table1[[#This Row],[State]]="Puerto Rico all counties"))</f>
        <v>1</v>
      </c>
    </row>
    <row r="971" spans="1:16" x14ac:dyDescent="0.25">
      <c r="A971">
        <v>29071</v>
      </c>
      <c r="B971" t="s">
        <v>2510</v>
      </c>
      <c r="C971" t="s">
        <v>74</v>
      </c>
      <c r="D971">
        <v>1808</v>
      </c>
      <c r="E971">
        <v>392</v>
      </c>
      <c r="F971">
        <v>215</v>
      </c>
      <c r="G971">
        <v>227</v>
      </c>
      <c r="H971">
        <v>568</v>
      </c>
      <c r="I971">
        <v>406</v>
      </c>
      <c r="J971">
        <v>544</v>
      </c>
      <c r="K971">
        <v>522</v>
      </c>
      <c r="L971">
        <v>742</v>
      </c>
      <c r="M971" s="1">
        <v>1638</v>
      </c>
      <c r="N971">
        <v>169</v>
      </c>
      <c r="O971" t="s">
        <v>2557</v>
      </c>
      <c r="P971" s="1" t="b">
        <f>NOT(OR(Table1[[#This Row],[State]]="Other Foreign Countries", Table1[[#This Row],[State]]="Unknown", Table1[[#This Row],[State]]="Puerto Rico all counties"))</f>
        <v>1</v>
      </c>
    </row>
    <row r="972" spans="1:16" x14ac:dyDescent="0.25">
      <c r="A972">
        <v>31061</v>
      </c>
      <c r="B972" t="s">
        <v>2758</v>
      </c>
      <c r="C972" t="s">
        <v>74</v>
      </c>
      <c r="D972">
        <v>113</v>
      </c>
      <c r="E972">
        <v>39</v>
      </c>
      <c r="F972">
        <v>23</v>
      </c>
      <c r="G972">
        <v>12</v>
      </c>
      <c r="H972">
        <v>16</v>
      </c>
      <c r="I972">
        <v>23</v>
      </c>
      <c r="J972">
        <v>14</v>
      </c>
      <c r="K972">
        <v>17</v>
      </c>
      <c r="L972">
        <v>82</v>
      </c>
      <c r="O972" t="s">
        <v>2802</v>
      </c>
      <c r="P972" s="1" t="b">
        <f>NOT(OR(Table1[[#This Row],[State]]="Other Foreign Countries", Table1[[#This Row],[State]]="Unknown", Table1[[#This Row],[State]]="Puerto Rico all counties"))</f>
        <v>1</v>
      </c>
    </row>
    <row r="973" spans="1:16" x14ac:dyDescent="0.25">
      <c r="A973">
        <v>36033</v>
      </c>
      <c r="B973" t="s">
        <v>3029</v>
      </c>
      <c r="C973" t="s">
        <v>74</v>
      </c>
      <c r="D973">
        <v>771</v>
      </c>
      <c r="E973">
        <v>195</v>
      </c>
      <c r="F973">
        <v>95</v>
      </c>
      <c r="G973">
        <v>103</v>
      </c>
      <c r="H973">
        <v>210</v>
      </c>
      <c r="I973">
        <v>168</v>
      </c>
      <c r="J973">
        <v>153</v>
      </c>
      <c r="K973">
        <v>247</v>
      </c>
      <c r="L973">
        <v>371</v>
      </c>
      <c r="M973">
        <v>710</v>
      </c>
      <c r="N973">
        <v>61</v>
      </c>
      <c r="O973" t="s">
        <v>3056</v>
      </c>
      <c r="P973" s="1" t="b">
        <f>NOT(OR(Table1[[#This Row],[State]]="Other Foreign Countries", Table1[[#This Row],[State]]="Unknown", Table1[[#This Row],[State]]="Puerto Rico all counties"))</f>
        <v>1</v>
      </c>
    </row>
    <row r="974" spans="1:16" x14ac:dyDescent="0.25">
      <c r="A974">
        <v>37069</v>
      </c>
      <c r="B974" t="s">
        <v>3121</v>
      </c>
      <c r="C974" t="s">
        <v>74</v>
      </c>
      <c r="D974">
        <v>1821</v>
      </c>
      <c r="E974">
        <v>279</v>
      </c>
      <c r="F974">
        <v>185</v>
      </c>
      <c r="G974">
        <v>191</v>
      </c>
      <c r="H974">
        <v>592</v>
      </c>
      <c r="I974">
        <v>574</v>
      </c>
      <c r="J974">
        <v>525</v>
      </c>
      <c r="K974">
        <v>639</v>
      </c>
      <c r="L974">
        <v>657</v>
      </c>
      <c r="M974" s="1">
        <v>1584</v>
      </c>
      <c r="N974">
        <v>237</v>
      </c>
      <c r="O974" t="s">
        <v>3180</v>
      </c>
      <c r="P974" s="1" t="b">
        <f>NOT(OR(Table1[[#This Row],[State]]="Other Foreign Countries", Table1[[#This Row],[State]]="Unknown", Table1[[#This Row],[State]]="Puerto Rico all counties"))</f>
        <v>1</v>
      </c>
    </row>
    <row r="975" spans="1:16" x14ac:dyDescent="0.25">
      <c r="A975">
        <v>39049</v>
      </c>
      <c r="B975" t="s">
        <v>1343</v>
      </c>
      <c r="C975" t="s">
        <v>74</v>
      </c>
      <c r="D975">
        <v>14582</v>
      </c>
      <c r="E975" s="1">
        <v>3469</v>
      </c>
      <c r="F975" s="1">
        <v>1996</v>
      </c>
      <c r="G975" s="1">
        <v>1989</v>
      </c>
      <c r="H975" s="1">
        <v>4148</v>
      </c>
      <c r="I975" s="1">
        <v>2980</v>
      </c>
      <c r="J975" s="1">
        <v>4908</v>
      </c>
      <c r="K975" s="1">
        <v>4495</v>
      </c>
      <c r="L975" s="1">
        <v>5179</v>
      </c>
      <c r="M975" s="1">
        <v>12596</v>
      </c>
      <c r="N975" s="1">
        <v>1985</v>
      </c>
      <c r="O975" t="s">
        <v>3407</v>
      </c>
      <c r="P975" s="1" t="b">
        <f>NOT(OR(Table1[[#This Row],[State]]="Other Foreign Countries", Table1[[#This Row],[State]]="Unknown", Table1[[#This Row],[State]]="Puerto Rico all counties"))</f>
        <v>1</v>
      </c>
    </row>
    <row r="976" spans="1:16" x14ac:dyDescent="0.25">
      <c r="A976">
        <v>42055</v>
      </c>
      <c r="B976" t="s">
        <v>3665</v>
      </c>
      <c r="C976" t="s">
        <v>74</v>
      </c>
      <c r="D976">
        <v>3011</v>
      </c>
      <c r="E976">
        <v>652</v>
      </c>
      <c r="F976">
        <v>420</v>
      </c>
      <c r="G976">
        <v>404</v>
      </c>
      <c r="H976">
        <v>867</v>
      </c>
      <c r="I976">
        <v>668</v>
      </c>
      <c r="J976">
        <v>829</v>
      </c>
      <c r="K976" s="1">
        <v>1016</v>
      </c>
      <c r="L976" s="1">
        <v>1166</v>
      </c>
      <c r="M976" s="1">
        <v>2676</v>
      </c>
      <c r="N976">
        <v>335</v>
      </c>
      <c r="O976" t="s">
        <v>3706</v>
      </c>
      <c r="P976" s="1" t="b">
        <f>NOT(OR(Table1[[#This Row],[State]]="Other Foreign Countries", Table1[[#This Row],[State]]="Unknown", Table1[[#This Row],[State]]="Puerto Rico all counties"))</f>
        <v>1</v>
      </c>
    </row>
    <row r="977" spans="1:16" x14ac:dyDescent="0.25">
      <c r="A977">
        <v>47051</v>
      </c>
      <c r="B977" t="s">
        <v>3951</v>
      </c>
      <c r="C977" t="s">
        <v>74</v>
      </c>
      <c r="D977">
        <v>1249</v>
      </c>
      <c r="E977">
        <v>226</v>
      </c>
      <c r="F977">
        <v>122</v>
      </c>
      <c r="G977">
        <v>163</v>
      </c>
      <c r="H977">
        <v>378</v>
      </c>
      <c r="I977">
        <v>360</v>
      </c>
      <c r="J977">
        <v>276</v>
      </c>
      <c r="K977">
        <v>443</v>
      </c>
      <c r="L977">
        <v>530</v>
      </c>
      <c r="M977" s="1">
        <v>1125</v>
      </c>
      <c r="N977">
        <v>123</v>
      </c>
      <c r="O977" t="s">
        <v>3985</v>
      </c>
      <c r="P977" s="1" t="b">
        <f>NOT(OR(Table1[[#This Row],[State]]="Other Foreign Countries", Table1[[#This Row],[State]]="Unknown", Table1[[#This Row],[State]]="Puerto Rico all counties"))</f>
        <v>1</v>
      </c>
    </row>
    <row r="978" spans="1:16" x14ac:dyDescent="0.25">
      <c r="A978">
        <v>48159</v>
      </c>
      <c r="B978" t="s">
        <v>2654</v>
      </c>
      <c r="C978" t="s">
        <v>74</v>
      </c>
      <c r="D978">
        <v>226</v>
      </c>
      <c r="E978">
        <v>34</v>
      </c>
      <c r="F978">
        <v>28</v>
      </c>
      <c r="G978">
        <v>32</v>
      </c>
      <c r="H978">
        <v>71</v>
      </c>
      <c r="I978">
        <v>61</v>
      </c>
      <c r="J978">
        <v>56</v>
      </c>
      <c r="K978">
        <v>71</v>
      </c>
      <c r="L978">
        <v>99</v>
      </c>
      <c r="M978">
        <v>205</v>
      </c>
      <c r="N978">
        <v>21</v>
      </c>
      <c r="O978" t="s">
        <v>4206</v>
      </c>
      <c r="P978" s="1" t="b">
        <f>NOT(OR(Table1[[#This Row],[State]]="Other Foreign Countries", Table1[[#This Row],[State]]="Unknown", Table1[[#This Row],[State]]="Puerto Rico all counties"))</f>
        <v>1</v>
      </c>
    </row>
    <row r="979" spans="1:16" x14ac:dyDescent="0.25">
      <c r="A979">
        <v>50011</v>
      </c>
      <c r="B979" t="s">
        <v>4531</v>
      </c>
      <c r="C979" t="s">
        <v>74</v>
      </c>
      <c r="D979">
        <v>959</v>
      </c>
      <c r="E979">
        <v>190</v>
      </c>
      <c r="F979">
        <v>106</v>
      </c>
      <c r="G979">
        <v>122</v>
      </c>
      <c r="H979">
        <v>322</v>
      </c>
      <c r="I979">
        <v>219</v>
      </c>
      <c r="J979">
        <v>267</v>
      </c>
      <c r="K979">
        <v>353</v>
      </c>
      <c r="L979">
        <v>339</v>
      </c>
      <c r="M979">
        <v>874</v>
      </c>
      <c r="N979">
        <v>85</v>
      </c>
      <c r="O979" t="s">
        <v>4541</v>
      </c>
      <c r="P979" s="1" t="b">
        <f>NOT(OR(Table1[[#This Row],[State]]="Other Foreign Countries", Table1[[#This Row],[State]]="Unknown", Table1[[#This Row],[State]]="Puerto Rico all counties"))</f>
        <v>1</v>
      </c>
    </row>
    <row r="980" spans="1:16" x14ac:dyDescent="0.25">
      <c r="A980">
        <v>51067</v>
      </c>
      <c r="B980" t="s">
        <v>4555</v>
      </c>
      <c r="C980" t="s">
        <v>74</v>
      </c>
      <c r="D980">
        <v>1271</v>
      </c>
      <c r="E980">
        <v>245</v>
      </c>
      <c r="F980">
        <v>132</v>
      </c>
      <c r="G980">
        <v>161</v>
      </c>
      <c r="H980">
        <v>396</v>
      </c>
      <c r="I980">
        <v>337</v>
      </c>
      <c r="J980">
        <v>244</v>
      </c>
      <c r="K980">
        <v>409</v>
      </c>
      <c r="L980">
        <v>618</v>
      </c>
      <c r="M980" s="1">
        <v>1150</v>
      </c>
      <c r="N980">
        <v>121</v>
      </c>
      <c r="O980" t="s">
        <v>4605</v>
      </c>
      <c r="P980" s="1" t="b">
        <f>NOT(OR(Table1[[#This Row],[State]]="Other Foreign Countries", Table1[[#This Row],[State]]="Unknown", Table1[[#This Row],[State]]="Puerto Rico all counties"))</f>
        <v>1</v>
      </c>
    </row>
    <row r="981" spans="1:16" x14ac:dyDescent="0.25">
      <c r="A981">
        <v>53021</v>
      </c>
      <c r="B981" t="s">
        <v>144</v>
      </c>
      <c r="C981" t="s">
        <v>74</v>
      </c>
      <c r="D981">
        <v>1243</v>
      </c>
      <c r="E981">
        <v>301</v>
      </c>
      <c r="F981">
        <v>139</v>
      </c>
      <c r="G981">
        <v>145</v>
      </c>
      <c r="H981">
        <v>366</v>
      </c>
      <c r="I981">
        <v>292</v>
      </c>
      <c r="J981">
        <v>464</v>
      </c>
      <c r="K981">
        <v>349</v>
      </c>
      <c r="L981">
        <v>430</v>
      </c>
      <c r="M981" s="1">
        <v>1127</v>
      </c>
      <c r="N981">
        <v>116</v>
      </c>
      <c r="O981" t="s">
        <v>4787</v>
      </c>
      <c r="P981" s="1" t="b">
        <f>NOT(OR(Table1[[#This Row],[State]]="Other Foreign Countries", Table1[[#This Row],[State]]="Unknown", Table1[[#This Row],[State]]="Puerto Rico all counties"))</f>
        <v>1</v>
      </c>
    </row>
    <row r="982" spans="1:16" x14ac:dyDescent="0.25">
      <c r="A982">
        <v>51620</v>
      </c>
      <c r="B982" t="s">
        <v>4555</v>
      </c>
      <c r="C982" t="s">
        <v>4718</v>
      </c>
      <c r="D982">
        <v>239</v>
      </c>
      <c r="E982">
        <v>39</v>
      </c>
      <c r="F982">
        <v>25</v>
      </c>
      <c r="G982">
        <v>20</v>
      </c>
      <c r="H982">
        <v>83</v>
      </c>
      <c r="I982">
        <v>72</v>
      </c>
      <c r="J982">
        <v>79</v>
      </c>
      <c r="K982">
        <v>87</v>
      </c>
      <c r="L982">
        <v>73</v>
      </c>
      <c r="M982">
        <v>186</v>
      </c>
      <c r="N982">
        <v>53</v>
      </c>
      <c r="O982" t="s">
        <v>4719</v>
      </c>
      <c r="P982" s="1" t="b">
        <f>NOT(OR(Table1[[#This Row],[State]]="Other Foreign Countries", Table1[[#This Row],[State]]="Unknown", Table1[[#This Row],[State]]="Puerto Rico all counties"))</f>
        <v>1</v>
      </c>
    </row>
    <row r="983" spans="1:16" x14ac:dyDescent="0.25">
      <c r="A983">
        <v>24021</v>
      </c>
      <c r="B983" t="s">
        <v>2031</v>
      </c>
      <c r="C983" t="s">
        <v>2049</v>
      </c>
      <c r="D983">
        <v>5865</v>
      </c>
      <c r="E983" s="1">
        <v>1007</v>
      </c>
      <c r="F983">
        <v>606</v>
      </c>
      <c r="G983">
        <v>727</v>
      </c>
      <c r="H983" s="1">
        <v>1739</v>
      </c>
      <c r="I983" s="1">
        <v>1786</v>
      </c>
      <c r="J983" s="1">
        <v>2006</v>
      </c>
      <c r="K983" s="1">
        <v>2346</v>
      </c>
      <c r="L983" s="1">
        <v>1513</v>
      </c>
      <c r="M983" s="1">
        <v>4882</v>
      </c>
      <c r="N983">
        <v>983</v>
      </c>
      <c r="O983" t="s">
        <v>2050</v>
      </c>
      <c r="P983" s="1" t="b">
        <f>NOT(OR(Table1[[#This Row],[State]]="Other Foreign Countries", Table1[[#This Row],[State]]="Unknown", Table1[[#This Row],[State]]="Puerto Rico all counties"))</f>
        <v>1</v>
      </c>
    </row>
    <row r="984" spans="1:16" x14ac:dyDescent="0.25">
      <c r="A984">
        <v>51069</v>
      </c>
      <c r="B984" t="s">
        <v>4555</v>
      </c>
      <c r="C984" t="s">
        <v>2049</v>
      </c>
      <c r="D984">
        <v>2136</v>
      </c>
      <c r="E984">
        <v>425</v>
      </c>
      <c r="F984">
        <v>253</v>
      </c>
      <c r="G984">
        <v>260</v>
      </c>
      <c r="H984">
        <v>584</v>
      </c>
      <c r="I984">
        <v>614</v>
      </c>
      <c r="J984">
        <v>633</v>
      </c>
      <c r="K984">
        <v>750</v>
      </c>
      <c r="L984">
        <v>753</v>
      </c>
      <c r="M984" s="1">
        <v>1893</v>
      </c>
      <c r="N984">
        <v>243</v>
      </c>
      <c r="O984" t="s">
        <v>4606</v>
      </c>
      <c r="P984" s="1" t="b">
        <f>NOT(OR(Table1[[#This Row],[State]]="Other Foreign Countries", Table1[[#This Row],[State]]="Unknown", Table1[[#This Row],[State]]="Puerto Rico all counties"))</f>
        <v>1</v>
      </c>
    </row>
    <row r="985" spans="1:16" x14ac:dyDescent="0.25">
      <c r="A985">
        <v>51630</v>
      </c>
      <c r="B985" t="s">
        <v>4555</v>
      </c>
      <c r="C985" t="s">
        <v>4720</v>
      </c>
      <c r="D985">
        <v>1053</v>
      </c>
      <c r="E985">
        <v>136</v>
      </c>
      <c r="F985">
        <v>123</v>
      </c>
      <c r="G985">
        <v>121</v>
      </c>
      <c r="H985">
        <v>309</v>
      </c>
      <c r="I985">
        <v>364</v>
      </c>
      <c r="J985">
        <v>364</v>
      </c>
      <c r="K985">
        <v>492</v>
      </c>
      <c r="L985">
        <v>197</v>
      </c>
      <c r="M985">
        <v>855</v>
      </c>
      <c r="N985">
        <v>198</v>
      </c>
      <c r="O985" t="s">
        <v>4721</v>
      </c>
      <c r="P985" s="1" t="b">
        <f>NOT(OR(Table1[[#This Row],[State]]="Other Foreign Countries", Table1[[#This Row],[State]]="Unknown", Table1[[#This Row],[State]]="Puerto Rico all counties"))</f>
        <v>1</v>
      </c>
    </row>
    <row r="986" spans="1:16" x14ac:dyDescent="0.25">
      <c r="A986">
        <v>27047</v>
      </c>
      <c r="B986" t="s">
        <v>2245</v>
      </c>
      <c r="C986" t="s">
        <v>2283</v>
      </c>
      <c r="D986">
        <v>866</v>
      </c>
      <c r="E986">
        <v>361</v>
      </c>
      <c r="F986">
        <v>102</v>
      </c>
      <c r="G986">
        <v>86</v>
      </c>
      <c r="H986">
        <v>183</v>
      </c>
      <c r="I986">
        <v>134</v>
      </c>
      <c r="J986">
        <v>118</v>
      </c>
      <c r="K986">
        <v>186</v>
      </c>
      <c r="L986">
        <v>562</v>
      </c>
      <c r="M986">
        <v>822</v>
      </c>
      <c r="N986">
        <v>40</v>
      </c>
      <c r="O986" t="s">
        <v>2284</v>
      </c>
      <c r="P986" s="1" t="b">
        <f>NOT(OR(Table1[[#This Row],[State]]="Other Foreign Countries", Table1[[#This Row],[State]]="Unknown", Table1[[#This Row],[State]]="Puerto Rico all counties"))</f>
        <v>1</v>
      </c>
    </row>
    <row r="987" spans="1:16" x14ac:dyDescent="0.25">
      <c r="A987">
        <v>48161</v>
      </c>
      <c r="B987" t="s">
        <v>2654</v>
      </c>
      <c r="C987" t="s">
        <v>4207</v>
      </c>
      <c r="D987">
        <v>491</v>
      </c>
      <c r="E987">
        <v>94</v>
      </c>
      <c r="F987">
        <v>58</v>
      </c>
      <c r="G987">
        <v>56</v>
      </c>
      <c r="H987">
        <v>154</v>
      </c>
      <c r="I987">
        <v>129</v>
      </c>
      <c r="J987">
        <v>110</v>
      </c>
      <c r="K987">
        <v>136</v>
      </c>
      <c r="L987">
        <v>245</v>
      </c>
      <c r="M987">
        <v>433</v>
      </c>
      <c r="N987">
        <v>57</v>
      </c>
      <c r="O987" t="s">
        <v>4208</v>
      </c>
      <c r="P987" s="1" t="b">
        <f>NOT(OR(Table1[[#This Row],[State]]="Other Foreign Countries", Table1[[#This Row],[State]]="Unknown", Table1[[#This Row],[State]]="Puerto Rico all counties"))</f>
        <v>1</v>
      </c>
    </row>
    <row r="988" spans="1:16" x14ac:dyDescent="0.25">
      <c r="A988">
        <v>8043</v>
      </c>
      <c r="B988" t="s">
        <v>489</v>
      </c>
      <c r="C988" t="s">
        <v>534</v>
      </c>
      <c r="D988">
        <v>1660</v>
      </c>
      <c r="E988">
        <v>317</v>
      </c>
      <c r="F988">
        <v>182</v>
      </c>
      <c r="G988">
        <v>204</v>
      </c>
      <c r="H988">
        <v>498</v>
      </c>
      <c r="I988">
        <v>459</v>
      </c>
      <c r="J988">
        <v>418</v>
      </c>
      <c r="K988">
        <v>523</v>
      </c>
      <c r="L988">
        <v>719</v>
      </c>
      <c r="M988" s="1">
        <v>1472</v>
      </c>
      <c r="N988">
        <v>188</v>
      </c>
      <c r="O988" t="s">
        <v>535</v>
      </c>
      <c r="P988" s="1" t="b">
        <f>NOT(OR(Table1[[#This Row],[State]]="Other Foreign Countries", Table1[[#This Row],[State]]="Unknown", Table1[[#This Row],[State]]="Puerto Rico all counties"))</f>
        <v>1</v>
      </c>
    </row>
    <row r="989" spans="1:16" x14ac:dyDescent="0.25">
      <c r="A989">
        <v>16043</v>
      </c>
      <c r="B989" t="s">
        <v>1032</v>
      </c>
      <c r="C989" t="s">
        <v>534</v>
      </c>
      <c r="D989">
        <v>262</v>
      </c>
      <c r="E989">
        <v>67</v>
      </c>
      <c r="F989">
        <v>32</v>
      </c>
      <c r="G989">
        <v>36</v>
      </c>
      <c r="H989">
        <v>68</v>
      </c>
      <c r="I989">
        <v>59</v>
      </c>
      <c r="J989">
        <v>48</v>
      </c>
      <c r="K989">
        <v>59</v>
      </c>
      <c r="L989">
        <v>155</v>
      </c>
      <c r="M989">
        <v>246</v>
      </c>
      <c r="N989">
        <v>16</v>
      </c>
      <c r="O989" t="s">
        <v>1069</v>
      </c>
      <c r="P989" s="1" t="b">
        <f>NOT(OR(Table1[[#This Row],[State]]="Other Foreign Countries", Table1[[#This Row],[State]]="Unknown", Table1[[#This Row],[State]]="Puerto Rico all counties"))</f>
        <v>1</v>
      </c>
    </row>
    <row r="990" spans="1:16" x14ac:dyDescent="0.25">
      <c r="A990">
        <v>19071</v>
      </c>
      <c r="B990" t="s">
        <v>1399</v>
      </c>
      <c r="C990" t="s">
        <v>534</v>
      </c>
      <c r="D990">
        <v>213</v>
      </c>
      <c r="E990">
        <v>57</v>
      </c>
      <c r="F990">
        <v>24</v>
      </c>
      <c r="G990">
        <v>28</v>
      </c>
      <c r="H990">
        <v>60</v>
      </c>
      <c r="I990">
        <v>44</v>
      </c>
      <c r="J990">
        <v>41</v>
      </c>
      <c r="K990">
        <v>67</v>
      </c>
      <c r="L990">
        <v>105</v>
      </c>
      <c r="M990">
        <v>199</v>
      </c>
      <c r="N990">
        <v>14</v>
      </c>
      <c r="O990" t="s">
        <v>1451</v>
      </c>
      <c r="P990" s="1" t="b">
        <f>NOT(OR(Table1[[#This Row],[State]]="Other Foreign Countries", Table1[[#This Row],[State]]="Unknown", Table1[[#This Row],[State]]="Puerto Rico all counties"))</f>
        <v>1</v>
      </c>
    </row>
    <row r="991" spans="1:16" x14ac:dyDescent="0.25">
      <c r="A991">
        <v>56013</v>
      </c>
      <c r="B991" t="s">
        <v>3117</v>
      </c>
      <c r="C991" t="s">
        <v>534</v>
      </c>
      <c r="D991">
        <v>825</v>
      </c>
      <c r="E991">
        <v>208</v>
      </c>
      <c r="F991">
        <v>105</v>
      </c>
      <c r="G991">
        <v>105</v>
      </c>
      <c r="H991">
        <v>208</v>
      </c>
      <c r="I991">
        <v>199</v>
      </c>
      <c r="J991">
        <v>189</v>
      </c>
      <c r="K991">
        <v>256</v>
      </c>
      <c r="L991">
        <v>380</v>
      </c>
      <c r="M991">
        <v>751</v>
      </c>
      <c r="N991">
        <v>74</v>
      </c>
      <c r="O991" t="s">
        <v>5020</v>
      </c>
      <c r="P991" s="1" t="b">
        <f>NOT(OR(Table1[[#This Row],[State]]="Other Foreign Countries", Table1[[#This Row],[State]]="Unknown", Table1[[#This Row],[State]]="Puerto Rico all counties"))</f>
        <v>1</v>
      </c>
    </row>
    <row r="992" spans="1:16" x14ac:dyDescent="0.25">
      <c r="A992">
        <v>6019</v>
      </c>
      <c r="B992" t="s">
        <v>374</v>
      </c>
      <c r="C992" t="s">
        <v>393</v>
      </c>
      <c r="D992">
        <v>12882</v>
      </c>
      <c r="E992" s="1">
        <v>3248</v>
      </c>
      <c r="F992" s="1">
        <v>1250</v>
      </c>
      <c r="G992" s="1">
        <v>1455</v>
      </c>
      <c r="H992" s="1">
        <v>3856</v>
      </c>
      <c r="I992" s="1">
        <v>3073</v>
      </c>
      <c r="J992" s="1">
        <v>4153</v>
      </c>
      <c r="K992" s="1">
        <v>3353</v>
      </c>
      <c r="L992" s="1">
        <v>5376</v>
      </c>
      <c r="M992" s="1">
        <v>11773</v>
      </c>
      <c r="N992" s="1">
        <v>1109</v>
      </c>
      <c r="O992" t="s">
        <v>394</v>
      </c>
      <c r="P992" s="1" t="b">
        <f>NOT(OR(Table1[[#This Row],[State]]="Other Foreign Countries", Table1[[#This Row],[State]]="Unknown", Table1[[#This Row],[State]]="Puerto Rico all counties"))</f>
        <v>1</v>
      </c>
    </row>
    <row r="993" spans="1:16" x14ac:dyDescent="0.25">
      <c r="A993">
        <v>48163</v>
      </c>
      <c r="B993" t="s">
        <v>2654</v>
      </c>
      <c r="C993" t="s">
        <v>4209</v>
      </c>
      <c r="D993">
        <v>265</v>
      </c>
      <c r="E993">
        <v>50</v>
      </c>
      <c r="F993">
        <v>23</v>
      </c>
      <c r="G993">
        <v>28</v>
      </c>
      <c r="H993">
        <v>83</v>
      </c>
      <c r="I993">
        <v>81</v>
      </c>
      <c r="J993">
        <v>76</v>
      </c>
      <c r="K993">
        <v>90</v>
      </c>
      <c r="L993">
        <v>99</v>
      </c>
      <c r="M993">
        <v>229</v>
      </c>
      <c r="N993">
        <v>36</v>
      </c>
      <c r="O993" t="s">
        <v>4210</v>
      </c>
      <c r="P993" s="1" t="b">
        <f>NOT(OR(Table1[[#This Row],[State]]="Other Foreign Countries", Table1[[#This Row],[State]]="Unknown", Table1[[#This Row],[State]]="Puerto Rico all counties"))</f>
        <v>1</v>
      </c>
    </row>
    <row r="994" spans="1:16" x14ac:dyDescent="0.25">
      <c r="A994">
        <v>31063</v>
      </c>
      <c r="B994" t="s">
        <v>2758</v>
      </c>
      <c r="C994" t="s">
        <v>2803</v>
      </c>
      <c r="D994">
        <v>58</v>
      </c>
      <c r="E994">
        <v>16</v>
      </c>
      <c r="H994">
        <v>16</v>
      </c>
      <c r="I994">
        <v>11</v>
      </c>
      <c r="J994">
        <v>12</v>
      </c>
      <c r="K994">
        <v>14</v>
      </c>
      <c r="L994">
        <v>32</v>
      </c>
      <c r="O994" t="s">
        <v>2804</v>
      </c>
      <c r="P994" s="1" t="b">
        <f>NOT(OR(Table1[[#This Row],[State]]="Other Foreign Countries", Table1[[#This Row],[State]]="Unknown", Table1[[#This Row],[State]]="Puerto Rico all counties"))</f>
        <v>1</v>
      </c>
    </row>
    <row r="995" spans="1:16" x14ac:dyDescent="0.25">
      <c r="A995">
        <v>5049</v>
      </c>
      <c r="B995" t="s">
        <v>242</v>
      </c>
      <c r="C995" t="s">
        <v>285</v>
      </c>
      <c r="D995">
        <v>436</v>
      </c>
      <c r="E995">
        <v>94</v>
      </c>
      <c r="F995">
        <v>42</v>
      </c>
      <c r="G995">
        <v>48</v>
      </c>
      <c r="H995">
        <v>135</v>
      </c>
      <c r="I995">
        <v>117</v>
      </c>
      <c r="J995">
        <v>80</v>
      </c>
      <c r="K995">
        <v>144</v>
      </c>
      <c r="L995">
        <v>212</v>
      </c>
      <c r="M995">
        <v>405</v>
      </c>
      <c r="N995">
        <v>31</v>
      </c>
      <c r="O995" t="s">
        <v>286</v>
      </c>
      <c r="P995" s="1" t="b">
        <f>NOT(OR(Table1[[#This Row],[State]]="Other Foreign Countries", Table1[[#This Row],[State]]="Unknown", Table1[[#This Row],[State]]="Puerto Rico all counties"))</f>
        <v>1</v>
      </c>
    </row>
    <row r="996" spans="1:16" x14ac:dyDescent="0.25">
      <c r="A996">
        <v>13121</v>
      </c>
      <c r="B996" t="s">
        <v>754</v>
      </c>
      <c r="C996" t="s">
        <v>285</v>
      </c>
      <c r="D996">
        <v>15316</v>
      </c>
      <c r="E996" s="1">
        <v>2354</v>
      </c>
      <c r="F996" s="1">
        <v>1451</v>
      </c>
      <c r="G996" s="1">
        <v>1564</v>
      </c>
      <c r="H996" s="1">
        <v>4804</v>
      </c>
      <c r="I996" s="1">
        <v>5143</v>
      </c>
      <c r="J996" s="1">
        <v>5119</v>
      </c>
      <c r="K996" s="1">
        <v>5720</v>
      </c>
      <c r="L996" s="1">
        <v>4477</v>
      </c>
      <c r="M996" s="1">
        <v>11969</v>
      </c>
      <c r="N996" s="1">
        <v>3345</v>
      </c>
      <c r="O996" t="s">
        <v>857</v>
      </c>
      <c r="P996" s="1" t="b">
        <f>NOT(OR(Table1[[#This Row],[State]]="Other Foreign Countries", Table1[[#This Row],[State]]="Unknown", Table1[[#This Row],[State]]="Puerto Rico all counties"))</f>
        <v>1</v>
      </c>
    </row>
    <row r="997" spans="1:16" x14ac:dyDescent="0.25">
      <c r="A997">
        <v>17057</v>
      </c>
      <c r="B997" t="s">
        <v>1109</v>
      </c>
      <c r="C997" t="s">
        <v>285</v>
      </c>
      <c r="D997">
        <v>530</v>
      </c>
      <c r="E997">
        <v>105</v>
      </c>
      <c r="F997">
        <v>36</v>
      </c>
      <c r="G997">
        <v>60</v>
      </c>
      <c r="H997">
        <v>164</v>
      </c>
      <c r="I997">
        <v>165</v>
      </c>
      <c r="J997">
        <v>127</v>
      </c>
      <c r="K997">
        <v>187</v>
      </c>
      <c r="L997">
        <v>216</v>
      </c>
      <c r="M997">
        <v>490</v>
      </c>
      <c r="N997">
        <v>40</v>
      </c>
      <c r="O997" t="s">
        <v>1153</v>
      </c>
      <c r="P997" s="1" t="b">
        <f>NOT(OR(Table1[[#This Row],[State]]="Other Foreign Countries", Table1[[#This Row],[State]]="Unknown", Table1[[#This Row],[State]]="Puerto Rico all counties"))</f>
        <v>1</v>
      </c>
    </row>
    <row r="998" spans="1:16" x14ac:dyDescent="0.25">
      <c r="A998">
        <v>18049</v>
      </c>
      <c r="B998" t="s">
        <v>1266</v>
      </c>
      <c r="C998" t="s">
        <v>285</v>
      </c>
      <c r="D998">
        <v>490</v>
      </c>
      <c r="E998">
        <v>203</v>
      </c>
      <c r="F998">
        <v>59</v>
      </c>
      <c r="G998">
        <v>64</v>
      </c>
      <c r="H998">
        <v>105</v>
      </c>
      <c r="I998">
        <v>59</v>
      </c>
      <c r="J998">
        <v>74</v>
      </c>
      <c r="K998">
        <v>122</v>
      </c>
      <c r="L998">
        <v>294</v>
      </c>
      <c r="M998">
        <v>465</v>
      </c>
      <c r="N998">
        <v>24</v>
      </c>
      <c r="O998" t="s">
        <v>1299</v>
      </c>
      <c r="P998" s="1" t="b">
        <f>NOT(OR(Table1[[#This Row],[State]]="Other Foreign Countries", Table1[[#This Row],[State]]="Unknown", Table1[[#This Row],[State]]="Puerto Rico all counties"))</f>
        <v>1</v>
      </c>
    </row>
    <row r="999" spans="1:16" x14ac:dyDescent="0.25">
      <c r="A999">
        <v>21075</v>
      </c>
      <c r="B999" t="s">
        <v>1716</v>
      </c>
      <c r="C999" t="s">
        <v>285</v>
      </c>
      <c r="D999">
        <v>106</v>
      </c>
      <c r="E999">
        <v>26</v>
      </c>
      <c r="H999">
        <v>40</v>
      </c>
      <c r="I999">
        <v>23</v>
      </c>
      <c r="J999">
        <v>25</v>
      </c>
      <c r="K999">
        <v>26</v>
      </c>
      <c r="L999">
        <v>55</v>
      </c>
      <c r="O999" t="s">
        <v>1774</v>
      </c>
      <c r="P999" s="1" t="b">
        <f>NOT(OR(Table1[[#This Row],[State]]="Other Foreign Countries", Table1[[#This Row],[State]]="Unknown", Table1[[#This Row],[State]]="Puerto Rico all counties"))</f>
        <v>1</v>
      </c>
    </row>
    <row r="1000" spans="1:16" x14ac:dyDescent="0.25">
      <c r="A1000">
        <v>36035</v>
      </c>
      <c r="B1000" t="s">
        <v>3029</v>
      </c>
      <c r="C1000" t="s">
        <v>285</v>
      </c>
      <c r="D1000">
        <v>767</v>
      </c>
      <c r="E1000">
        <v>167</v>
      </c>
      <c r="F1000">
        <v>100</v>
      </c>
      <c r="G1000">
        <v>102</v>
      </c>
      <c r="H1000">
        <v>230</v>
      </c>
      <c r="I1000">
        <v>168</v>
      </c>
      <c r="J1000">
        <v>187</v>
      </c>
      <c r="K1000">
        <v>244</v>
      </c>
      <c r="L1000">
        <v>336</v>
      </c>
      <c r="M1000">
        <v>695</v>
      </c>
      <c r="N1000">
        <v>72</v>
      </c>
      <c r="O1000" t="s">
        <v>3057</v>
      </c>
      <c r="P1000" s="1" t="b">
        <f>NOT(OR(Table1[[#This Row],[State]]="Other Foreign Countries", Table1[[#This Row],[State]]="Unknown", Table1[[#This Row],[State]]="Puerto Rico all counties"))</f>
        <v>1</v>
      </c>
    </row>
    <row r="1001" spans="1:16" x14ac:dyDescent="0.25">
      <c r="A1001">
        <v>39051</v>
      </c>
      <c r="B1001" t="s">
        <v>1343</v>
      </c>
      <c r="C1001" t="s">
        <v>285</v>
      </c>
      <c r="D1001">
        <v>697</v>
      </c>
      <c r="E1001">
        <v>186</v>
      </c>
      <c r="F1001">
        <v>101</v>
      </c>
      <c r="G1001">
        <v>111</v>
      </c>
      <c r="H1001">
        <v>179</v>
      </c>
      <c r="I1001">
        <v>120</v>
      </c>
      <c r="J1001">
        <v>199</v>
      </c>
      <c r="K1001">
        <v>191</v>
      </c>
      <c r="L1001">
        <v>307</v>
      </c>
      <c r="M1001">
        <v>629</v>
      </c>
      <c r="N1001">
        <v>68</v>
      </c>
      <c r="O1001" t="s">
        <v>3408</v>
      </c>
      <c r="P1001" s="1" t="b">
        <f>NOT(OR(Table1[[#This Row],[State]]="Other Foreign Countries", Table1[[#This Row],[State]]="Unknown", Table1[[#This Row],[State]]="Puerto Rico all counties"))</f>
        <v>1</v>
      </c>
    </row>
    <row r="1002" spans="1:16" x14ac:dyDescent="0.25">
      <c r="A1002">
        <v>42057</v>
      </c>
      <c r="B1002" t="s">
        <v>3665</v>
      </c>
      <c r="C1002" t="s">
        <v>285</v>
      </c>
      <c r="D1002">
        <v>235</v>
      </c>
      <c r="E1002">
        <v>48</v>
      </c>
      <c r="F1002">
        <v>30</v>
      </c>
      <c r="G1002">
        <v>28</v>
      </c>
      <c r="H1002">
        <v>68</v>
      </c>
      <c r="I1002">
        <v>61</v>
      </c>
      <c r="J1002">
        <v>72</v>
      </c>
      <c r="K1002">
        <v>63</v>
      </c>
      <c r="L1002">
        <v>100</v>
      </c>
      <c r="M1002">
        <v>213</v>
      </c>
      <c r="N1002">
        <v>22</v>
      </c>
      <c r="O1002" t="s">
        <v>3707</v>
      </c>
      <c r="P1002" s="1" t="b">
        <f>NOT(OR(Table1[[#This Row],[State]]="Other Foreign Countries", Table1[[#This Row],[State]]="Unknown", Table1[[#This Row],[State]]="Puerto Rico all counties"))</f>
        <v>1</v>
      </c>
    </row>
    <row r="1003" spans="1:16" x14ac:dyDescent="0.25">
      <c r="A1003">
        <v>31065</v>
      </c>
      <c r="B1003" t="s">
        <v>2758</v>
      </c>
      <c r="C1003" t="s">
        <v>2805</v>
      </c>
      <c r="D1003">
        <v>167</v>
      </c>
      <c r="E1003">
        <v>70</v>
      </c>
      <c r="F1003">
        <v>22</v>
      </c>
      <c r="G1003">
        <v>17</v>
      </c>
      <c r="H1003">
        <v>39</v>
      </c>
      <c r="I1003">
        <v>19</v>
      </c>
      <c r="J1003">
        <v>15</v>
      </c>
      <c r="K1003">
        <v>40</v>
      </c>
      <c r="L1003">
        <v>112</v>
      </c>
      <c r="O1003" t="s">
        <v>2806</v>
      </c>
      <c r="P1003" s="1" t="b">
        <f>NOT(OR(Table1[[#This Row],[State]]="Other Foreign Countries", Table1[[#This Row],[State]]="Unknown", Table1[[#This Row],[State]]="Puerto Rico all counties"))</f>
        <v>1</v>
      </c>
    </row>
    <row r="1004" spans="1:16" x14ac:dyDescent="0.25">
      <c r="A1004">
        <v>12039</v>
      </c>
      <c r="B1004" t="s">
        <v>637</v>
      </c>
      <c r="C1004" t="s">
        <v>669</v>
      </c>
      <c r="D1004">
        <v>1143</v>
      </c>
      <c r="E1004">
        <v>184</v>
      </c>
      <c r="F1004">
        <v>106</v>
      </c>
      <c r="G1004">
        <v>136</v>
      </c>
      <c r="H1004">
        <v>350</v>
      </c>
      <c r="I1004">
        <v>367</v>
      </c>
      <c r="J1004">
        <v>195</v>
      </c>
      <c r="K1004">
        <v>399</v>
      </c>
      <c r="L1004">
        <v>549</v>
      </c>
      <c r="M1004">
        <v>992</v>
      </c>
      <c r="N1004">
        <v>151</v>
      </c>
      <c r="O1004" t="s">
        <v>670</v>
      </c>
      <c r="P1004" s="1" t="b">
        <f>NOT(OR(Table1[[#This Row],[State]]="Other Foreign Countries", Table1[[#This Row],[State]]="Unknown", Table1[[#This Row],[State]]="Puerto Rico all counties"))</f>
        <v>1</v>
      </c>
    </row>
    <row r="1005" spans="1:16" x14ac:dyDescent="0.25">
      <c r="A1005">
        <v>31067</v>
      </c>
      <c r="B1005" t="s">
        <v>2758</v>
      </c>
      <c r="C1005" t="s">
        <v>2807</v>
      </c>
      <c r="D1005">
        <v>706</v>
      </c>
      <c r="E1005">
        <v>259</v>
      </c>
      <c r="F1005">
        <v>93</v>
      </c>
      <c r="G1005">
        <v>91</v>
      </c>
      <c r="H1005">
        <v>143</v>
      </c>
      <c r="I1005">
        <v>120</v>
      </c>
      <c r="J1005">
        <v>129</v>
      </c>
      <c r="K1005">
        <v>204</v>
      </c>
      <c r="L1005">
        <v>373</v>
      </c>
      <c r="M1005">
        <v>660</v>
      </c>
      <c r="N1005">
        <v>46</v>
      </c>
      <c r="O1005" t="s">
        <v>2808</v>
      </c>
      <c r="P1005" s="1" t="b">
        <f>NOT(OR(Table1[[#This Row],[State]]="Other Foreign Countries", Table1[[#This Row],[State]]="Unknown", Table1[[#This Row],[State]]="Puerto Rico all counties"))</f>
        <v>1</v>
      </c>
    </row>
    <row r="1006" spans="1:16" x14ac:dyDescent="0.25">
      <c r="A1006">
        <v>48165</v>
      </c>
      <c r="B1006" t="s">
        <v>2654</v>
      </c>
      <c r="C1006" t="s">
        <v>4211</v>
      </c>
      <c r="D1006">
        <v>144</v>
      </c>
      <c r="E1006">
        <v>24</v>
      </c>
      <c r="F1006">
        <v>15</v>
      </c>
      <c r="G1006">
        <v>17</v>
      </c>
      <c r="H1006">
        <v>56</v>
      </c>
      <c r="I1006">
        <v>32</v>
      </c>
      <c r="J1006">
        <v>65</v>
      </c>
      <c r="K1006">
        <v>31</v>
      </c>
      <c r="L1006">
        <v>48</v>
      </c>
      <c r="M1006">
        <v>133</v>
      </c>
      <c r="N1006">
        <v>11</v>
      </c>
      <c r="O1006" t="s">
        <v>4212</v>
      </c>
      <c r="P1006" s="1" t="b">
        <f>NOT(OR(Table1[[#This Row],[State]]="Other Foreign Countries", Table1[[#This Row],[State]]="Unknown", Table1[[#This Row],[State]]="Puerto Rico all counties"))</f>
        <v>1</v>
      </c>
    </row>
    <row r="1007" spans="1:16" x14ac:dyDescent="0.25">
      <c r="A1007">
        <v>51640</v>
      </c>
      <c r="B1007" t="s">
        <v>4555</v>
      </c>
      <c r="C1007" t="s">
        <v>4722</v>
      </c>
      <c r="D1007">
        <v>104</v>
      </c>
      <c r="E1007">
        <v>18</v>
      </c>
      <c r="F1007">
        <v>14</v>
      </c>
      <c r="G1007">
        <v>15</v>
      </c>
      <c r="H1007">
        <v>26</v>
      </c>
      <c r="I1007">
        <v>31</v>
      </c>
      <c r="J1007">
        <v>24</v>
      </c>
      <c r="K1007">
        <v>31</v>
      </c>
      <c r="L1007">
        <v>49</v>
      </c>
      <c r="O1007" t="s">
        <v>4723</v>
      </c>
      <c r="P1007" s="1" t="b">
        <f>NOT(OR(Table1[[#This Row],[State]]="Other Foreign Countries", Table1[[#This Row],[State]]="Unknown", Table1[[#This Row],[State]]="Puerto Rico all counties"))</f>
        <v>1</v>
      </c>
    </row>
    <row r="1008" spans="1:16" x14ac:dyDescent="0.25">
      <c r="A1008">
        <v>17059</v>
      </c>
      <c r="B1008" t="s">
        <v>1109</v>
      </c>
      <c r="C1008" t="s">
        <v>1154</v>
      </c>
      <c r="D1008">
        <v>104</v>
      </c>
      <c r="E1008">
        <v>17</v>
      </c>
      <c r="F1008">
        <v>13</v>
      </c>
      <c r="G1008">
        <v>12</v>
      </c>
      <c r="H1008">
        <v>31</v>
      </c>
      <c r="I1008">
        <v>31</v>
      </c>
      <c r="J1008">
        <v>16</v>
      </c>
      <c r="K1008">
        <v>25</v>
      </c>
      <c r="L1008">
        <v>63</v>
      </c>
      <c r="O1008" t="s">
        <v>1155</v>
      </c>
      <c r="P1008" s="1" t="b">
        <f>NOT(OR(Table1[[#This Row],[State]]="Other Foreign Countries", Table1[[#This Row],[State]]="Unknown", Table1[[#This Row],[State]]="Puerto Rico all counties"))</f>
        <v>1</v>
      </c>
    </row>
    <row r="1009" spans="1:16" x14ac:dyDescent="0.25">
      <c r="A1009">
        <v>21077</v>
      </c>
      <c r="B1009" t="s">
        <v>1716</v>
      </c>
      <c r="C1009" t="s">
        <v>1154</v>
      </c>
      <c r="D1009">
        <v>146</v>
      </c>
      <c r="E1009">
        <v>40</v>
      </c>
      <c r="F1009">
        <v>27</v>
      </c>
      <c r="G1009">
        <v>28</v>
      </c>
      <c r="H1009">
        <v>30</v>
      </c>
      <c r="I1009">
        <v>21</v>
      </c>
      <c r="J1009">
        <v>33</v>
      </c>
      <c r="K1009">
        <v>48</v>
      </c>
      <c r="L1009">
        <v>65</v>
      </c>
      <c r="O1009" t="s">
        <v>1775</v>
      </c>
      <c r="P1009" s="1" t="b">
        <f>NOT(OR(Table1[[#This Row],[State]]="Other Foreign Countries", Table1[[#This Row],[State]]="Unknown", Table1[[#This Row],[State]]="Puerto Rico all counties"))</f>
        <v>1</v>
      </c>
    </row>
    <row r="1010" spans="1:16" x14ac:dyDescent="0.25">
      <c r="A1010">
        <v>30031</v>
      </c>
      <c r="B1010" t="s">
        <v>2665</v>
      </c>
      <c r="C1010" t="s">
        <v>1154</v>
      </c>
      <c r="D1010">
        <v>2158</v>
      </c>
      <c r="E1010">
        <v>537</v>
      </c>
      <c r="F1010">
        <v>260</v>
      </c>
      <c r="G1010">
        <v>267</v>
      </c>
      <c r="H1010">
        <v>593</v>
      </c>
      <c r="I1010">
        <v>501</v>
      </c>
      <c r="J1010">
        <v>830</v>
      </c>
      <c r="K1010">
        <v>605</v>
      </c>
      <c r="L1010">
        <v>723</v>
      </c>
      <c r="M1010" s="1">
        <v>1934</v>
      </c>
      <c r="N1010">
        <v>223</v>
      </c>
      <c r="O1010" t="s">
        <v>2692</v>
      </c>
      <c r="P1010" s="1" t="b">
        <f>NOT(OR(Table1[[#This Row],[State]]="Other Foreign Countries", Table1[[#This Row],[State]]="Unknown", Table1[[#This Row],[State]]="Puerto Rico all counties"))</f>
        <v>1</v>
      </c>
    </row>
    <row r="1011" spans="1:16" x14ac:dyDescent="0.25">
      <c r="A1011">
        <v>39053</v>
      </c>
      <c r="B1011" t="s">
        <v>1343</v>
      </c>
      <c r="C1011" t="s">
        <v>3409</v>
      </c>
      <c r="D1011">
        <v>630</v>
      </c>
      <c r="E1011">
        <v>166</v>
      </c>
      <c r="F1011">
        <v>67</v>
      </c>
      <c r="G1011">
        <v>83</v>
      </c>
      <c r="H1011">
        <v>167</v>
      </c>
      <c r="I1011">
        <v>147</v>
      </c>
      <c r="J1011">
        <v>128</v>
      </c>
      <c r="K1011">
        <v>199</v>
      </c>
      <c r="L1011">
        <v>303</v>
      </c>
      <c r="M1011">
        <v>588</v>
      </c>
      <c r="N1011">
        <v>42</v>
      </c>
      <c r="O1011" t="s">
        <v>3410</v>
      </c>
      <c r="P1011" s="1" t="b">
        <f>NOT(OR(Table1[[#This Row],[State]]="Other Foreign Countries", Table1[[#This Row],[State]]="Unknown", Table1[[#This Row],[State]]="Puerto Rico all counties"))</f>
        <v>1</v>
      </c>
    </row>
    <row r="1012" spans="1:16" x14ac:dyDescent="0.25">
      <c r="A1012">
        <v>48167</v>
      </c>
      <c r="B1012" t="s">
        <v>2654</v>
      </c>
      <c r="C1012" t="s">
        <v>4213</v>
      </c>
      <c r="D1012">
        <v>8038</v>
      </c>
      <c r="E1012" s="1">
        <v>1478</v>
      </c>
      <c r="F1012">
        <v>729</v>
      </c>
      <c r="G1012">
        <v>933</v>
      </c>
      <c r="H1012" s="1">
        <v>2406</v>
      </c>
      <c r="I1012" s="1">
        <v>2492</v>
      </c>
      <c r="J1012" s="1">
        <v>2676</v>
      </c>
      <c r="K1012" s="1">
        <v>2842</v>
      </c>
      <c r="L1012" s="1">
        <v>2520</v>
      </c>
      <c r="M1012" s="1">
        <v>7013</v>
      </c>
      <c r="N1012" s="1">
        <v>1021</v>
      </c>
      <c r="O1012" t="s">
        <v>4214</v>
      </c>
      <c r="P1012" s="1" t="b">
        <f>NOT(OR(Table1[[#This Row],[State]]="Other Foreign Countries", Table1[[#This Row],[State]]="Unknown", Table1[[#This Row],[State]]="Puerto Rico all counties"))</f>
        <v>1</v>
      </c>
    </row>
    <row r="1013" spans="1:16" x14ac:dyDescent="0.25">
      <c r="A1013">
        <v>31069</v>
      </c>
      <c r="B1013" t="s">
        <v>2758</v>
      </c>
      <c r="C1013" t="s">
        <v>2809</v>
      </c>
      <c r="D1013">
        <v>56</v>
      </c>
      <c r="E1013">
        <v>21</v>
      </c>
      <c r="G1013">
        <v>10</v>
      </c>
      <c r="J1013">
        <v>10</v>
      </c>
      <c r="K1013">
        <v>10</v>
      </c>
      <c r="L1013">
        <v>36</v>
      </c>
      <c r="O1013" t="s">
        <v>2810</v>
      </c>
      <c r="P1013" s="1" t="b">
        <f>NOT(OR(Table1[[#This Row],[State]]="Other Foreign Countries", Table1[[#This Row],[State]]="Unknown", Table1[[#This Row],[State]]="Puerto Rico all counties"))</f>
        <v>1</v>
      </c>
    </row>
    <row r="1014" spans="1:16" x14ac:dyDescent="0.25">
      <c r="A1014">
        <v>8045</v>
      </c>
      <c r="B1014" t="s">
        <v>489</v>
      </c>
      <c r="C1014" t="s">
        <v>536</v>
      </c>
      <c r="D1014">
        <v>689</v>
      </c>
      <c r="E1014">
        <v>195</v>
      </c>
      <c r="F1014">
        <v>103</v>
      </c>
      <c r="G1014">
        <v>98</v>
      </c>
      <c r="H1014">
        <v>171</v>
      </c>
      <c r="I1014">
        <v>122</v>
      </c>
      <c r="J1014">
        <v>183</v>
      </c>
      <c r="K1014">
        <v>185</v>
      </c>
      <c r="L1014">
        <v>321</v>
      </c>
      <c r="M1014">
        <v>629</v>
      </c>
      <c r="N1014">
        <v>60</v>
      </c>
      <c r="O1014" t="s">
        <v>537</v>
      </c>
      <c r="P1014" s="1" t="b">
        <f>NOT(OR(Table1[[#This Row],[State]]="Other Foreign Countries", Table1[[#This Row],[State]]="Unknown", Table1[[#This Row],[State]]="Puerto Rico all counties"))</f>
        <v>1</v>
      </c>
    </row>
    <row r="1015" spans="1:16" x14ac:dyDescent="0.25">
      <c r="A1015">
        <v>30033</v>
      </c>
      <c r="B1015" t="s">
        <v>2665</v>
      </c>
      <c r="C1015" t="s">
        <v>536</v>
      </c>
      <c r="D1015">
        <v>21</v>
      </c>
      <c r="O1015" t="s">
        <v>2693</v>
      </c>
      <c r="P1015" s="1" t="b">
        <f>NOT(OR(Table1[[#This Row],[State]]="Other Foreign Countries", Table1[[#This Row],[State]]="Unknown", Table1[[#This Row],[State]]="Puerto Rico all counties"))</f>
        <v>1</v>
      </c>
    </row>
    <row r="1016" spans="1:16" x14ac:dyDescent="0.25">
      <c r="A1016">
        <v>31071</v>
      </c>
      <c r="B1016" t="s">
        <v>2758</v>
      </c>
      <c r="C1016" t="s">
        <v>536</v>
      </c>
      <c r="D1016">
        <v>57</v>
      </c>
      <c r="E1016">
        <v>21</v>
      </c>
      <c r="I1016">
        <v>14</v>
      </c>
      <c r="L1016">
        <v>43</v>
      </c>
      <c r="O1016" t="s">
        <v>2811</v>
      </c>
      <c r="P1016" s="1" t="b">
        <f>NOT(OR(Table1[[#This Row],[State]]="Other Foreign Countries", Table1[[#This Row],[State]]="Unknown", Table1[[#This Row],[State]]="Puerto Rico all counties"))</f>
        <v>1</v>
      </c>
    </row>
    <row r="1017" spans="1:16" x14ac:dyDescent="0.25">
      <c r="A1017">
        <v>40047</v>
      </c>
      <c r="B1017" t="s">
        <v>3495</v>
      </c>
      <c r="C1017" t="s">
        <v>536</v>
      </c>
      <c r="D1017">
        <v>1651</v>
      </c>
      <c r="E1017">
        <v>333</v>
      </c>
      <c r="F1017">
        <v>176</v>
      </c>
      <c r="G1017">
        <v>202</v>
      </c>
      <c r="H1017">
        <v>509</v>
      </c>
      <c r="I1017">
        <v>431</v>
      </c>
      <c r="J1017">
        <v>498</v>
      </c>
      <c r="K1017">
        <v>543</v>
      </c>
      <c r="L1017">
        <v>610</v>
      </c>
      <c r="M1017" s="1">
        <v>1468</v>
      </c>
      <c r="N1017">
        <v>183</v>
      </c>
      <c r="O1017" t="s">
        <v>3530</v>
      </c>
      <c r="P1017" s="1" t="b">
        <f>NOT(OR(Table1[[#This Row],[State]]="Other Foreign Countries", Table1[[#This Row],[State]]="Unknown", Table1[[#This Row],[State]]="Puerto Rico all counties"))</f>
        <v>1</v>
      </c>
    </row>
    <row r="1018" spans="1:16" x14ac:dyDescent="0.25">
      <c r="A1018">
        <v>49017</v>
      </c>
      <c r="B1018" t="s">
        <v>4486</v>
      </c>
      <c r="C1018" t="s">
        <v>536</v>
      </c>
      <c r="D1018">
        <v>82</v>
      </c>
      <c r="E1018">
        <v>21</v>
      </c>
      <c r="F1018">
        <v>14</v>
      </c>
      <c r="G1018">
        <v>11</v>
      </c>
      <c r="H1018">
        <v>18</v>
      </c>
      <c r="I1018">
        <v>18</v>
      </c>
      <c r="L1018">
        <v>54</v>
      </c>
      <c r="O1018" t="s">
        <v>4500</v>
      </c>
      <c r="P1018" s="1" t="b">
        <f>NOT(OR(Table1[[#This Row],[State]]="Other Foreign Countries", Table1[[#This Row],[State]]="Unknown", Table1[[#This Row],[State]]="Puerto Rico all counties"))</f>
        <v>1</v>
      </c>
    </row>
    <row r="1019" spans="1:16" x14ac:dyDescent="0.25">
      <c r="A1019">
        <v>53023</v>
      </c>
      <c r="B1019" t="s">
        <v>144</v>
      </c>
      <c r="C1019" t="s">
        <v>536</v>
      </c>
      <c r="D1019">
        <v>76</v>
      </c>
      <c r="E1019">
        <v>22</v>
      </c>
      <c r="H1019">
        <v>20</v>
      </c>
      <c r="I1019">
        <v>18</v>
      </c>
      <c r="J1019">
        <v>11</v>
      </c>
      <c r="K1019">
        <v>20</v>
      </c>
      <c r="L1019">
        <v>45</v>
      </c>
      <c r="O1019" t="s">
        <v>4788</v>
      </c>
      <c r="P1019" s="1" t="b">
        <f>NOT(OR(Table1[[#This Row],[State]]="Other Foreign Countries", Table1[[#This Row],[State]]="Unknown", Table1[[#This Row],[State]]="Puerto Rico all counties"))</f>
        <v>1</v>
      </c>
    </row>
    <row r="1020" spans="1:16" x14ac:dyDescent="0.25">
      <c r="A1020">
        <v>5051</v>
      </c>
      <c r="B1020" t="s">
        <v>242</v>
      </c>
      <c r="C1020" t="s">
        <v>287</v>
      </c>
      <c r="D1020">
        <v>2395</v>
      </c>
      <c r="E1020">
        <v>459</v>
      </c>
      <c r="F1020">
        <v>244</v>
      </c>
      <c r="G1020">
        <v>299</v>
      </c>
      <c r="H1020">
        <v>751</v>
      </c>
      <c r="I1020">
        <v>642</v>
      </c>
      <c r="J1020">
        <v>453</v>
      </c>
      <c r="K1020">
        <v>806</v>
      </c>
      <c r="L1020" s="1">
        <v>1136</v>
      </c>
      <c r="M1020" s="1">
        <v>2131</v>
      </c>
      <c r="N1020">
        <v>264</v>
      </c>
      <c r="O1020" t="s">
        <v>288</v>
      </c>
      <c r="P1020" s="1" t="b">
        <f>NOT(OR(Table1[[#This Row],[State]]="Other Foreign Countries", Table1[[#This Row],[State]]="Unknown", Table1[[#This Row],[State]]="Puerto Rico all counties"))</f>
        <v>1</v>
      </c>
    </row>
    <row r="1021" spans="1:16" x14ac:dyDescent="0.25">
      <c r="A1021">
        <v>21079</v>
      </c>
      <c r="B1021" t="s">
        <v>1716</v>
      </c>
      <c r="C1021" t="s">
        <v>1776</v>
      </c>
      <c r="D1021">
        <v>400</v>
      </c>
      <c r="E1021">
        <v>72</v>
      </c>
      <c r="F1021">
        <v>42</v>
      </c>
      <c r="G1021">
        <v>55</v>
      </c>
      <c r="H1021">
        <v>140</v>
      </c>
      <c r="I1021">
        <v>91</v>
      </c>
      <c r="J1021">
        <v>101</v>
      </c>
      <c r="K1021">
        <v>151</v>
      </c>
      <c r="L1021">
        <v>148</v>
      </c>
      <c r="M1021">
        <v>356</v>
      </c>
      <c r="N1021">
        <v>44</v>
      </c>
      <c r="O1021" t="s">
        <v>1777</v>
      </c>
      <c r="P1021" s="1" t="b">
        <f>NOT(OR(Table1[[#This Row],[State]]="Other Foreign Countries", Table1[[#This Row],[State]]="Unknown", Table1[[#This Row],[State]]="Puerto Rico all counties"))</f>
        <v>1</v>
      </c>
    </row>
    <row r="1022" spans="1:16" x14ac:dyDescent="0.25">
      <c r="A1022">
        <v>24023</v>
      </c>
      <c r="B1022" t="s">
        <v>2031</v>
      </c>
      <c r="C1022" t="s">
        <v>2051</v>
      </c>
      <c r="D1022">
        <v>451</v>
      </c>
      <c r="E1022">
        <v>78</v>
      </c>
      <c r="F1022">
        <v>59</v>
      </c>
      <c r="G1022">
        <v>64</v>
      </c>
      <c r="H1022">
        <v>113</v>
      </c>
      <c r="I1022">
        <v>137</v>
      </c>
      <c r="J1022">
        <v>82</v>
      </c>
      <c r="K1022">
        <v>135</v>
      </c>
      <c r="L1022">
        <v>234</v>
      </c>
      <c r="M1022">
        <v>419</v>
      </c>
      <c r="N1022">
        <v>32</v>
      </c>
      <c r="O1022" t="s">
        <v>2052</v>
      </c>
      <c r="P1022" s="1" t="b">
        <f>NOT(OR(Table1[[#This Row],[State]]="Other Foreign Countries", Table1[[#This Row],[State]]="Unknown", Table1[[#This Row],[State]]="Puerto Rico all counties"))</f>
        <v>1</v>
      </c>
    </row>
    <row r="1023" spans="1:16" x14ac:dyDescent="0.25">
      <c r="A1023">
        <v>40049</v>
      </c>
      <c r="B1023" t="s">
        <v>3495</v>
      </c>
      <c r="C1023" t="s">
        <v>3531</v>
      </c>
      <c r="D1023">
        <v>708</v>
      </c>
      <c r="E1023">
        <v>132</v>
      </c>
      <c r="F1023">
        <v>65</v>
      </c>
      <c r="G1023">
        <v>87</v>
      </c>
      <c r="H1023">
        <v>227</v>
      </c>
      <c r="I1023">
        <v>197</v>
      </c>
      <c r="J1023">
        <v>158</v>
      </c>
      <c r="K1023">
        <v>164</v>
      </c>
      <c r="L1023">
        <v>386</v>
      </c>
      <c r="M1023">
        <v>648</v>
      </c>
      <c r="N1023">
        <v>59</v>
      </c>
      <c r="O1023" t="s">
        <v>3532</v>
      </c>
      <c r="P1023" s="1" t="b">
        <f>NOT(OR(Table1[[#This Row],[State]]="Other Foreign Countries", Table1[[#This Row],[State]]="Unknown", Table1[[#This Row],[State]]="Puerto Rico all counties"))</f>
        <v>1</v>
      </c>
    </row>
    <row r="1024" spans="1:16" x14ac:dyDescent="0.25">
      <c r="A1024">
        <v>48169</v>
      </c>
      <c r="B1024" t="s">
        <v>2654</v>
      </c>
      <c r="C1024" t="s">
        <v>4215</v>
      </c>
      <c r="D1024">
        <v>56</v>
      </c>
      <c r="E1024">
        <v>20</v>
      </c>
      <c r="H1024">
        <v>19</v>
      </c>
      <c r="J1024">
        <v>11</v>
      </c>
      <c r="K1024">
        <v>19</v>
      </c>
      <c r="L1024">
        <v>26</v>
      </c>
      <c r="O1024" t="s">
        <v>4216</v>
      </c>
      <c r="P1024" s="1" t="b">
        <f>NOT(OR(Table1[[#This Row],[State]]="Other Foreign Countries", Table1[[#This Row],[State]]="Unknown", Table1[[#This Row],[State]]="Puerto Rico all counties"))</f>
        <v>1</v>
      </c>
    </row>
    <row r="1025" spans="1:16" x14ac:dyDescent="0.25">
      <c r="A1025">
        <v>29073</v>
      </c>
      <c r="B1025" t="s">
        <v>2510</v>
      </c>
      <c r="C1025" t="s">
        <v>2558</v>
      </c>
      <c r="D1025">
        <v>349</v>
      </c>
      <c r="E1025">
        <v>103</v>
      </c>
      <c r="F1025">
        <v>44</v>
      </c>
      <c r="G1025">
        <v>43</v>
      </c>
      <c r="H1025">
        <v>91</v>
      </c>
      <c r="I1025">
        <v>68</v>
      </c>
      <c r="J1025">
        <v>69</v>
      </c>
      <c r="K1025">
        <v>91</v>
      </c>
      <c r="L1025">
        <v>189</v>
      </c>
      <c r="M1025">
        <v>319</v>
      </c>
      <c r="N1025">
        <v>30</v>
      </c>
      <c r="O1025" t="s">
        <v>2559</v>
      </c>
      <c r="P1025" s="1" t="b">
        <f>NOT(OR(Table1[[#This Row],[State]]="Other Foreign Countries", Table1[[#This Row],[State]]="Unknown", Table1[[#This Row],[State]]="Puerto Rico all counties"))</f>
        <v>1</v>
      </c>
    </row>
    <row r="1026" spans="1:16" x14ac:dyDescent="0.25">
      <c r="A1026">
        <v>37071</v>
      </c>
      <c r="B1026" t="s">
        <v>3121</v>
      </c>
      <c r="C1026" t="s">
        <v>3181</v>
      </c>
      <c r="D1026">
        <v>4496</v>
      </c>
      <c r="E1026">
        <v>734</v>
      </c>
      <c r="F1026">
        <v>437</v>
      </c>
      <c r="G1026">
        <v>514</v>
      </c>
      <c r="H1026" s="1">
        <v>1403</v>
      </c>
      <c r="I1026" s="1">
        <v>1408</v>
      </c>
      <c r="J1026" s="1">
        <v>1395</v>
      </c>
      <c r="K1026" s="1">
        <v>1366</v>
      </c>
      <c r="L1026" s="1">
        <v>1735</v>
      </c>
      <c r="M1026" s="1">
        <v>3900</v>
      </c>
      <c r="N1026">
        <v>596</v>
      </c>
      <c r="O1026" t="s">
        <v>3182</v>
      </c>
      <c r="P1026" s="1" t="b">
        <f>NOT(OR(Table1[[#This Row],[State]]="Other Foreign Countries", Table1[[#This Row],[State]]="Unknown", Table1[[#This Row],[State]]="Puerto Rico all counties"))</f>
        <v>1</v>
      </c>
    </row>
    <row r="1027" spans="1:16" x14ac:dyDescent="0.25">
      <c r="A1027">
        <v>37073</v>
      </c>
      <c r="B1027" t="s">
        <v>3121</v>
      </c>
      <c r="C1027" t="s">
        <v>3183</v>
      </c>
      <c r="D1027">
        <v>361</v>
      </c>
      <c r="E1027">
        <v>59</v>
      </c>
      <c r="F1027">
        <v>36</v>
      </c>
      <c r="G1027">
        <v>52</v>
      </c>
      <c r="H1027">
        <v>104</v>
      </c>
      <c r="I1027">
        <v>110</v>
      </c>
      <c r="J1027">
        <v>69</v>
      </c>
      <c r="K1027">
        <v>163</v>
      </c>
      <c r="L1027">
        <v>129</v>
      </c>
      <c r="M1027">
        <v>317</v>
      </c>
      <c r="N1027">
        <v>44</v>
      </c>
      <c r="O1027" t="s">
        <v>3184</v>
      </c>
      <c r="P1027" s="1" t="b">
        <f>NOT(OR(Table1[[#This Row],[State]]="Other Foreign Countries", Table1[[#This Row],[State]]="Unknown", Table1[[#This Row],[State]]="Puerto Rico all counties"))</f>
        <v>1</v>
      </c>
    </row>
    <row r="1028" spans="1:16" x14ac:dyDescent="0.25">
      <c r="A1028">
        <v>20061</v>
      </c>
      <c r="B1028" t="s">
        <v>1543</v>
      </c>
      <c r="C1028" t="s">
        <v>1590</v>
      </c>
      <c r="D1028">
        <v>3306</v>
      </c>
      <c r="E1028">
        <v>333</v>
      </c>
      <c r="F1028">
        <v>250</v>
      </c>
      <c r="G1028">
        <v>365</v>
      </c>
      <c r="H1028" s="1">
        <v>1181</v>
      </c>
      <c r="I1028" s="1">
        <v>1177</v>
      </c>
      <c r="J1028" s="1">
        <v>1429</v>
      </c>
      <c r="K1028" s="1">
        <v>1236</v>
      </c>
      <c r="L1028">
        <v>641</v>
      </c>
      <c r="M1028" s="1">
        <v>2650</v>
      </c>
      <c r="N1028">
        <v>656</v>
      </c>
      <c r="O1028" t="s">
        <v>1591</v>
      </c>
      <c r="P1028" s="1" t="b">
        <f>NOT(OR(Table1[[#This Row],[State]]="Other Foreign Countries", Table1[[#This Row],[State]]="Unknown", Table1[[#This Row],[State]]="Puerto Rico all counties"))</f>
        <v>1</v>
      </c>
    </row>
    <row r="1029" spans="1:16" x14ac:dyDescent="0.25">
      <c r="A1029">
        <v>39055</v>
      </c>
      <c r="B1029" t="s">
        <v>1343</v>
      </c>
      <c r="C1029" t="s">
        <v>3411</v>
      </c>
      <c r="D1029">
        <v>1492</v>
      </c>
      <c r="E1029">
        <v>510</v>
      </c>
      <c r="F1029">
        <v>212</v>
      </c>
      <c r="G1029">
        <v>159</v>
      </c>
      <c r="H1029">
        <v>306</v>
      </c>
      <c r="I1029">
        <v>305</v>
      </c>
      <c r="J1029">
        <v>328</v>
      </c>
      <c r="K1029">
        <v>359</v>
      </c>
      <c r="L1029">
        <v>805</v>
      </c>
      <c r="M1029" s="1">
        <v>1378</v>
      </c>
      <c r="N1029">
        <v>114</v>
      </c>
      <c r="O1029" t="s">
        <v>3412</v>
      </c>
      <c r="P1029" s="1" t="b">
        <f>NOT(OR(Table1[[#This Row],[State]]="Other Foreign Countries", Table1[[#This Row],[State]]="Unknown", Table1[[#This Row],[State]]="Puerto Rico all counties"))</f>
        <v>1</v>
      </c>
    </row>
    <row r="1030" spans="1:16" x14ac:dyDescent="0.25">
      <c r="A1030">
        <v>16045</v>
      </c>
      <c r="B1030" t="s">
        <v>1032</v>
      </c>
      <c r="C1030" t="s">
        <v>1070</v>
      </c>
      <c r="D1030">
        <v>670</v>
      </c>
      <c r="E1030">
        <v>145</v>
      </c>
      <c r="F1030">
        <v>78</v>
      </c>
      <c r="G1030">
        <v>92</v>
      </c>
      <c r="H1030">
        <v>212</v>
      </c>
      <c r="I1030">
        <v>143</v>
      </c>
      <c r="J1030">
        <v>162</v>
      </c>
      <c r="K1030">
        <v>201</v>
      </c>
      <c r="L1030">
        <v>307</v>
      </c>
      <c r="M1030">
        <v>610</v>
      </c>
      <c r="N1030">
        <v>60</v>
      </c>
      <c r="O1030" t="s">
        <v>1071</v>
      </c>
      <c r="P1030" s="1" t="b">
        <f>NOT(OR(Table1[[#This Row],[State]]="Other Foreign Countries", Table1[[#This Row],[State]]="Unknown", Table1[[#This Row],[State]]="Puerto Rico all counties"))</f>
        <v>1</v>
      </c>
    </row>
    <row r="1031" spans="1:16" x14ac:dyDescent="0.25">
      <c r="A1031">
        <v>26049</v>
      </c>
      <c r="B1031" t="s">
        <v>2099</v>
      </c>
      <c r="C1031" t="s">
        <v>2139</v>
      </c>
      <c r="D1031">
        <v>6202</v>
      </c>
      <c r="E1031" s="1">
        <v>1551</v>
      </c>
      <c r="F1031">
        <v>758</v>
      </c>
      <c r="G1031">
        <v>692</v>
      </c>
      <c r="H1031" s="1">
        <v>1763</v>
      </c>
      <c r="I1031" s="1">
        <v>1438</v>
      </c>
      <c r="J1031" s="1">
        <v>1468</v>
      </c>
      <c r="K1031" s="1">
        <v>1883</v>
      </c>
      <c r="L1031" s="1">
        <v>2851</v>
      </c>
      <c r="M1031" s="1">
        <v>5657</v>
      </c>
      <c r="N1031">
        <v>542</v>
      </c>
      <c r="O1031" t="s">
        <v>2140</v>
      </c>
      <c r="P1031" s="1" t="b">
        <f>NOT(OR(Table1[[#This Row],[State]]="Other Foreign Countries", Table1[[#This Row],[State]]="Unknown", Table1[[#This Row],[State]]="Puerto Rico all counties"))</f>
        <v>1</v>
      </c>
    </row>
    <row r="1032" spans="1:16" x14ac:dyDescent="0.25">
      <c r="A1032">
        <v>36037</v>
      </c>
      <c r="B1032" t="s">
        <v>3029</v>
      </c>
      <c r="C1032" t="s">
        <v>2139</v>
      </c>
      <c r="D1032">
        <v>1015</v>
      </c>
      <c r="E1032">
        <v>206</v>
      </c>
      <c r="F1032">
        <v>105</v>
      </c>
      <c r="G1032">
        <v>131</v>
      </c>
      <c r="H1032">
        <v>332</v>
      </c>
      <c r="I1032">
        <v>241</v>
      </c>
      <c r="J1032">
        <v>275</v>
      </c>
      <c r="K1032">
        <v>243</v>
      </c>
      <c r="L1032">
        <v>497</v>
      </c>
      <c r="M1032">
        <v>920</v>
      </c>
      <c r="N1032">
        <v>95</v>
      </c>
      <c r="O1032" t="s">
        <v>3058</v>
      </c>
      <c r="P1032" s="1" t="b">
        <f>NOT(OR(Table1[[#This Row],[State]]="Other Foreign Countries", Table1[[#This Row],[State]]="Unknown", Table1[[#This Row],[State]]="Puerto Rico all counties"))</f>
        <v>1</v>
      </c>
    </row>
    <row r="1033" spans="1:16" x14ac:dyDescent="0.25">
      <c r="A1033">
        <v>1061</v>
      </c>
      <c r="B1033" t="s">
        <v>15</v>
      </c>
      <c r="C1033" t="s">
        <v>76</v>
      </c>
      <c r="D1033">
        <v>1063</v>
      </c>
      <c r="E1033">
        <v>179</v>
      </c>
      <c r="F1033">
        <v>97</v>
      </c>
      <c r="G1033">
        <v>116</v>
      </c>
      <c r="H1033">
        <v>343</v>
      </c>
      <c r="I1033">
        <v>328</v>
      </c>
      <c r="J1033">
        <v>209</v>
      </c>
      <c r="K1033">
        <v>410</v>
      </c>
      <c r="L1033">
        <v>444</v>
      </c>
      <c r="M1033">
        <v>954</v>
      </c>
      <c r="N1033">
        <v>108</v>
      </c>
      <c r="O1033" t="s">
        <v>77</v>
      </c>
      <c r="P1033" s="1" t="b">
        <f>NOT(OR(Table1[[#This Row],[State]]="Other Foreign Countries", Table1[[#This Row],[State]]="Unknown", Table1[[#This Row],[State]]="Puerto Rico all counties"))</f>
        <v>1</v>
      </c>
    </row>
    <row r="1034" spans="1:16" x14ac:dyDescent="0.25">
      <c r="A1034">
        <v>29075</v>
      </c>
      <c r="B1034" t="s">
        <v>2510</v>
      </c>
      <c r="C1034" t="s">
        <v>2560</v>
      </c>
      <c r="D1034">
        <v>109</v>
      </c>
      <c r="E1034">
        <v>32</v>
      </c>
      <c r="F1034">
        <v>13</v>
      </c>
      <c r="G1034">
        <v>14</v>
      </c>
      <c r="H1034">
        <v>23</v>
      </c>
      <c r="I1034">
        <v>27</v>
      </c>
      <c r="J1034">
        <v>31</v>
      </c>
      <c r="K1034">
        <v>36</v>
      </c>
      <c r="L1034">
        <v>42</v>
      </c>
      <c r="O1034" t="s">
        <v>2561</v>
      </c>
      <c r="P1034" s="1" t="b">
        <f>NOT(OR(Table1[[#This Row],[State]]="Other Foreign Countries", Table1[[#This Row],[State]]="Unknown", Table1[[#This Row],[State]]="Puerto Rico all counties"))</f>
        <v>1</v>
      </c>
    </row>
    <row r="1035" spans="1:16" x14ac:dyDescent="0.25">
      <c r="A1035">
        <v>28039</v>
      </c>
      <c r="B1035" t="s">
        <v>322</v>
      </c>
      <c r="C1035" t="s">
        <v>2420</v>
      </c>
      <c r="D1035">
        <v>577</v>
      </c>
      <c r="E1035">
        <v>96</v>
      </c>
      <c r="F1035">
        <v>75</v>
      </c>
      <c r="G1035">
        <v>69</v>
      </c>
      <c r="H1035">
        <v>179</v>
      </c>
      <c r="I1035">
        <v>158</v>
      </c>
      <c r="J1035">
        <v>133</v>
      </c>
      <c r="K1035">
        <v>199</v>
      </c>
      <c r="L1035">
        <v>245</v>
      </c>
      <c r="M1035">
        <v>532</v>
      </c>
      <c r="N1035">
        <v>45</v>
      </c>
      <c r="O1035" t="s">
        <v>2421</v>
      </c>
      <c r="P1035" s="1" t="b">
        <f>NOT(OR(Table1[[#This Row],[State]]="Other Foreign Countries", Table1[[#This Row],[State]]="Unknown", Table1[[#This Row],[State]]="Puerto Rico all counties"))</f>
        <v>1</v>
      </c>
    </row>
    <row r="1036" spans="1:16" x14ac:dyDescent="0.25">
      <c r="A1036">
        <v>45043</v>
      </c>
      <c r="B1036" t="s">
        <v>3772</v>
      </c>
      <c r="C1036" t="s">
        <v>3808</v>
      </c>
      <c r="D1036">
        <v>1720</v>
      </c>
      <c r="E1036">
        <v>354</v>
      </c>
      <c r="F1036">
        <v>177</v>
      </c>
      <c r="G1036">
        <v>189</v>
      </c>
      <c r="H1036">
        <v>527</v>
      </c>
      <c r="I1036">
        <v>473</v>
      </c>
      <c r="J1036">
        <v>298</v>
      </c>
      <c r="K1036">
        <v>492</v>
      </c>
      <c r="L1036">
        <v>930</v>
      </c>
      <c r="M1036" s="1">
        <v>1530</v>
      </c>
      <c r="N1036">
        <v>190</v>
      </c>
      <c r="O1036" t="s">
        <v>3809</v>
      </c>
      <c r="P1036" s="1" t="b">
        <f>NOT(OR(Table1[[#This Row],[State]]="Other Foreign Countries", Table1[[#This Row],[State]]="Unknown", Table1[[#This Row],[State]]="Puerto Rico all counties"))</f>
        <v>1</v>
      </c>
    </row>
    <row r="1037" spans="1:16" x14ac:dyDescent="0.25">
      <c r="A1037">
        <v>18051</v>
      </c>
      <c r="B1037" t="s">
        <v>1266</v>
      </c>
      <c r="C1037" t="s">
        <v>1300</v>
      </c>
      <c r="D1037">
        <v>497</v>
      </c>
      <c r="E1037">
        <v>140</v>
      </c>
      <c r="F1037">
        <v>66</v>
      </c>
      <c r="G1037">
        <v>54</v>
      </c>
      <c r="H1037">
        <v>122</v>
      </c>
      <c r="I1037">
        <v>115</v>
      </c>
      <c r="J1037">
        <v>117</v>
      </c>
      <c r="K1037">
        <v>155</v>
      </c>
      <c r="L1037">
        <v>225</v>
      </c>
      <c r="M1037">
        <v>460</v>
      </c>
      <c r="N1037">
        <v>37</v>
      </c>
      <c r="O1037" t="s">
        <v>1301</v>
      </c>
      <c r="P1037" s="1" t="b">
        <f>NOT(OR(Table1[[#This Row],[State]]="Other Foreign Countries", Table1[[#This Row],[State]]="Unknown", Table1[[#This Row],[State]]="Puerto Rico all counties"))</f>
        <v>1</v>
      </c>
    </row>
    <row r="1038" spans="1:16" x14ac:dyDescent="0.25">
      <c r="A1038">
        <v>47053</v>
      </c>
      <c r="B1038" t="s">
        <v>3951</v>
      </c>
      <c r="C1038" t="s">
        <v>1300</v>
      </c>
      <c r="D1038">
        <v>1081</v>
      </c>
      <c r="E1038">
        <v>253</v>
      </c>
      <c r="F1038">
        <v>107</v>
      </c>
      <c r="G1038">
        <v>124</v>
      </c>
      <c r="H1038">
        <v>321</v>
      </c>
      <c r="I1038">
        <v>276</v>
      </c>
      <c r="J1038">
        <v>256</v>
      </c>
      <c r="K1038">
        <v>332</v>
      </c>
      <c r="L1038">
        <v>493</v>
      </c>
      <c r="M1038">
        <v>985</v>
      </c>
      <c r="N1038">
        <v>96</v>
      </c>
      <c r="O1038" t="s">
        <v>3986</v>
      </c>
      <c r="P1038" s="1" t="b">
        <f>NOT(OR(Table1[[#This Row],[State]]="Other Foreign Countries", Table1[[#This Row],[State]]="Unknown", Table1[[#This Row],[State]]="Puerto Rico all counties"))</f>
        <v>1</v>
      </c>
    </row>
    <row r="1039" spans="1:16" x14ac:dyDescent="0.25">
      <c r="A1039">
        <v>4007</v>
      </c>
      <c r="B1039" t="s">
        <v>211</v>
      </c>
      <c r="C1039" t="s">
        <v>218</v>
      </c>
      <c r="D1039">
        <v>1320</v>
      </c>
      <c r="E1039">
        <v>335</v>
      </c>
      <c r="F1039">
        <v>145</v>
      </c>
      <c r="G1039">
        <v>142</v>
      </c>
      <c r="H1039">
        <v>369</v>
      </c>
      <c r="I1039">
        <v>329</v>
      </c>
      <c r="J1039">
        <v>166</v>
      </c>
      <c r="K1039">
        <v>293</v>
      </c>
      <c r="L1039">
        <v>861</v>
      </c>
      <c r="M1039" s="1">
        <v>1211</v>
      </c>
      <c r="N1039">
        <v>109</v>
      </c>
      <c r="O1039" t="s">
        <v>219</v>
      </c>
      <c r="P1039" s="1" t="b">
        <f>NOT(OR(Table1[[#This Row],[State]]="Other Foreign Countries", Table1[[#This Row],[State]]="Unknown", Table1[[#This Row],[State]]="Puerto Rico all counties"))</f>
        <v>1</v>
      </c>
    </row>
    <row r="1040" spans="1:16" x14ac:dyDescent="0.25">
      <c r="A1040">
        <v>12041</v>
      </c>
      <c r="B1040" t="s">
        <v>637</v>
      </c>
      <c r="C1040" t="s">
        <v>671</v>
      </c>
      <c r="D1040">
        <v>561</v>
      </c>
      <c r="E1040">
        <v>107</v>
      </c>
      <c r="F1040">
        <v>53</v>
      </c>
      <c r="G1040">
        <v>69</v>
      </c>
      <c r="H1040">
        <v>164</v>
      </c>
      <c r="I1040">
        <v>168</v>
      </c>
      <c r="J1040">
        <v>137</v>
      </c>
      <c r="K1040">
        <v>184</v>
      </c>
      <c r="L1040">
        <v>240</v>
      </c>
      <c r="M1040">
        <v>500</v>
      </c>
      <c r="N1040">
        <v>61</v>
      </c>
      <c r="O1040" t="s">
        <v>672</v>
      </c>
      <c r="P1040" s="1" t="b">
        <f>NOT(OR(Table1[[#This Row],[State]]="Other Foreign Countries", Table1[[#This Row],[State]]="Unknown", Table1[[#This Row],[State]]="Puerto Rico all counties"))</f>
        <v>1</v>
      </c>
    </row>
    <row r="1041" spans="1:16" x14ac:dyDescent="0.25">
      <c r="A1041">
        <v>47055</v>
      </c>
      <c r="B1041" t="s">
        <v>3951</v>
      </c>
      <c r="C1041" t="s">
        <v>3987</v>
      </c>
      <c r="D1041">
        <v>626</v>
      </c>
      <c r="E1041">
        <v>142</v>
      </c>
      <c r="F1041">
        <v>57</v>
      </c>
      <c r="G1041">
        <v>91</v>
      </c>
      <c r="H1041">
        <v>155</v>
      </c>
      <c r="I1041">
        <v>181</v>
      </c>
      <c r="J1041">
        <v>127</v>
      </c>
      <c r="K1041">
        <v>215</v>
      </c>
      <c r="L1041">
        <v>284</v>
      </c>
      <c r="M1041">
        <v>570</v>
      </c>
      <c r="N1041">
        <v>56</v>
      </c>
      <c r="O1041" t="s">
        <v>3988</v>
      </c>
      <c r="P1041" s="1" t="b">
        <f>NOT(OR(Table1[[#This Row],[State]]="Other Foreign Countries", Table1[[#This Row],[State]]="Unknown", Table1[[#This Row],[State]]="Puerto Rico all counties"))</f>
        <v>1</v>
      </c>
    </row>
    <row r="1042" spans="1:16" x14ac:dyDescent="0.25">
      <c r="A1042">
        <v>51071</v>
      </c>
      <c r="B1042" t="s">
        <v>4555</v>
      </c>
      <c r="C1042" t="s">
        <v>3987</v>
      </c>
      <c r="D1042">
        <v>301</v>
      </c>
      <c r="E1042">
        <v>55</v>
      </c>
      <c r="F1042">
        <v>39</v>
      </c>
      <c r="G1042">
        <v>29</v>
      </c>
      <c r="H1042">
        <v>105</v>
      </c>
      <c r="I1042">
        <v>73</v>
      </c>
      <c r="J1042">
        <v>69</v>
      </c>
      <c r="K1042">
        <v>98</v>
      </c>
      <c r="L1042">
        <v>134</v>
      </c>
      <c r="M1042">
        <v>275</v>
      </c>
      <c r="N1042">
        <v>26</v>
      </c>
      <c r="O1042" t="s">
        <v>4607</v>
      </c>
      <c r="P1042" s="1" t="b">
        <f>NOT(OR(Table1[[#This Row],[State]]="Other Foreign Countries", Table1[[#This Row],[State]]="Unknown", Table1[[#This Row],[State]]="Puerto Rico all counties"))</f>
        <v>1</v>
      </c>
    </row>
    <row r="1043" spans="1:16" x14ac:dyDescent="0.25">
      <c r="A1043">
        <v>48171</v>
      </c>
      <c r="B1043" t="s">
        <v>2654</v>
      </c>
      <c r="C1043" t="s">
        <v>4217</v>
      </c>
      <c r="D1043">
        <v>744</v>
      </c>
      <c r="E1043">
        <v>188</v>
      </c>
      <c r="F1043">
        <v>97</v>
      </c>
      <c r="G1043">
        <v>84</v>
      </c>
      <c r="H1043">
        <v>198</v>
      </c>
      <c r="I1043">
        <v>177</v>
      </c>
      <c r="J1043">
        <v>137</v>
      </c>
      <c r="K1043">
        <v>185</v>
      </c>
      <c r="L1043">
        <v>422</v>
      </c>
      <c r="M1043">
        <v>674</v>
      </c>
      <c r="N1043">
        <v>70</v>
      </c>
      <c r="O1043" t="s">
        <v>4218</v>
      </c>
      <c r="P1043" s="1" t="b">
        <f>NOT(OR(Table1[[#This Row],[State]]="Other Foreign Countries", Table1[[#This Row],[State]]="Unknown", Table1[[#This Row],[State]]="Puerto Rico all counties"))</f>
        <v>1</v>
      </c>
    </row>
    <row r="1044" spans="1:16" x14ac:dyDescent="0.25">
      <c r="A1044">
        <v>41021</v>
      </c>
      <c r="B1044" t="s">
        <v>2607</v>
      </c>
      <c r="C1044" t="s">
        <v>3627</v>
      </c>
      <c r="D1044">
        <v>63</v>
      </c>
      <c r="E1044">
        <v>14</v>
      </c>
      <c r="F1044">
        <v>12</v>
      </c>
      <c r="H1044">
        <v>18</v>
      </c>
      <c r="L1044">
        <v>43</v>
      </c>
      <c r="O1044" t="s">
        <v>3628</v>
      </c>
      <c r="P1044" s="1" t="b">
        <f>NOT(OR(Table1[[#This Row],[State]]="Other Foreign Countries", Table1[[#This Row],[State]]="Unknown", Table1[[#This Row],[State]]="Puerto Rico all counties"))</f>
        <v>1</v>
      </c>
    </row>
    <row r="1045" spans="1:16" x14ac:dyDescent="0.25">
      <c r="A1045">
        <v>13123</v>
      </c>
      <c r="B1045" t="s">
        <v>754</v>
      </c>
      <c r="C1045" t="s">
        <v>858</v>
      </c>
      <c r="D1045">
        <v>795</v>
      </c>
      <c r="E1045">
        <v>190</v>
      </c>
      <c r="F1045">
        <v>88</v>
      </c>
      <c r="G1045">
        <v>88</v>
      </c>
      <c r="H1045">
        <v>223</v>
      </c>
      <c r="I1045">
        <v>206</v>
      </c>
      <c r="J1045">
        <v>138</v>
      </c>
      <c r="K1045">
        <v>226</v>
      </c>
      <c r="L1045">
        <v>431</v>
      </c>
      <c r="M1045">
        <v>731</v>
      </c>
      <c r="N1045">
        <v>63</v>
      </c>
      <c r="O1045" t="s">
        <v>859</v>
      </c>
      <c r="P1045" s="1" t="b">
        <f>NOT(OR(Table1[[#This Row],[State]]="Other Foreign Countries", Table1[[#This Row],[State]]="Unknown", Table1[[#This Row],[State]]="Puerto Rico all counties"))</f>
        <v>1</v>
      </c>
    </row>
    <row r="1046" spans="1:16" x14ac:dyDescent="0.25">
      <c r="A1046">
        <v>54021</v>
      </c>
      <c r="B1046" t="s">
        <v>4833</v>
      </c>
      <c r="C1046" t="s">
        <v>858</v>
      </c>
      <c r="D1046">
        <v>162</v>
      </c>
      <c r="E1046">
        <v>29</v>
      </c>
      <c r="F1046">
        <v>16</v>
      </c>
      <c r="G1046">
        <v>15</v>
      </c>
      <c r="H1046">
        <v>53</v>
      </c>
      <c r="I1046">
        <v>49</v>
      </c>
      <c r="J1046">
        <v>28</v>
      </c>
      <c r="K1046">
        <v>57</v>
      </c>
      <c r="L1046">
        <v>77</v>
      </c>
      <c r="O1046" t="s">
        <v>4848</v>
      </c>
      <c r="P1046" s="1" t="b">
        <f>NOT(OR(Table1[[#This Row],[State]]="Other Foreign Countries", Table1[[#This Row],[State]]="Unknown", Table1[[#This Row],[State]]="Puerto Rico all counties"))</f>
        <v>1</v>
      </c>
    </row>
    <row r="1047" spans="1:16" x14ac:dyDescent="0.25">
      <c r="A1047">
        <v>8047</v>
      </c>
      <c r="B1047" t="s">
        <v>489</v>
      </c>
      <c r="C1047" t="s">
        <v>538</v>
      </c>
      <c r="D1047">
        <v>129</v>
      </c>
      <c r="E1047">
        <v>25</v>
      </c>
      <c r="F1047">
        <v>17</v>
      </c>
      <c r="G1047">
        <v>16</v>
      </c>
      <c r="H1047">
        <v>36</v>
      </c>
      <c r="I1047">
        <v>35</v>
      </c>
      <c r="J1047">
        <v>30</v>
      </c>
      <c r="K1047">
        <v>48</v>
      </c>
      <c r="L1047">
        <v>51</v>
      </c>
      <c r="M1047">
        <v>115</v>
      </c>
      <c r="N1047">
        <v>14</v>
      </c>
      <c r="O1047" t="s">
        <v>539</v>
      </c>
      <c r="P1047" s="1" t="b">
        <f>NOT(OR(Table1[[#This Row],[State]]="Other Foreign Countries", Table1[[#This Row],[State]]="Unknown", Table1[[#This Row],[State]]="Puerto Rico all counties"))</f>
        <v>1</v>
      </c>
    </row>
    <row r="1048" spans="1:16" x14ac:dyDescent="0.25">
      <c r="A1048">
        <v>30035</v>
      </c>
      <c r="B1048" t="s">
        <v>2665</v>
      </c>
      <c r="C1048" t="s">
        <v>2694</v>
      </c>
      <c r="D1048">
        <v>232</v>
      </c>
      <c r="E1048">
        <v>43</v>
      </c>
      <c r="F1048">
        <v>35</v>
      </c>
      <c r="G1048">
        <v>27</v>
      </c>
      <c r="H1048">
        <v>75</v>
      </c>
      <c r="I1048">
        <v>52</v>
      </c>
      <c r="J1048">
        <v>67</v>
      </c>
      <c r="K1048">
        <v>79</v>
      </c>
      <c r="L1048">
        <v>86</v>
      </c>
      <c r="M1048">
        <v>211</v>
      </c>
      <c r="N1048">
        <v>21</v>
      </c>
      <c r="O1048" t="s">
        <v>2695</v>
      </c>
      <c r="P1048" s="1" t="b">
        <f>NOT(OR(Table1[[#This Row],[State]]="Other Foreign Countries", Table1[[#This Row],[State]]="Unknown", Table1[[#This Row],[State]]="Puerto Rico all counties"))</f>
        <v>1</v>
      </c>
    </row>
    <row r="1049" spans="1:16" x14ac:dyDescent="0.25">
      <c r="A1049">
        <v>12043</v>
      </c>
      <c r="B1049" t="s">
        <v>637</v>
      </c>
      <c r="C1049" t="s">
        <v>673</v>
      </c>
      <c r="D1049">
        <v>347</v>
      </c>
      <c r="E1049">
        <v>85</v>
      </c>
      <c r="F1049">
        <v>40</v>
      </c>
      <c r="G1049">
        <v>45</v>
      </c>
      <c r="H1049">
        <v>103</v>
      </c>
      <c r="I1049">
        <v>74</v>
      </c>
      <c r="J1049">
        <v>30</v>
      </c>
      <c r="K1049">
        <v>76</v>
      </c>
      <c r="L1049">
        <v>241</v>
      </c>
      <c r="M1049">
        <v>322</v>
      </c>
      <c r="N1049">
        <v>25</v>
      </c>
      <c r="O1049" t="s">
        <v>674</v>
      </c>
      <c r="P1049" s="1" t="b">
        <f>NOT(OR(Table1[[#This Row],[State]]="Other Foreign Countries", Table1[[#This Row],[State]]="Unknown", Table1[[#This Row],[State]]="Puerto Rico all counties"))</f>
        <v>1</v>
      </c>
    </row>
    <row r="1050" spans="1:16" x14ac:dyDescent="0.25">
      <c r="A1050">
        <v>26051</v>
      </c>
      <c r="B1050" t="s">
        <v>2099</v>
      </c>
      <c r="C1050" t="s">
        <v>2141</v>
      </c>
      <c r="D1050">
        <v>654</v>
      </c>
      <c r="E1050">
        <v>141</v>
      </c>
      <c r="F1050">
        <v>73</v>
      </c>
      <c r="G1050">
        <v>77</v>
      </c>
      <c r="H1050">
        <v>204</v>
      </c>
      <c r="I1050">
        <v>159</v>
      </c>
      <c r="J1050">
        <v>126</v>
      </c>
      <c r="K1050">
        <v>174</v>
      </c>
      <c r="L1050">
        <v>354</v>
      </c>
      <c r="M1050">
        <v>607</v>
      </c>
      <c r="N1050">
        <v>47</v>
      </c>
      <c r="O1050" t="s">
        <v>2142</v>
      </c>
      <c r="P1050" s="1" t="b">
        <f>NOT(OR(Table1[[#This Row],[State]]="Other Foreign Countries", Table1[[#This Row],[State]]="Unknown", Table1[[#This Row],[State]]="Puerto Rico all counties"))</f>
        <v>1</v>
      </c>
    </row>
    <row r="1051" spans="1:16" x14ac:dyDescent="0.25">
      <c r="A1051">
        <v>13125</v>
      </c>
      <c r="B1051" t="s">
        <v>754</v>
      </c>
      <c r="C1051" t="s">
        <v>860</v>
      </c>
      <c r="D1051">
        <v>48</v>
      </c>
      <c r="H1051">
        <v>15</v>
      </c>
      <c r="I1051">
        <v>15</v>
      </c>
      <c r="J1051">
        <v>10</v>
      </c>
      <c r="K1051">
        <v>20</v>
      </c>
      <c r="L1051">
        <v>18</v>
      </c>
      <c r="O1051" t="s">
        <v>861</v>
      </c>
      <c r="P1051" s="1" t="b">
        <f>NOT(OR(Table1[[#This Row],[State]]="Other Foreign Countries", Table1[[#This Row],[State]]="Unknown", Table1[[#This Row],[State]]="Puerto Rico all counties"))</f>
        <v>1</v>
      </c>
    </row>
    <row r="1052" spans="1:16" x14ac:dyDescent="0.25">
      <c r="A1052">
        <v>48173</v>
      </c>
      <c r="B1052" t="s">
        <v>2654</v>
      </c>
      <c r="C1052" t="s">
        <v>4219</v>
      </c>
      <c r="O1052" t="s">
        <v>4220</v>
      </c>
      <c r="P1052" s="1" t="b">
        <f>NOT(OR(Table1[[#This Row],[State]]="Other Foreign Countries", Table1[[#This Row],[State]]="Unknown", Table1[[#This Row],[State]]="Puerto Rico all counties"))</f>
        <v>1</v>
      </c>
    </row>
    <row r="1053" spans="1:16" x14ac:dyDescent="0.25">
      <c r="A1053">
        <v>6021</v>
      </c>
      <c r="B1053" t="s">
        <v>374</v>
      </c>
      <c r="C1053" t="s">
        <v>395</v>
      </c>
      <c r="D1053">
        <v>333</v>
      </c>
      <c r="E1053">
        <v>84</v>
      </c>
      <c r="F1053">
        <v>38</v>
      </c>
      <c r="G1053">
        <v>37</v>
      </c>
      <c r="H1053">
        <v>110</v>
      </c>
      <c r="I1053">
        <v>64</v>
      </c>
      <c r="J1053">
        <v>96</v>
      </c>
      <c r="K1053">
        <v>68</v>
      </c>
      <c r="L1053">
        <v>169</v>
      </c>
      <c r="M1053">
        <v>306</v>
      </c>
      <c r="N1053">
        <v>27</v>
      </c>
      <c r="O1053" t="s">
        <v>396</v>
      </c>
      <c r="P1053" s="1" t="b">
        <f>NOT(OR(Table1[[#This Row],[State]]="Other Foreign Countries", Table1[[#This Row],[State]]="Unknown", Table1[[#This Row],[State]]="Puerto Rico all counties"))</f>
        <v>1</v>
      </c>
    </row>
    <row r="1054" spans="1:16" x14ac:dyDescent="0.25">
      <c r="A1054">
        <v>34015</v>
      </c>
      <c r="B1054" t="s">
        <v>2938</v>
      </c>
      <c r="C1054" t="s">
        <v>2950</v>
      </c>
      <c r="D1054">
        <v>4348</v>
      </c>
      <c r="E1054">
        <v>800</v>
      </c>
      <c r="F1054">
        <v>407</v>
      </c>
      <c r="G1054">
        <v>418</v>
      </c>
      <c r="H1054" s="1">
        <v>1347</v>
      </c>
      <c r="I1054" s="1">
        <v>1376</v>
      </c>
      <c r="J1054" s="1">
        <v>1235</v>
      </c>
      <c r="K1054" s="1">
        <v>1170</v>
      </c>
      <c r="L1054" s="1">
        <v>1943</v>
      </c>
      <c r="M1054" s="1">
        <v>3922</v>
      </c>
      <c r="N1054">
        <v>424</v>
      </c>
      <c r="O1054" t="s">
        <v>2951</v>
      </c>
      <c r="P1054" s="1" t="b">
        <f>NOT(OR(Table1[[#This Row],[State]]="Other Foreign Countries", Table1[[#This Row],[State]]="Unknown", Table1[[#This Row],[State]]="Puerto Rico all counties"))</f>
        <v>1</v>
      </c>
    </row>
    <row r="1055" spans="1:16" x14ac:dyDescent="0.25">
      <c r="A1055">
        <v>51073</v>
      </c>
      <c r="B1055" t="s">
        <v>4555</v>
      </c>
      <c r="C1055" t="s">
        <v>2950</v>
      </c>
      <c r="D1055">
        <v>1949</v>
      </c>
      <c r="E1055">
        <v>319</v>
      </c>
      <c r="F1055">
        <v>236</v>
      </c>
      <c r="G1055">
        <v>249</v>
      </c>
      <c r="H1055">
        <v>556</v>
      </c>
      <c r="I1055">
        <v>589</v>
      </c>
      <c r="J1055">
        <v>475</v>
      </c>
      <c r="K1055">
        <v>863</v>
      </c>
      <c r="L1055">
        <v>611</v>
      </c>
      <c r="M1055" s="1">
        <v>1684</v>
      </c>
      <c r="N1055">
        <v>265</v>
      </c>
      <c r="O1055" t="s">
        <v>4608</v>
      </c>
      <c r="P1055" s="1" t="b">
        <f>NOT(OR(Table1[[#This Row],[State]]="Other Foreign Countries", Table1[[#This Row],[State]]="Unknown", Table1[[#This Row],[State]]="Puerto Rico all counties"))</f>
        <v>1</v>
      </c>
    </row>
    <row r="1056" spans="1:16" x14ac:dyDescent="0.25">
      <c r="A1056">
        <v>13127</v>
      </c>
      <c r="B1056" t="s">
        <v>754</v>
      </c>
      <c r="C1056" t="s">
        <v>862</v>
      </c>
      <c r="D1056">
        <v>2513</v>
      </c>
      <c r="E1056">
        <v>480</v>
      </c>
      <c r="F1056">
        <v>228</v>
      </c>
      <c r="G1056">
        <v>282</v>
      </c>
      <c r="H1056">
        <v>835</v>
      </c>
      <c r="I1056">
        <v>688</v>
      </c>
      <c r="J1056">
        <v>602</v>
      </c>
      <c r="K1056">
        <v>978</v>
      </c>
      <c r="L1056">
        <v>933</v>
      </c>
      <c r="M1056" s="1">
        <v>2166</v>
      </c>
      <c r="N1056">
        <v>347</v>
      </c>
      <c r="O1056" t="s">
        <v>863</v>
      </c>
      <c r="P1056" s="1" t="b">
        <f>NOT(OR(Table1[[#This Row],[State]]="Other Foreign Countries", Table1[[#This Row],[State]]="Unknown", Table1[[#This Row],[State]]="Puerto Rico all counties"))</f>
        <v>1</v>
      </c>
    </row>
    <row r="1057" spans="1:16" x14ac:dyDescent="0.25">
      <c r="A1057">
        <v>26053</v>
      </c>
      <c r="B1057" t="s">
        <v>2099</v>
      </c>
      <c r="C1057" t="s">
        <v>2143</v>
      </c>
      <c r="D1057">
        <v>401</v>
      </c>
      <c r="E1057">
        <v>104</v>
      </c>
      <c r="F1057">
        <v>40</v>
      </c>
      <c r="G1057">
        <v>56</v>
      </c>
      <c r="H1057">
        <v>108</v>
      </c>
      <c r="I1057">
        <v>93</v>
      </c>
      <c r="J1057">
        <v>65</v>
      </c>
      <c r="K1057">
        <v>124</v>
      </c>
      <c r="L1057">
        <v>212</v>
      </c>
      <c r="M1057">
        <v>375</v>
      </c>
      <c r="N1057">
        <v>26</v>
      </c>
      <c r="O1057" t="s">
        <v>2144</v>
      </c>
      <c r="P1057" s="1" t="b">
        <f>NOT(OR(Table1[[#This Row],[State]]="Other Foreign Countries", Table1[[#This Row],[State]]="Unknown", Table1[[#This Row],[State]]="Puerto Rico all counties"))</f>
        <v>1</v>
      </c>
    </row>
    <row r="1058" spans="1:16" x14ac:dyDescent="0.25">
      <c r="A1058">
        <v>30037</v>
      </c>
      <c r="B1058" t="s">
        <v>2665</v>
      </c>
      <c r="C1058" t="s">
        <v>2696</v>
      </c>
      <c r="D1058">
        <v>23</v>
      </c>
      <c r="L1058">
        <v>12</v>
      </c>
      <c r="O1058" t="s">
        <v>2697</v>
      </c>
      <c r="P1058" s="1" t="b">
        <f>NOT(OR(Table1[[#This Row],[State]]="Other Foreign Countries", Table1[[#This Row],[State]]="Unknown", Table1[[#This Row],[State]]="Puerto Rico all counties"))</f>
        <v>1</v>
      </c>
    </row>
    <row r="1059" spans="1:16" x14ac:dyDescent="0.25">
      <c r="A1059">
        <v>38033</v>
      </c>
      <c r="B1059" t="s">
        <v>3286</v>
      </c>
      <c r="C1059" t="s">
        <v>2696</v>
      </c>
      <c r="D1059">
        <v>38</v>
      </c>
      <c r="E1059">
        <v>12</v>
      </c>
      <c r="H1059">
        <v>10</v>
      </c>
      <c r="L1059">
        <v>24</v>
      </c>
      <c r="O1059" t="s">
        <v>3315</v>
      </c>
      <c r="P1059" s="1" t="b">
        <f>NOT(OR(Table1[[#This Row],[State]]="Other Foreign Countries", Table1[[#This Row],[State]]="Unknown", Table1[[#This Row],[State]]="Puerto Rico all counties"))</f>
        <v>1</v>
      </c>
    </row>
    <row r="1060" spans="1:16" x14ac:dyDescent="0.25">
      <c r="A1060">
        <v>48175</v>
      </c>
      <c r="B1060" t="s">
        <v>2654</v>
      </c>
      <c r="C1060" t="s">
        <v>4221</v>
      </c>
      <c r="D1060">
        <v>208</v>
      </c>
      <c r="E1060">
        <v>47</v>
      </c>
      <c r="F1060">
        <v>27</v>
      </c>
      <c r="G1060">
        <v>22</v>
      </c>
      <c r="H1060">
        <v>56</v>
      </c>
      <c r="I1060">
        <v>56</v>
      </c>
      <c r="J1060">
        <v>39</v>
      </c>
      <c r="K1060">
        <v>63</v>
      </c>
      <c r="L1060">
        <v>106</v>
      </c>
      <c r="M1060">
        <v>185</v>
      </c>
      <c r="N1060">
        <v>23</v>
      </c>
      <c r="O1060" t="s">
        <v>4222</v>
      </c>
      <c r="P1060" s="1" t="b">
        <f>NOT(OR(Table1[[#This Row],[State]]="Other Foreign Countries", Table1[[#This Row],[State]]="Unknown", Table1[[#This Row],[State]]="Puerto Rico all counties"))</f>
        <v>1</v>
      </c>
    </row>
    <row r="1061" spans="1:16" x14ac:dyDescent="0.25">
      <c r="A1061">
        <v>48177</v>
      </c>
      <c r="B1061" t="s">
        <v>2654</v>
      </c>
      <c r="C1061" t="s">
        <v>4223</v>
      </c>
      <c r="D1061">
        <v>366</v>
      </c>
      <c r="E1061">
        <v>76</v>
      </c>
      <c r="F1061">
        <v>45</v>
      </c>
      <c r="G1061">
        <v>39</v>
      </c>
      <c r="H1061">
        <v>101</v>
      </c>
      <c r="I1061">
        <v>105</v>
      </c>
      <c r="J1061">
        <v>101</v>
      </c>
      <c r="K1061">
        <v>105</v>
      </c>
      <c r="L1061">
        <v>160</v>
      </c>
      <c r="M1061">
        <v>333</v>
      </c>
      <c r="N1061">
        <v>33</v>
      </c>
      <c r="O1061" t="s">
        <v>4224</v>
      </c>
      <c r="P1061" s="1" t="b">
        <f>NOT(OR(Table1[[#This Row],[State]]="Other Foreign Countries", Table1[[#This Row],[State]]="Unknown", Table1[[#This Row],[State]]="Puerto Rico all counties"))</f>
        <v>1</v>
      </c>
    </row>
    <row r="1062" spans="1:16" x14ac:dyDescent="0.25">
      <c r="A1062">
        <v>51075</v>
      </c>
      <c r="B1062" t="s">
        <v>4555</v>
      </c>
      <c r="C1062" t="s">
        <v>4609</v>
      </c>
      <c r="D1062">
        <v>429</v>
      </c>
      <c r="E1062">
        <v>85</v>
      </c>
      <c r="F1062">
        <v>56</v>
      </c>
      <c r="G1062">
        <v>51</v>
      </c>
      <c r="H1062">
        <v>129</v>
      </c>
      <c r="I1062">
        <v>108</v>
      </c>
      <c r="J1062">
        <v>94</v>
      </c>
      <c r="K1062">
        <v>140</v>
      </c>
      <c r="L1062">
        <v>195</v>
      </c>
      <c r="M1062">
        <v>385</v>
      </c>
      <c r="N1062">
        <v>44</v>
      </c>
      <c r="O1062" t="s">
        <v>4610</v>
      </c>
      <c r="P1062" s="1" t="b">
        <f>NOT(OR(Table1[[#This Row],[State]]="Other Foreign Countries", Table1[[#This Row],[State]]="Unknown", Table1[[#This Row],[State]]="Puerto Rico all counties"))</f>
        <v>1</v>
      </c>
    </row>
    <row r="1063" spans="1:16" x14ac:dyDescent="0.25">
      <c r="A1063">
        <v>27049</v>
      </c>
      <c r="B1063" t="s">
        <v>2245</v>
      </c>
      <c r="C1063" t="s">
        <v>2285</v>
      </c>
      <c r="D1063">
        <v>1091</v>
      </c>
      <c r="E1063">
        <v>409</v>
      </c>
      <c r="F1063">
        <v>166</v>
      </c>
      <c r="G1063">
        <v>136</v>
      </c>
      <c r="H1063">
        <v>214</v>
      </c>
      <c r="I1063">
        <v>166</v>
      </c>
      <c r="J1063">
        <v>242</v>
      </c>
      <c r="K1063">
        <v>276</v>
      </c>
      <c r="L1063">
        <v>573</v>
      </c>
      <c r="M1063">
        <v>997</v>
      </c>
      <c r="N1063">
        <v>93</v>
      </c>
      <c r="O1063" t="s">
        <v>2286</v>
      </c>
      <c r="P1063" s="1" t="b">
        <f>NOT(OR(Table1[[#This Row],[State]]="Other Foreign Countries", Table1[[#This Row],[State]]="Unknown", Table1[[#This Row],[State]]="Puerto Rico all counties"))</f>
        <v>1</v>
      </c>
    </row>
    <row r="1064" spans="1:16" x14ac:dyDescent="0.25">
      <c r="A1064">
        <v>16047</v>
      </c>
      <c r="B1064" t="s">
        <v>1032</v>
      </c>
      <c r="C1064" t="s">
        <v>1072</v>
      </c>
      <c r="D1064">
        <v>262</v>
      </c>
      <c r="E1064">
        <v>73</v>
      </c>
      <c r="F1064">
        <v>34</v>
      </c>
      <c r="G1064">
        <v>38</v>
      </c>
      <c r="H1064">
        <v>59</v>
      </c>
      <c r="I1064">
        <v>58</v>
      </c>
      <c r="J1064">
        <v>53</v>
      </c>
      <c r="K1064">
        <v>67</v>
      </c>
      <c r="L1064">
        <v>142</v>
      </c>
      <c r="M1064">
        <v>248</v>
      </c>
      <c r="N1064">
        <v>14</v>
      </c>
      <c r="O1064" t="s">
        <v>1073</v>
      </c>
      <c r="P1064" s="1" t="b">
        <f>NOT(OR(Table1[[#This Row],[State]]="Other Foreign Countries", Table1[[#This Row],[State]]="Unknown", Table1[[#This Row],[State]]="Puerto Rico all counties"))</f>
        <v>1</v>
      </c>
    </row>
    <row r="1065" spans="1:16" x14ac:dyDescent="0.25">
      <c r="A1065">
        <v>13129</v>
      </c>
      <c r="B1065" t="s">
        <v>754</v>
      </c>
      <c r="C1065" t="s">
        <v>864</v>
      </c>
      <c r="D1065">
        <v>934</v>
      </c>
      <c r="E1065">
        <v>178</v>
      </c>
      <c r="F1065">
        <v>104</v>
      </c>
      <c r="G1065">
        <v>116</v>
      </c>
      <c r="H1065">
        <v>292</v>
      </c>
      <c r="I1065">
        <v>244</v>
      </c>
      <c r="J1065">
        <v>276</v>
      </c>
      <c r="K1065">
        <v>274</v>
      </c>
      <c r="L1065">
        <v>384</v>
      </c>
      <c r="M1065">
        <v>867</v>
      </c>
      <c r="N1065">
        <v>66</v>
      </c>
      <c r="O1065" t="s">
        <v>865</v>
      </c>
      <c r="P1065" s="1" t="b">
        <f>NOT(OR(Table1[[#This Row],[State]]="Other Foreign Countries", Table1[[#This Row],[State]]="Unknown", Table1[[#This Row],[State]]="Puerto Rico all counties"))</f>
        <v>1</v>
      </c>
    </row>
    <row r="1066" spans="1:16" x14ac:dyDescent="0.25">
      <c r="A1066">
        <v>56015</v>
      </c>
      <c r="B1066" t="s">
        <v>3117</v>
      </c>
      <c r="C1066" t="s">
        <v>5021</v>
      </c>
      <c r="D1066">
        <v>384</v>
      </c>
      <c r="E1066">
        <v>103</v>
      </c>
      <c r="F1066">
        <v>57</v>
      </c>
      <c r="G1066">
        <v>43</v>
      </c>
      <c r="H1066">
        <v>90</v>
      </c>
      <c r="I1066">
        <v>91</v>
      </c>
      <c r="J1066">
        <v>78</v>
      </c>
      <c r="K1066">
        <v>113</v>
      </c>
      <c r="L1066">
        <v>193</v>
      </c>
      <c r="M1066">
        <v>351</v>
      </c>
      <c r="N1066">
        <v>33</v>
      </c>
      <c r="O1066" t="s">
        <v>5022</v>
      </c>
      <c r="P1066" s="1" t="b">
        <f>NOT(OR(Table1[[#This Row],[State]]="Other Foreign Countries", Table1[[#This Row],[State]]="Unknown", Table1[[#This Row],[State]]="Puerto Rico all counties"))</f>
        <v>1</v>
      </c>
    </row>
    <row r="1067" spans="1:16" x14ac:dyDescent="0.25">
      <c r="A1067">
        <v>31073</v>
      </c>
      <c r="B1067" t="s">
        <v>2758</v>
      </c>
      <c r="C1067" t="s">
        <v>2812</v>
      </c>
      <c r="D1067">
        <v>81</v>
      </c>
      <c r="E1067">
        <v>32</v>
      </c>
      <c r="G1067">
        <v>13</v>
      </c>
      <c r="H1067">
        <v>19</v>
      </c>
      <c r="L1067">
        <v>56</v>
      </c>
      <c r="O1067" t="s">
        <v>2813</v>
      </c>
      <c r="P1067" s="1" t="b">
        <f>NOT(OR(Table1[[#This Row],[State]]="Other Foreign Countries", Table1[[#This Row],[State]]="Unknown", Table1[[#This Row],[State]]="Puerto Rico all counties"))</f>
        <v>1</v>
      </c>
    </row>
    <row r="1068" spans="1:16" x14ac:dyDescent="0.25">
      <c r="A1068">
        <v>20063</v>
      </c>
      <c r="B1068" t="s">
        <v>1543</v>
      </c>
      <c r="C1068" t="s">
        <v>1592</v>
      </c>
      <c r="D1068">
        <v>37</v>
      </c>
      <c r="E1068">
        <v>13</v>
      </c>
      <c r="L1068">
        <v>27</v>
      </c>
      <c r="O1068" t="s">
        <v>1593</v>
      </c>
      <c r="P1068" s="1" t="b">
        <f>NOT(OR(Table1[[#This Row],[State]]="Other Foreign Countries", Table1[[#This Row],[State]]="Unknown", Table1[[#This Row],[State]]="Puerto Rico all counties"))</f>
        <v>1</v>
      </c>
    </row>
    <row r="1069" spans="1:16" x14ac:dyDescent="0.25">
      <c r="A1069">
        <v>13131</v>
      </c>
      <c r="B1069" t="s">
        <v>754</v>
      </c>
      <c r="C1069" t="s">
        <v>866</v>
      </c>
      <c r="D1069">
        <v>494</v>
      </c>
      <c r="E1069">
        <v>83</v>
      </c>
      <c r="F1069">
        <v>58</v>
      </c>
      <c r="G1069">
        <v>60</v>
      </c>
      <c r="H1069">
        <v>154</v>
      </c>
      <c r="I1069">
        <v>139</v>
      </c>
      <c r="J1069">
        <v>123</v>
      </c>
      <c r="K1069">
        <v>153</v>
      </c>
      <c r="L1069">
        <v>218</v>
      </c>
      <c r="M1069">
        <v>446</v>
      </c>
      <c r="N1069">
        <v>48</v>
      </c>
      <c r="O1069" t="s">
        <v>867</v>
      </c>
      <c r="P1069" s="1" t="b">
        <f>NOT(OR(Table1[[#This Row],[State]]="Other Foreign Countries", Table1[[#This Row],[State]]="Unknown", Table1[[#This Row],[State]]="Puerto Rico all counties"))</f>
        <v>1</v>
      </c>
    </row>
    <row r="1070" spans="1:16" x14ac:dyDescent="0.25">
      <c r="A1070">
        <v>40051</v>
      </c>
      <c r="B1070" t="s">
        <v>3495</v>
      </c>
      <c r="C1070" t="s">
        <v>866</v>
      </c>
      <c r="D1070">
        <v>1911</v>
      </c>
      <c r="E1070">
        <v>334</v>
      </c>
      <c r="F1070">
        <v>155</v>
      </c>
      <c r="G1070">
        <v>210</v>
      </c>
      <c r="H1070">
        <v>578</v>
      </c>
      <c r="I1070">
        <v>634</v>
      </c>
      <c r="J1070">
        <v>524</v>
      </c>
      <c r="K1070">
        <v>616</v>
      </c>
      <c r="L1070">
        <v>771</v>
      </c>
      <c r="M1070" s="1">
        <v>1733</v>
      </c>
      <c r="N1070">
        <v>178</v>
      </c>
      <c r="O1070" t="s">
        <v>3533</v>
      </c>
      <c r="P1070" s="1" t="b">
        <f>NOT(OR(Table1[[#This Row],[State]]="Other Foreign Countries", Table1[[#This Row],[State]]="Unknown", Table1[[#This Row],[State]]="Puerto Rico all counties"))</f>
        <v>1</v>
      </c>
    </row>
    <row r="1071" spans="1:16" x14ac:dyDescent="0.25">
      <c r="A1071">
        <v>33009</v>
      </c>
      <c r="B1071" t="s">
        <v>2920</v>
      </c>
      <c r="C1071" t="s">
        <v>2928</v>
      </c>
      <c r="D1071">
        <v>1713</v>
      </c>
      <c r="E1071">
        <v>372</v>
      </c>
      <c r="F1071">
        <v>217</v>
      </c>
      <c r="G1071">
        <v>230</v>
      </c>
      <c r="H1071">
        <v>484</v>
      </c>
      <c r="I1071">
        <v>410</v>
      </c>
      <c r="J1071">
        <v>422</v>
      </c>
      <c r="K1071">
        <v>526</v>
      </c>
      <c r="L1071">
        <v>765</v>
      </c>
      <c r="M1071" s="1">
        <v>1530</v>
      </c>
      <c r="N1071">
        <v>183</v>
      </c>
      <c r="O1071" t="s">
        <v>2929</v>
      </c>
      <c r="P1071" s="1" t="b">
        <f>NOT(OR(Table1[[#This Row],[State]]="Other Foreign Countries", Table1[[#This Row],[State]]="Unknown", Table1[[#This Row],[State]]="Puerto Rico all counties"))</f>
        <v>1</v>
      </c>
    </row>
    <row r="1072" spans="1:16" x14ac:dyDescent="0.25">
      <c r="A1072">
        <v>4009</v>
      </c>
      <c r="B1072" t="s">
        <v>211</v>
      </c>
      <c r="C1072" t="s">
        <v>220</v>
      </c>
      <c r="D1072">
        <v>508</v>
      </c>
      <c r="E1072">
        <v>123</v>
      </c>
      <c r="F1072">
        <v>72</v>
      </c>
      <c r="G1072">
        <v>60</v>
      </c>
      <c r="H1072">
        <v>143</v>
      </c>
      <c r="I1072">
        <v>110</v>
      </c>
      <c r="J1072">
        <v>120</v>
      </c>
      <c r="K1072">
        <v>166</v>
      </c>
      <c r="L1072">
        <v>222</v>
      </c>
      <c r="M1072">
        <v>472</v>
      </c>
      <c r="N1072">
        <v>36</v>
      </c>
      <c r="O1072" t="s">
        <v>221</v>
      </c>
      <c r="P1072" s="1" t="b">
        <f>NOT(OR(Table1[[#This Row],[State]]="Other Foreign Countries", Table1[[#This Row],[State]]="Unknown", Table1[[#This Row],[State]]="Puerto Rico all counties"))</f>
        <v>1</v>
      </c>
    </row>
    <row r="1073" spans="1:16" x14ac:dyDescent="0.25">
      <c r="A1073">
        <v>20065</v>
      </c>
      <c r="B1073" t="s">
        <v>1543</v>
      </c>
      <c r="C1073" t="s">
        <v>220</v>
      </c>
      <c r="D1073">
        <v>41</v>
      </c>
      <c r="E1073">
        <v>10</v>
      </c>
      <c r="H1073">
        <v>12</v>
      </c>
      <c r="J1073">
        <v>10</v>
      </c>
      <c r="K1073">
        <v>10</v>
      </c>
      <c r="L1073">
        <v>21</v>
      </c>
      <c r="O1073" t="s">
        <v>1594</v>
      </c>
      <c r="P1073" s="1" t="b">
        <f>NOT(OR(Table1[[#This Row],[State]]="Other Foreign Countries", Table1[[#This Row],[State]]="Unknown", Table1[[#This Row],[State]]="Puerto Rico all counties"))</f>
        <v>1</v>
      </c>
    </row>
    <row r="1074" spans="1:16" x14ac:dyDescent="0.25">
      <c r="A1074">
        <v>37075</v>
      </c>
      <c r="B1074" t="s">
        <v>3121</v>
      </c>
      <c r="C1074" t="s">
        <v>220</v>
      </c>
      <c r="D1074">
        <v>181</v>
      </c>
      <c r="E1074">
        <v>35</v>
      </c>
      <c r="F1074">
        <v>19</v>
      </c>
      <c r="G1074">
        <v>20</v>
      </c>
      <c r="H1074">
        <v>64</v>
      </c>
      <c r="I1074">
        <v>43</v>
      </c>
      <c r="J1074">
        <v>29</v>
      </c>
      <c r="K1074">
        <v>46</v>
      </c>
      <c r="L1074">
        <v>106</v>
      </c>
      <c r="O1074" t="s">
        <v>3185</v>
      </c>
      <c r="P1074" s="1" t="b">
        <f>NOT(OR(Table1[[#This Row],[State]]="Other Foreign Countries", Table1[[#This Row],[State]]="Unknown", Table1[[#This Row],[State]]="Puerto Rico all counties"))</f>
        <v>1</v>
      </c>
    </row>
    <row r="1075" spans="1:16" x14ac:dyDescent="0.25">
      <c r="A1075">
        <v>47057</v>
      </c>
      <c r="B1075" t="s">
        <v>3951</v>
      </c>
      <c r="C1075" t="s">
        <v>3989</v>
      </c>
      <c r="D1075">
        <v>574</v>
      </c>
      <c r="E1075">
        <v>130</v>
      </c>
      <c r="F1075">
        <v>61</v>
      </c>
      <c r="G1075">
        <v>64</v>
      </c>
      <c r="H1075">
        <v>153</v>
      </c>
      <c r="I1075">
        <v>166</v>
      </c>
      <c r="J1075">
        <v>94</v>
      </c>
      <c r="K1075">
        <v>192</v>
      </c>
      <c r="L1075">
        <v>288</v>
      </c>
      <c r="M1075">
        <v>531</v>
      </c>
      <c r="N1075">
        <v>43</v>
      </c>
      <c r="O1075" t="s">
        <v>3990</v>
      </c>
      <c r="P1075" s="1" t="b">
        <f>NOT(OR(Table1[[#This Row],[State]]="Other Foreign Countries", Table1[[#This Row],[State]]="Unknown", Table1[[#This Row],[State]]="Puerto Rico all counties"))</f>
        <v>1</v>
      </c>
    </row>
    <row r="1076" spans="1:16" x14ac:dyDescent="0.25">
      <c r="A1076">
        <v>8049</v>
      </c>
      <c r="B1076" t="s">
        <v>489</v>
      </c>
      <c r="C1076" t="s">
        <v>540</v>
      </c>
      <c r="D1076">
        <v>219</v>
      </c>
      <c r="E1076">
        <v>63</v>
      </c>
      <c r="F1076">
        <v>37</v>
      </c>
      <c r="G1076">
        <v>23</v>
      </c>
      <c r="H1076">
        <v>42</v>
      </c>
      <c r="I1076">
        <v>54</v>
      </c>
      <c r="J1076">
        <v>52</v>
      </c>
      <c r="K1076">
        <v>45</v>
      </c>
      <c r="L1076">
        <v>122</v>
      </c>
      <c r="M1076">
        <v>195</v>
      </c>
      <c r="N1076">
        <v>24</v>
      </c>
      <c r="O1076" t="s">
        <v>541</v>
      </c>
      <c r="P1076" s="1" t="b">
        <f>NOT(OR(Table1[[#This Row],[State]]="Other Foreign Countries", Table1[[#This Row],[State]]="Unknown", Table1[[#This Row],[State]]="Puerto Rico all counties"))</f>
        <v>1</v>
      </c>
    </row>
    <row r="1077" spans="1:16" x14ac:dyDescent="0.25">
      <c r="A1077">
        <v>49019</v>
      </c>
      <c r="B1077" t="s">
        <v>4486</v>
      </c>
      <c r="C1077" t="s">
        <v>540</v>
      </c>
      <c r="D1077">
        <v>145</v>
      </c>
      <c r="E1077">
        <v>35</v>
      </c>
      <c r="F1077">
        <v>19</v>
      </c>
      <c r="G1077">
        <v>18</v>
      </c>
      <c r="H1077">
        <v>44</v>
      </c>
      <c r="I1077">
        <v>29</v>
      </c>
      <c r="J1077">
        <v>32</v>
      </c>
      <c r="K1077">
        <v>39</v>
      </c>
      <c r="L1077">
        <v>74</v>
      </c>
      <c r="M1077">
        <v>133</v>
      </c>
      <c r="N1077">
        <v>12</v>
      </c>
      <c r="O1077" t="s">
        <v>4501</v>
      </c>
      <c r="P1077" s="1" t="b">
        <f>NOT(OR(Table1[[#This Row],[State]]="Other Foreign Countries", Table1[[#This Row],[State]]="Unknown", Table1[[#This Row],[State]]="Puerto Rico all counties"))</f>
        <v>1</v>
      </c>
    </row>
    <row r="1078" spans="1:16" x14ac:dyDescent="0.25">
      <c r="A1078">
        <v>38035</v>
      </c>
      <c r="B1078" t="s">
        <v>3286</v>
      </c>
      <c r="C1078" t="s">
        <v>3316</v>
      </c>
      <c r="D1078">
        <v>1798</v>
      </c>
      <c r="E1078">
        <v>400</v>
      </c>
      <c r="F1078">
        <v>255</v>
      </c>
      <c r="G1078">
        <v>274</v>
      </c>
      <c r="H1078">
        <v>544</v>
      </c>
      <c r="I1078">
        <v>325</v>
      </c>
      <c r="J1078">
        <v>584</v>
      </c>
      <c r="K1078">
        <v>596</v>
      </c>
      <c r="L1078">
        <v>618</v>
      </c>
      <c r="M1078" s="1">
        <v>1597</v>
      </c>
      <c r="N1078">
        <v>201</v>
      </c>
      <c r="O1078" t="s">
        <v>3317</v>
      </c>
      <c r="P1078" s="1" t="b">
        <f>NOT(OR(Table1[[#This Row],[State]]="Other Foreign Countries", Table1[[#This Row],[State]]="Unknown", Table1[[#This Row],[State]]="Puerto Rico all counties"))</f>
        <v>1</v>
      </c>
    </row>
    <row r="1079" spans="1:16" x14ac:dyDescent="0.25">
      <c r="A1079">
        <v>50013</v>
      </c>
      <c r="B1079" t="s">
        <v>4531</v>
      </c>
      <c r="C1079" t="s">
        <v>4542</v>
      </c>
      <c r="D1079">
        <v>137</v>
      </c>
      <c r="E1079">
        <v>25</v>
      </c>
      <c r="F1079">
        <v>24</v>
      </c>
      <c r="G1079">
        <v>15</v>
      </c>
      <c r="H1079">
        <v>40</v>
      </c>
      <c r="I1079">
        <v>33</v>
      </c>
      <c r="J1079">
        <v>33</v>
      </c>
      <c r="K1079">
        <v>42</v>
      </c>
      <c r="L1079">
        <v>62</v>
      </c>
      <c r="M1079">
        <v>120</v>
      </c>
      <c r="N1079">
        <v>17</v>
      </c>
      <c r="O1079" t="s">
        <v>4543</v>
      </c>
      <c r="P1079" s="1" t="b">
        <f>NOT(OR(Table1[[#This Row],[State]]="Other Foreign Countries", Table1[[#This Row],[State]]="Unknown", Table1[[#This Row],[State]]="Puerto Rico all counties"))</f>
        <v>1</v>
      </c>
    </row>
    <row r="1080" spans="1:16" x14ac:dyDescent="0.25">
      <c r="A1080">
        <v>26055</v>
      </c>
      <c r="B1080" t="s">
        <v>2099</v>
      </c>
      <c r="C1080" t="s">
        <v>2145</v>
      </c>
      <c r="D1080">
        <v>1710</v>
      </c>
      <c r="E1080">
        <v>458</v>
      </c>
      <c r="F1080">
        <v>210</v>
      </c>
      <c r="G1080">
        <v>213</v>
      </c>
      <c r="H1080">
        <v>458</v>
      </c>
      <c r="I1080">
        <v>371</v>
      </c>
      <c r="J1080">
        <v>406</v>
      </c>
      <c r="K1080">
        <v>484</v>
      </c>
      <c r="L1080">
        <v>820</v>
      </c>
      <c r="M1080" s="1">
        <v>1578</v>
      </c>
      <c r="N1080">
        <v>132</v>
      </c>
      <c r="O1080" t="s">
        <v>2146</v>
      </c>
      <c r="P1080" s="1" t="b">
        <f>NOT(OR(Table1[[#This Row],[State]]="Other Foreign Countries", Table1[[#This Row],[State]]="Unknown", Table1[[#This Row],[State]]="Puerto Rico all counties"))</f>
        <v>1</v>
      </c>
    </row>
    <row r="1081" spans="1:16" x14ac:dyDescent="0.25">
      <c r="A1081">
        <v>30039</v>
      </c>
      <c r="B1081" t="s">
        <v>2665</v>
      </c>
      <c r="C1081" t="s">
        <v>2698</v>
      </c>
      <c r="D1081">
        <v>103</v>
      </c>
      <c r="E1081">
        <v>20</v>
      </c>
      <c r="H1081">
        <v>36</v>
      </c>
      <c r="I1081">
        <v>30</v>
      </c>
      <c r="J1081">
        <v>27</v>
      </c>
      <c r="K1081">
        <v>40</v>
      </c>
      <c r="L1081">
        <v>36</v>
      </c>
      <c r="M1081">
        <v>89</v>
      </c>
      <c r="N1081">
        <v>14</v>
      </c>
      <c r="O1081" t="s">
        <v>2699</v>
      </c>
      <c r="P1081" s="1" t="b">
        <f>NOT(OR(Table1[[#This Row],[State]]="Other Foreign Countries", Table1[[#This Row],[State]]="Unknown", Table1[[#This Row],[State]]="Puerto Rico all counties"))</f>
        <v>1</v>
      </c>
    </row>
    <row r="1082" spans="1:16" x14ac:dyDescent="0.25">
      <c r="A1082">
        <v>5053</v>
      </c>
      <c r="B1082" t="s">
        <v>242</v>
      </c>
      <c r="C1082" t="s">
        <v>289</v>
      </c>
      <c r="D1082">
        <v>434</v>
      </c>
      <c r="E1082">
        <v>64</v>
      </c>
      <c r="F1082">
        <v>44</v>
      </c>
      <c r="G1082">
        <v>42</v>
      </c>
      <c r="H1082">
        <v>162</v>
      </c>
      <c r="I1082">
        <v>122</v>
      </c>
      <c r="J1082">
        <v>124</v>
      </c>
      <c r="K1082">
        <v>166</v>
      </c>
      <c r="L1082">
        <v>144</v>
      </c>
      <c r="M1082">
        <v>384</v>
      </c>
      <c r="N1082">
        <v>50</v>
      </c>
      <c r="O1082" t="s">
        <v>290</v>
      </c>
      <c r="P1082" s="1" t="b">
        <f>NOT(OR(Table1[[#This Row],[State]]="Other Foreign Countries", Table1[[#This Row],[State]]="Unknown", Table1[[#This Row],[State]]="Puerto Rico all counties"))</f>
        <v>1</v>
      </c>
    </row>
    <row r="1083" spans="1:16" x14ac:dyDescent="0.25">
      <c r="A1083">
        <v>18053</v>
      </c>
      <c r="B1083" t="s">
        <v>1266</v>
      </c>
      <c r="C1083" t="s">
        <v>289</v>
      </c>
      <c r="D1083">
        <v>1928</v>
      </c>
      <c r="E1083">
        <v>633</v>
      </c>
      <c r="F1083">
        <v>273</v>
      </c>
      <c r="G1083">
        <v>218</v>
      </c>
      <c r="H1083">
        <v>459</v>
      </c>
      <c r="I1083">
        <v>345</v>
      </c>
      <c r="J1083">
        <v>327</v>
      </c>
      <c r="K1083">
        <v>564</v>
      </c>
      <c r="L1083" s="1">
        <v>1037</v>
      </c>
      <c r="M1083" s="1">
        <v>1802</v>
      </c>
      <c r="N1083">
        <v>126</v>
      </c>
      <c r="O1083" t="s">
        <v>1302</v>
      </c>
      <c r="P1083" s="1" t="b">
        <f>NOT(OR(Table1[[#This Row],[State]]="Other Foreign Countries", Table1[[#This Row],[State]]="Unknown", Table1[[#This Row],[State]]="Puerto Rico all counties"))</f>
        <v>1</v>
      </c>
    </row>
    <row r="1084" spans="1:16" x14ac:dyDescent="0.25">
      <c r="A1084">
        <v>20067</v>
      </c>
      <c r="B1084" t="s">
        <v>1543</v>
      </c>
      <c r="C1084" t="s">
        <v>289</v>
      </c>
      <c r="D1084">
        <v>51</v>
      </c>
      <c r="H1084">
        <v>20</v>
      </c>
      <c r="I1084">
        <v>12</v>
      </c>
      <c r="J1084">
        <v>16</v>
      </c>
      <c r="K1084">
        <v>12</v>
      </c>
      <c r="L1084">
        <v>23</v>
      </c>
      <c r="O1084" t="s">
        <v>1595</v>
      </c>
      <c r="P1084" s="1" t="b">
        <f>NOT(OR(Table1[[#This Row],[State]]="Other Foreign Countries", Table1[[#This Row],[State]]="Unknown", Table1[[#This Row],[State]]="Puerto Rico all counties"))</f>
        <v>1</v>
      </c>
    </row>
    <row r="1085" spans="1:16" x14ac:dyDescent="0.25">
      <c r="A1085">
        <v>21081</v>
      </c>
      <c r="B1085" t="s">
        <v>1716</v>
      </c>
      <c r="C1085" t="s">
        <v>289</v>
      </c>
      <c r="D1085">
        <v>429</v>
      </c>
      <c r="E1085">
        <v>120</v>
      </c>
      <c r="F1085">
        <v>39</v>
      </c>
      <c r="G1085">
        <v>74</v>
      </c>
      <c r="H1085">
        <v>109</v>
      </c>
      <c r="I1085">
        <v>87</v>
      </c>
      <c r="J1085">
        <v>143</v>
      </c>
      <c r="K1085">
        <v>114</v>
      </c>
      <c r="L1085">
        <v>172</v>
      </c>
      <c r="M1085">
        <v>400</v>
      </c>
      <c r="N1085">
        <v>29</v>
      </c>
      <c r="O1085" t="s">
        <v>1778</v>
      </c>
      <c r="P1085" s="1" t="b">
        <f>NOT(OR(Table1[[#This Row],[State]]="Other Foreign Countries", Table1[[#This Row],[State]]="Unknown", Table1[[#This Row],[State]]="Puerto Rico all counties"))</f>
        <v>1</v>
      </c>
    </row>
    <row r="1086" spans="1:16" x14ac:dyDescent="0.25">
      <c r="A1086">
        <v>22043</v>
      </c>
      <c r="B1086" t="s">
        <v>1892</v>
      </c>
      <c r="C1086" t="s">
        <v>289</v>
      </c>
      <c r="D1086">
        <v>567</v>
      </c>
      <c r="E1086">
        <v>90</v>
      </c>
      <c r="F1086">
        <v>41</v>
      </c>
      <c r="G1086">
        <v>56</v>
      </c>
      <c r="H1086">
        <v>208</v>
      </c>
      <c r="I1086">
        <v>172</v>
      </c>
      <c r="J1086">
        <v>135</v>
      </c>
      <c r="K1086">
        <v>195</v>
      </c>
      <c r="L1086">
        <v>237</v>
      </c>
      <c r="M1086">
        <v>509</v>
      </c>
      <c r="N1086">
        <v>58</v>
      </c>
      <c r="O1086" t="s">
        <v>1932</v>
      </c>
      <c r="P1086" s="1" t="b">
        <f>NOT(OR(Table1[[#This Row],[State]]="Other Foreign Countries", Table1[[#This Row],[State]]="Unknown", Table1[[#This Row],[State]]="Puerto Rico all counties"))</f>
        <v>1</v>
      </c>
    </row>
    <row r="1087" spans="1:16" x14ac:dyDescent="0.25">
      <c r="A1087">
        <v>27051</v>
      </c>
      <c r="B1087" t="s">
        <v>2245</v>
      </c>
      <c r="C1087" t="s">
        <v>289</v>
      </c>
      <c r="D1087">
        <v>120</v>
      </c>
      <c r="E1087">
        <v>41</v>
      </c>
      <c r="H1087">
        <v>35</v>
      </c>
      <c r="I1087">
        <v>18</v>
      </c>
      <c r="J1087">
        <v>21</v>
      </c>
      <c r="K1087">
        <v>22</v>
      </c>
      <c r="L1087">
        <v>77</v>
      </c>
      <c r="O1087" t="s">
        <v>2287</v>
      </c>
      <c r="P1087" s="1" t="b">
        <f>NOT(OR(Table1[[#This Row],[State]]="Other Foreign Countries", Table1[[#This Row],[State]]="Unknown", Table1[[#This Row],[State]]="Puerto Rico all counties"))</f>
        <v>1</v>
      </c>
    </row>
    <row r="1088" spans="1:16" x14ac:dyDescent="0.25">
      <c r="A1088">
        <v>31075</v>
      </c>
      <c r="B1088" t="s">
        <v>2758</v>
      </c>
      <c r="C1088" t="s">
        <v>289</v>
      </c>
      <c r="D1088">
        <v>11</v>
      </c>
      <c r="O1088" t="s">
        <v>2814</v>
      </c>
      <c r="P1088" s="1" t="b">
        <f>NOT(OR(Table1[[#This Row],[State]]="Other Foreign Countries", Table1[[#This Row],[State]]="Unknown", Table1[[#This Row],[State]]="Puerto Rico all counties"))</f>
        <v>1</v>
      </c>
    </row>
    <row r="1089" spans="1:16" x14ac:dyDescent="0.25">
      <c r="A1089">
        <v>35017</v>
      </c>
      <c r="B1089" t="s">
        <v>2971</v>
      </c>
      <c r="C1089" t="s">
        <v>289</v>
      </c>
      <c r="D1089">
        <v>660</v>
      </c>
      <c r="E1089">
        <v>120</v>
      </c>
      <c r="F1089">
        <v>56</v>
      </c>
      <c r="G1089">
        <v>62</v>
      </c>
      <c r="H1089">
        <v>243</v>
      </c>
      <c r="I1089">
        <v>179</v>
      </c>
      <c r="J1089">
        <v>98</v>
      </c>
      <c r="K1089">
        <v>178</v>
      </c>
      <c r="L1089">
        <v>384</v>
      </c>
      <c r="M1089">
        <v>611</v>
      </c>
      <c r="N1089">
        <v>49</v>
      </c>
      <c r="O1089" t="s">
        <v>2989</v>
      </c>
      <c r="P1089" s="1" t="b">
        <f>NOT(OR(Table1[[#This Row],[State]]="Other Foreign Countries", Table1[[#This Row],[State]]="Unknown", Table1[[#This Row],[State]]="Puerto Rico all counties"))</f>
        <v>1</v>
      </c>
    </row>
    <row r="1090" spans="1:16" x14ac:dyDescent="0.25">
      <c r="A1090">
        <v>38037</v>
      </c>
      <c r="B1090" t="s">
        <v>3286</v>
      </c>
      <c r="C1090" t="s">
        <v>289</v>
      </c>
      <c r="D1090">
        <v>48</v>
      </c>
      <c r="H1090">
        <v>16</v>
      </c>
      <c r="I1090">
        <v>13</v>
      </c>
      <c r="L1090">
        <v>24</v>
      </c>
      <c r="O1090" t="s">
        <v>3318</v>
      </c>
      <c r="P1090" s="1" t="b">
        <f>NOT(OR(Table1[[#This Row],[State]]="Other Foreign Countries", Table1[[#This Row],[State]]="Unknown", Table1[[#This Row],[State]]="Puerto Rico all counties"))</f>
        <v>1</v>
      </c>
    </row>
    <row r="1091" spans="1:16" x14ac:dyDescent="0.25">
      <c r="A1091">
        <v>40053</v>
      </c>
      <c r="B1091" t="s">
        <v>3495</v>
      </c>
      <c r="C1091" t="s">
        <v>289</v>
      </c>
      <c r="D1091">
        <v>75</v>
      </c>
      <c r="E1091">
        <v>23</v>
      </c>
      <c r="H1091">
        <v>27</v>
      </c>
      <c r="I1091">
        <v>11</v>
      </c>
      <c r="J1091">
        <v>17</v>
      </c>
      <c r="K1091">
        <v>18</v>
      </c>
      <c r="L1091">
        <v>40</v>
      </c>
      <c r="O1091" t="s">
        <v>3534</v>
      </c>
      <c r="P1091" s="1" t="b">
        <f>NOT(OR(Table1[[#This Row],[State]]="Other Foreign Countries", Table1[[#This Row],[State]]="Unknown", Table1[[#This Row],[State]]="Puerto Rico all counties"))</f>
        <v>1</v>
      </c>
    </row>
    <row r="1092" spans="1:16" x14ac:dyDescent="0.25">
      <c r="A1092">
        <v>41023</v>
      </c>
      <c r="B1092" t="s">
        <v>2607</v>
      </c>
      <c r="C1092" t="s">
        <v>289</v>
      </c>
      <c r="D1092">
        <v>276</v>
      </c>
      <c r="E1092">
        <v>63</v>
      </c>
      <c r="F1092">
        <v>36</v>
      </c>
      <c r="G1092">
        <v>41</v>
      </c>
      <c r="H1092">
        <v>84</v>
      </c>
      <c r="I1092">
        <v>52</v>
      </c>
      <c r="J1092">
        <v>50</v>
      </c>
      <c r="K1092">
        <v>63</v>
      </c>
      <c r="L1092">
        <v>163</v>
      </c>
      <c r="M1092">
        <v>259</v>
      </c>
      <c r="N1092">
        <v>17</v>
      </c>
      <c r="O1092" t="s">
        <v>3629</v>
      </c>
      <c r="P1092" s="1" t="b">
        <f>NOT(OR(Table1[[#This Row],[State]]="Other Foreign Countries", Table1[[#This Row],[State]]="Unknown", Table1[[#This Row],[State]]="Puerto Rico all counties"))</f>
        <v>1</v>
      </c>
    </row>
    <row r="1093" spans="1:16" x14ac:dyDescent="0.25">
      <c r="A1093">
        <v>46051</v>
      </c>
      <c r="B1093" t="s">
        <v>3846</v>
      </c>
      <c r="C1093" t="s">
        <v>289</v>
      </c>
      <c r="D1093">
        <v>174</v>
      </c>
      <c r="E1093">
        <v>57</v>
      </c>
      <c r="F1093">
        <v>27</v>
      </c>
      <c r="G1093">
        <v>19</v>
      </c>
      <c r="H1093">
        <v>33</v>
      </c>
      <c r="I1093">
        <v>38</v>
      </c>
      <c r="J1093">
        <v>20</v>
      </c>
      <c r="K1093">
        <v>49</v>
      </c>
      <c r="L1093">
        <v>105</v>
      </c>
      <c r="O1093" t="s">
        <v>3885</v>
      </c>
      <c r="P1093" s="1" t="b">
        <f>NOT(OR(Table1[[#This Row],[State]]="Other Foreign Countries", Table1[[#This Row],[State]]="Unknown", Table1[[#This Row],[State]]="Puerto Rico all counties"))</f>
        <v>1</v>
      </c>
    </row>
    <row r="1094" spans="1:16" x14ac:dyDescent="0.25">
      <c r="A1094">
        <v>53025</v>
      </c>
      <c r="B1094" t="s">
        <v>144</v>
      </c>
      <c r="C1094" t="s">
        <v>289</v>
      </c>
      <c r="D1094">
        <v>1449</v>
      </c>
      <c r="E1094">
        <v>394</v>
      </c>
      <c r="F1094">
        <v>184</v>
      </c>
      <c r="G1094">
        <v>187</v>
      </c>
      <c r="H1094">
        <v>404</v>
      </c>
      <c r="I1094">
        <v>280</v>
      </c>
      <c r="J1094">
        <v>362</v>
      </c>
      <c r="K1094">
        <v>428</v>
      </c>
      <c r="L1094">
        <v>659</v>
      </c>
      <c r="M1094" s="1">
        <v>1327</v>
      </c>
      <c r="N1094">
        <v>122</v>
      </c>
      <c r="O1094" t="s">
        <v>4789</v>
      </c>
      <c r="P1094" s="1" t="b">
        <f>NOT(OR(Table1[[#This Row],[State]]="Other Foreign Countries", Table1[[#This Row],[State]]="Unknown", Table1[[#This Row],[State]]="Puerto Rico all counties"))</f>
        <v>1</v>
      </c>
    </row>
    <row r="1095" spans="1:16" x14ac:dyDescent="0.25">
      <c r="A1095">
        <v>54023</v>
      </c>
      <c r="B1095" t="s">
        <v>4833</v>
      </c>
      <c r="C1095" t="s">
        <v>289</v>
      </c>
      <c r="D1095">
        <v>212</v>
      </c>
      <c r="E1095">
        <v>34</v>
      </c>
      <c r="F1095">
        <v>24</v>
      </c>
      <c r="G1095">
        <v>33</v>
      </c>
      <c r="H1095">
        <v>57</v>
      </c>
      <c r="I1095">
        <v>64</v>
      </c>
      <c r="J1095">
        <v>40</v>
      </c>
      <c r="K1095">
        <v>71</v>
      </c>
      <c r="L1095">
        <v>101</v>
      </c>
      <c r="M1095">
        <v>197</v>
      </c>
      <c r="N1095">
        <v>15</v>
      </c>
      <c r="O1095" t="s">
        <v>4849</v>
      </c>
      <c r="P1095" s="1" t="b">
        <f>NOT(OR(Table1[[#This Row],[State]]="Other Foreign Countries", Table1[[#This Row],[State]]="Unknown", Table1[[#This Row],[State]]="Puerto Rico all counties"))</f>
        <v>1</v>
      </c>
    </row>
    <row r="1096" spans="1:16" x14ac:dyDescent="0.25">
      <c r="A1096">
        <v>55043</v>
      </c>
      <c r="B1096" t="s">
        <v>4906</v>
      </c>
      <c r="C1096" t="s">
        <v>289</v>
      </c>
      <c r="D1096">
        <v>883</v>
      </c>
      <c r="E1096">
        <v>256</v>
      </c>
      <c r="F1096">
        <v>147</v>
      </c>
      <c r="G1096">
        <v>129</v>
      </c>
      <c r="H1096">
        <v>226</v>
      </c>
      <c r="I1096">
        <v>125</v>
      </c>
      <c r="J1096">
        <v>200</v>
      </c>
      <c r="K1096">
        <v>219</v>
      </c>
      <c r="L1096">
        <v>464</v>
      </c>
      <c r="M1096">
        <v>803</v>
      </c>
      <c r="N1096">
        <v>80</v>
      </c>
      <c r="O1096" t="s">
        <v>4936</v>
      </c>
      <c r="P1096" s="1" t="b">
        <f>NOT(OR(Table1[[#This Row],[State]]="Other Foreign Countries", Table1[[#This Row],[State]]="Unknown", Table1[[#This Row],[State]]="Puerto Rico all counties"))</f>
        <v>1</v>
      </c>
    </row>
    <row r="1097" spans="1:16" x14ac:dyDescent="0.25">
      <c r="A1097">
        <v>37077</v>
      </c>
      <c r="B1097" t="s">
        <v>3121</v>
      </c>
      <c r="C1097" t="s">
        <v>3186</v>
      </c>
      <c r="D1097">
        <v>1300</v>
      </c>
      <c r="E1097">
        <v>213</v>
      </c>
      <c r="F1097">
        <v>138</v>
      </c>
      <c r="G1097">
        <v>162</v>
      </c>
      <c r="H1097">
        <v>419</v>
      </c>
      <c r="I1097">
        <v>368</v>
      </c>
      <c r="J1097">
        <v>289</v>
      </c>
      <c r="K1097">
        <v>501</v>
      </c>
      <c r="L1097">
        <v>510</v>
      </c>
      <c r="M1097" s="1">
        <v>1144</v>
      </c>
      <c r="N1097">
        <v>156</v>
      </c>
      <c r="O1097" t="s">
        <v>3187</v>
      </c>
      <c r="P1097" s="1" t="b">
        <f>NOT(OR(Table1[[#This Row],[State]]="Other Foreign Countries", Table1[[#This Row],[State]]="Unknown", Table1[[#This Row],[State]]="Puerto Rico all counties"))</f>
        <v>1</v>
      </c>
    </row>
    <row r="1098" spans="1:16" x14ac:dyDescent="0.25">
      <c r="A1098">
        <v>26057</v>
      </c>
      <c r="B1098" t="s">
        <v>2099</v>
      </c>
      <c r="C1098" t="s">
        <v>2147</v>
      </c>
      <c r="D1098">
        <v>716</v>
      </c>
      <c r="E1098">
        <v>205</v>
      </c>
      <c r="F1098">
        <v>85</v>
      </c>
      <c r="G1098">
        <v>78</v>
      </c>
      <c r="H1098">
        <v>189</v>
      </c>
      <c r="I1098">
        <v>159</v>
      </c>
      <c r="J1098">
        <v>139</v>
      </c>
      <c r="K1098">
        <v>187</v>
      </c>
      <c r="L1098">
        <v>390</v>
      </c>
      <c r="M1098">
        <v>668</v>
      </c>
      <c r="N1098">
        <v>48</v>
      </c>
      <c r="O1098" t="s">
        <v>2148</v>
      </c>
      <c r="P1098" s="1" t="b">
        <f>NOT(OR(Table1[[#This Row],[State]]="Other Foreign Countries", Table1[[#This Row],[State]]="Unknown", Table1[[#This Row],[State]]="Puerto Rico all counties"))</f>
        <v>1</v>
      </c>
    </row>
    <row r="1099" spans="1:16" x14ac:dyDescent="0.25">
      <c r="A1099">
        <v>21083</v>
      </c>
      <c r="B1099" t="s">
        <v>1716</v>
      </c>
      <c r="C1099" t="s">
        <v>1779</v>
      </c>
      <c r="D1099">
        <v>609</v>
      </c>
      <c r="E1099">
        <v>134</v>
      </c>
      <c r="F1099">
        <v>71</v>
      </c>
      <c r="G1099">
        <v>73</v>
      </c>
      <c r="H1099">
        <v>176</v>
      </c>
      <c r="I1099">
        <v>155</v>
      </c>
      <c r="J1099">
        <v>146</v>
      </c>
      <c r="K1099">
        <v>207</v>
      </c>
      <c r="L1099">
        <v>256</v>
      </c>
      <c r="M1099">
        <v>555</v>
      </c>
      <c r="N1099">
        <v>54</v>
      </c>
      <c r="O1099" t="s">
        <v>1780</v>
      </c>
      <c r="P1099" s="1" t="b">
        <f>NOT(OR(Table1[[#This Row],[State]]="Other Foreign Countries", Table1[[#This Row],[State]]="Unknown", Table1[[#This Row],[State]]="Puerto Rico all counties"))</f>
        <v>1</v>
      </c>
    </row>
    <row r="1100" spans="1:16" x14ac:dyDescent="0.25">
      <c r="A1100">
        <v>20069</v>
      </c>
      <c r="B1100" t="s">
        <v>1543</v>
      </c>
      <c r="C1100" t="s">
        <v>1596</v>
      </c>
      <c r="D1100">
        <v>65</v>
      </c>
      <c r="F1100">
        <v>13</v>
      </c>
      <c r="H1100">
        <v>12</v>
      </c>
      <c r="I1100">
        <v>26</v>
      </c>
      <c r="L1100">
        <v>49</v>
      </c>
      <c r="O1100" t="s">
        <v>1597</v>
      </c>
      <c r="P1100" s="1" t="b">
        <f>NOT(OR(Table1[[#This Row],[State]]="Other Foreign Countries", Table1[[#This Row],[State]]="Unknown", Table1[[#This Row],[State]]="Puerto Rico all counties"))</f>
        <v>1</v>
      </c>
    </row>
    <row r="1101" spans="1:16" x14ac:dyDescent="0.25">
      <c r="A1101">
        <v>48179</v>
      </c>
      <c r="B1101" t="s">
        <v>2654</v>
      </c>
      <c r="C1101" t="s">
        <v>1596</v>
      </c>
      <c r="D1101">
        <v>295</v>
      </c>
      <c r="E1101">
        <v>65</v>
      </c>
      <c r="F1101">
        <v>31</v>
      </c>
      <c r="G1101">
        <v>29</v>
      </c>
      <c r="H1101">
        <v>90</v>
      </c>
      <c r="I1101">
        <v>80</v>
      </c>
      <c r="J1101">
        <v>80</v>
      </c>
      <c r="K1101">
        <v>86</v>
      </c>
      <c r="L1101">
        <v>128</v>
      </c>
      <c r="M1101">
        <v>271</v>
      </c>
      <c r="N1101">
        <v>24</v>
      </c>
      <c r="O1101" t="s">
        <v>4225</v>
      </c>
      <c r="P1101" s="1" t="b">
        <f>NOT(OR(Table1[[#This Row],[State]]="Other Foreign Countries", Table1[[#This Row],[State]]="Unknown", Table1[[#This Row],[State]]="Puerto Rico all counties"))</f>
        <v>1</v>
      </c>
    </row>
    <row r="1102" spans="1:16" x14ac:dyDescent="0.25">
      <c r="A1102">
        <v>53027</v>
      </c>
      <c r="B1102" t="s">
        <v>144</v>
      </c>
      <c r="C1102" t="s">
        <v>4790</v>
      </c>
      <c r="D1102">
        <v>1896</v>
      </c>
      <c r="E1102">
        <v>402</v>
      </c>
      <c r="F1102">
        <v>197</v>
      </c>
      <c r="G1102">
        <v>240</v>
      </c>
      <c r="H1102">
        <v>592</v>
      </c>
      <c r="I1102">
        <v>465</v>
      </c>
      <c r="J1102">
        <v>393</v>
      </c>
      <c r="K1102">
        <v>572</v>
      </c>
      <c r="L1102">
        <v>931</v>
      </c>
      <c r="M1102" s="1">
        <v>1691</v>
      </c>
      <c r="N1102">
        <v>204</v>
      </c>
      <c r="O1102" t="s">
        <v>4791</v>
      </c>
      <c r="P1102" s="1" t="b">
        <f>NOT(OR(Table1[[#This Row],[State]]="Other Foreign Countries", Table1[[#This Row],[State]]="Unknown", Table1[[#This Row],[State]]="Puerto Rico all counties"))</f>
        <v>1</v>
      </c>
    </row>
    <row r="1103" spans="1:16" x14ac:dyDescent="0.25">
      <c r="A1103">
        <v>21085</v>
      </c>
      <c r="B1103" t="s">
        <v>1716</v>
      </c>
      <c r="C1103" t="s">
        <v>1781</v>
      </c>
      <c r="D1103">
        <v>565</v>
      </c>
      <c r="E1103">
        <v>98</v>
      </c>
      <c r="F1103">
        <v>65</v>
      </c>
      <c r="G1103">
        <v>57</v>
      </c>
      <c r="H1103">
        <v>177</v>
      </c>
      <c r="I1103">
        <v>168</v>
      </c>
      <c r="J1103">
        <v>108</v>
      </c>
      <c r="K1103">
        <v>220</v>
      </c>
      <c r="L1103">
        <v>237</v>
      </c>
      <c r="M1103">
        <v>511</v>
      </c>
      <c r="N1103">
        <v>54</v>
      </c>
      <c r="O1103" t="s">
        <v>1782</v>
      </c>
      <c r="P1103" s="1" t="b">
        <f>NOT(OR(Table1[[#This Row],[State]]="Other Foreign Countries", Table1[[#This Row],[State]]="Unknown", Table1[[#This Row],[State]]="Puerto Rico all counties"))</f>
        <v>1</v>
      </c>
    </row>
    <row r="1104" spans="1:16" x14ac:dyDescent="0.25">
      <c r="A1104">
        <v>48181</v>
      </c>
      <c r="B1104" t="s">
        <v>2654</v>
      </c>
      <c r="C1104" t="s">
        <v>1781</v>
      </c>
      <c r="D1104">
        <v>3763</v>
      </c>
      <c r="E1104">
        <v>726</v>
      </c>
      <c r="F1104">
        <v>362</v>
      </c>
      <c r="G1104">
        <v>448</v>
      </c>
      <c r="H1104" s="1">
        <v>1154</v>
      </c>
      <c r="I1104" s="1">
        <v>1073</v>
      </c>
      <c r="J1104" s="1">
        <v>1116</v>
      </c>
      <c r="K1104" s="1">
        <v>1148</v>
      </c>
      <c r="L1104" s="1">
        <v>1499</v>
      </c>
      <c r="M1104" s="1">
        <v>3397</v>
      </c>
      <c r="N1104">
        <v>366</v>
      </c>
      <c r="O1104" t="s">
        <v>4226</v>
      </c>
      <c r="P1104" s="1" t="b">
        <f>NOT(OR(Table1[[#This Row],[State]]="Other Foreign Countries", Table1[[#This Row],[State]]="Unknown", Table1[[#This Row],[State]]="Puerto Rico all counties"))</f>
        <v>1</v>
      </c>
    </row>
    <row r="1105" spans="1:16" x14ac:dyDescent="0.25">
      <c r="A1105">
        <v>51077</v>
      </c>
      <c r="B1105" t="s">
        <v>4555</v>
      </c>
      <c r="C1105" t="s">
        <v>1781</v>
      </c>
      <c r="D1105">
        <v>308</v>
      </c>
      <c r="E1105">
        <v>62</v>
      </c>
      <c r="F1105">
        <v>39</v>
      </c>
      <c r="G1105">
        <v>31</v>
      </c>
      <c r="H1105">
        <v>101</v>
      </c>
      <c r="I1105">
        <v>75</v>
      </c>
      <c r="J1105">
        <v>53</v>
      </c>
      <c r="K1105">
        <v>93</v>
      </c>
      <c r="L1105">
        <v>162</v>
      </c>
      <c r="M1105">
        <v>279</v>
      </c>
      <c r="N1105">
        <v>29</v>
      </c>
      <c r="O1105" t="s">
        <v>4611</v>
      </c>
      <c r="P1105" s="1" t="b">
        <f>NOT(OR(Table1[[#This Row],[State]]="Other Foreign Countries", Table1[[#This Row],[State]]="Unknown", Table1[[#This Row],[State]]="Puerto Rico all counties"))</f>
        <v>1</v>
      </c>
    </row>
    <row r="1106" spans="1:16" x14ac:dyDescent="0.25">
      <c r="A1106">
        <v>9120</v>
      </c>
      <c r="B1106" t="s">
        <v>609</v>
      </c>
      <c r="C1106" t="s">
        <v>612</v>
      </c>
      <c r="D1106">
        <v>1828</v>
      </c>
      <c r="E1106">
        <v>467</v>
      </c>
      <c r="F1106">
        <v>223</v>
      </c>
      <c r="G1106">
        <v>241</v>
      </c>
      <c r="H1106">
        <v>505</v>
      </c>
      <c r="I1106">
        <v>392</v>
      </c>
      <c r="J1106">
        <v>534</v>
      </c>
      <c r="K1106">
        <v>494</v>
      </c>
      <c r="L1106">
        <v>800</v>
      </c>
      <c r="M1106" s="1">
        <v>1633</v>
      </c>
      <c r="N1106">
        <v>195</v>
      </c>
      <c r="O1106" t="s">
        <v>613</v>
      </c>
      <c r="P1106" s="1" t="b">
        <f>NOT(OR(Table1[[#This Row],[State]]="Other Foreign Countries", Table1[[#This Row],[State]]="Unknown", Table1[[#This Row],[State]]="Puerto Rico all counties"))</f>
        <v>1</v>
      </c>
    </row>
    <row r="1107" spans="1:16" x14ac:dyDescent="0.25">
      <c r="A1107">
        <v>20071</v>
      </c>
      <c r="B1107" t="s">
        <v>1543</v>
      </c>
      <c r="C1107" t="s">
        <v>1598</v>
      </c>
      <c r="D1107">
        <v>12</v>
      </c>
      <c r="O1107" t="s">
        <v>1599</v>
      </c>
      <c r="P1107" s="1" t="b">
        <f>NOT(OR(Table1[[#This Row],[State]]="Other Foreign Countries", Table1[[#This Row],[State]]="Unknown", Table1[[#This Row],[State]]="Puerto Rico all counties"))</f>
        <v>1</v>
      </c>
    </row>
    <row r="1108" spans="1:16" x14ac:dyDescent="0.25">
      <c r="A1108">
        <v>31077</v>
      </c>
      <c r="B1108" t="s">
        <v>2758</v>
      </c>
      <c r="C1108" t="s">
        <v>1598</v>
      </c>
      <c r="D1108">
        <v>85</v>
      </c>
      <c r="E1108">
        <v>41</v>
      </c>
      <c r="H1108">
        <v>17</v>
      </c>
      <c r="I1108">
        <v>13</v>
      </c>
      <c r="L1108">
        <v>66</v>
      </c>
      <c r="O1108" t="s">
        <v>2815</v>
      </c>
      <c r="P1108" s="1" t="b">
        <f>NOT(OR(Table1[[#This Row],[State]]="Other Foreign Countries", Table1[[#This Row],[State]]="Unknown", Table1[[#This Row],[State]]="Puerto Rico all counties"))</f>
        <v>1</v>
      </c>
    </row>
    <row r="1109" spans="1:16" x14ac:dyDescent="0.25">
      <c r="A1109">
        <v>21087</v>
      </c>
      <c r="B1109" t="s">
        <v>1716</v>
      </c>
      <c r="C1109" t="s">
        <v>1783</v>
      </c>
      <c r="D1109">
        <v>197</v>
      </c>
      <c r="E1109">
        <v>41</v>
      </c>
      <c r="F1109">
        <v>27</v>
      </c>
      <c r="G1109">
        <v>31</v>
      </c>
      <c r="H1109">
        <v>56</v>
      </c>
      <c r="I1109">
        <v>42</v>
      </c>
      <c r="J1109">
        <v>51</v>
      </c>
      <c r="K1109">
        <v>59</v>
      </c>
      <c r="L1109">
        <v>87</v>
      </c>
      <c r="M1109">
        <v>180</v>
      </c>
      <c r="N1109">
        <v>17</v>
      </c>
      <c r="O1109" t="s">
        <v>1784</v>
      </c>
      <c r="P1109" s="1" t="b">
        <f>NOT(OR(Table1[[#This Row],[State]]="Other Foreign Countries", Table1[[#This Row],[State]]="Unknown", Table1[[#This Row],[State]]="Puerto Rico all counties"))</f>
        <v>1</v>
      </c>
    </row>
    <row r="1110" spans="1:16" x14ac:dyDescent="0.25">
      <c r="A1110">
        <v>55045</v>
      </c>
      <c r="B1110" t="s">
        <v>4906</v>
      </c>
      <c r="C1110" t="s">
        <v>1783</v>
      </c>
      <c r="D1110">
        <v>640</v>
      </c>
      <c r="E1110">
        <v>202</v>
      </c>
      <c r="F1110">
        <v>81</v>
      </c>
      <c r="G1110">
        <v>70</v>
      </c>
      <c r="H1110">
        <v>166</v>
      </c>
      <c r="I1110">
        <v>121</v>
      </c>
      <c r="J1110">
        <v>160</v>
      </c>
      <c r="K1110">
        <v>169</v>
      </c>
      <c r="L1110">
        <v>311</v>
      </c>
      <c r="M1110">
        <v>587</v>
      </c>
      <c r="N1110">
        <v>52</v>
      </c>
      <c r="O1110" t="s">
        <v>4937</v>
      </c>
      <c r="P1110" s="1" t="b">
        <f>NOT(OR(Table1[[#This Row],[State]]="Other Foreign Countries", Table1[[#This Row],[State]]="Unknown", Table1[[#This Row],[State]]="Puerto Rico all counties"))</f>
        <v>1</v>
      </c>
    </row>
    <row r="1111" spans="1:16" x14ac:dyDescent="0.25">
      <c r="A1111">
        <v>55047</v>
      </c>
      <c r="B1111" t="s">
        <v>4906</v>
      </c>
      <c r="C1111" t="s">
        <v>4938</v>
      </c>
      <c r="D1111">
        <v>317</v>
      </c>
      <c r="E1111">
        <v>70</v>
      </c>
      <c r="F1111">
        <v>50</v>
      </c>
      <c r="G1111">
        <v>43</v>
      </c>
      <c r="H1111">
        <v>74</v>
      </c>
      <c r="I1111">
        <v>80</v>
      </c>
      <c r="J1111">
        <v>65</v>
      </c>
      <c r="K1111">
        <v>87</v>
      </c>
      <c r="L1111">
        <v>165</v>
      </c>
      <c r="M1111">
        <v>284</v>
      </c>
      <c r="N1111">
        <v>33</v>
      </c>
      <c r="O1111" t="s">
        <v>4939</v>
      </c>
      <c r="P1111" s="1" t="b">
        <f>NOT(OR(Table1[[#This Row],[State]]="Other Foreign Countries", Table1[[#This Row],[State]]="Unknown", Table1[[#This Row],[State]]="Puerto Rico all counties"))</f>
        <v>1</v>
      </c>
    </row>
    <row r="1112" spans="1:16" x14ac:dyDescent="0.25">
      <c r="A1112">
        <v>54025</v>
      </c>
      <c r="B1112" t="s">
        <v>4833</v>
      </c>
      <c r="C1112" t="s">
        <v>4850</v>
      </c>
      <c r="D1112">
        <v>1057</v>
      </c>
      <c r="E1112">
        <v>258</v>
      </c>
      <c r="F1112">
        <v>113</v>
      </c>
      <c r="G1112">
        <v>156</v>
      </c>
      <c r="H1112">
        <v>277</v>
      </c>
      <c r="I1112">
        <v>253</v>
      </c>
      <c r="J1112">
        <v>152</v>
      </c>
      <c r="K1112">
        <v>327</v>
      </c>
      <c r="L1112">
        <v>578</v>
      </c>
      <c r="M1112">
        <v>976</v>
      </c>
      <c r="N1112">
        <v>81</v>
      </c>
      <c r="O1112" t="s">
        <v>4851</v>
      </c>
      <c r="P1112" s="1" t="b">
        <f>NOT(OR(Table1[[#This Row],[State]]="Other Foreign Countries", Table1[[#This Row],[State]]="Unknown", Table1[[#This Row],[State]]="Puerto Rico all counties"))</f>
        <v>1</v>
      </c>
    </row>
    <row r="1113" spans="1:16" x14ac:dyDescent="0.25">
      <c r="A1113">
        <v>1063</v>
      </c>
      <c r="B1113" t="s">
        <v>15</v>
      </c>
      <c r="C1113" t="s">
        <v>78</v>
      </c>
      <c r="D1113">
        <v>166</v>
      </c>
      <c r="E1113">
        <v>21</v>
      </c>
      <c r="F1113">
        <v>13</v>
      </c>
      <c r="G1113">
        <v>14</v>
      </c>
      <c r="H1113">
        <v>64</v>
      </c>
      <c r="I1113">
        <v>54</v>
      </c>
      <c r="J1113">
        <v>18</v>
      </c>
      <c r="K1113">
        <v>53</v>
      </c>
      <c r="L1113">
        <v>95</v>
      </c>
      <c r="M1113">
        <v>138</v>
      </c>
      <c r="N1113">
        <v>28</v>
      </c>
      <c r="O1113" t="s">
        <v>79</v>
      </c>
      <c r="P1113" s="1" t="b">
        <f>NOT(OR(Table1[[#This Row],[State]]="Other Foreign Countries", Table1[[#This Row],[State]]="Unknown", Table1[[#This Row],[State]]="Puerto Rico all counties"))</f>
        <v>1</v>
      </c>
    </row>
    <row r="1114" spans="1:16" x14ac:dyDescent="0.25">
      <c r="A1114">
        <v>5055</v>
      </c>
      <c r="B1114" t="s">
        <v>242</v>
      </c>
      <c r="C1114" t="s">
        <v>78</v>
      </c>
      <c r="D1114">
        <v>920</v>
      </c>
      <c r="E1114">
        <v>125</v>
      </c>
      <c r="F1114">
        <v>94</v>
      </c>
      <c r="G1114">
        <v>105</v>
      </c>
      <c r="H1114">
        <v>306</v>
      </c>
      <c r="I1114">
        <v>290</v>
      </c>
      <c r="J1114">
        <v>208</v>
      </c>
      <c r="K1114">
        <v>282</v>
      </c>
      <c r="L1114">
        <v>430</v>
      </c>
      <c r="M1114">
        <v>875</v>
      </c>
      <c r="N1114">
        <v>45</v>
      </c>
      <c r="O1114" t="s">
        <v>291</v>
      </c>
      <c r="P1114" s="1" t="b">
        <f>NOT(OR(Table1[[#This Row],[State]]="Other Foreign Countries", Table1[[#This Row],[State]]="Unknown", Table1[[#This Row],[State]]="Puerto Rico all counties"))</f>
        <v>1</v>
      </c>
    </row>
    <row r="1115" spans="1:16" x14ac:dyDescent="0.25">
      <c r="A1115">
        <v>13133</v>
      </c>
      <c r="B1115" t="s">
        <v>754</v>
      </c>
      <c r="C1115" t="s">
        <v>78</v>
      </c>
      <c r="D1115">
        <v>393</v>
      </c>
      <c r="E1115">
        <v>104</v>
      </c>
      <c r="F1115">
        <v>44</v>
      </c>
      <c r="G1115">
        <v>46</v>
      </c>
      <c r="H1115">
        <v>101</v>
      </c>
      <c r="I1115">
        <v>98</v>
      </c>
      <c r="J1115">
        <v>56</v>
      </c>
      <c r="K1115">
        <v>89</v>
      </c>
      <c r="L1115">
        <v>248</v>
      </c>
      <c r="M1115">
        <v>362</v>
      </c>
      <c r="N1115">
        <v>31</v>
      </c>
      <c r="O1115" t="s">
        <v>868</v>
      </c>
      <c r="P1115" s="1" t="b">
        <f>NOT(OR(Table1[[#This Row],[State]]="Other Foreign Countries", Table1[[#This Row],[State]]="Unknown", Table1[[#This Row],[State]]="Puerto Rico all counties"))</f>
        <v>1</v>
      </c>
    </row>
    <row r="1116" spans="1:16" x14ac:dyDescent="0.25">
      <c r="A1116">
        <v>17061</v>
      </c>
      <c r="B1116" t="s">
        <v>1109</v>
      </c>
      <c r="C1116" t="s">
        <v>78</v>
      </c>
      <c r="D1116">
        <v>186</v>
      </c>
      <c r="E1116">
        <v>38</v>
      </c>
      <c r="F1116">
        <v>16</v>
      </c>
      <c r="G1116">
        <v>22</v>
      </c>
      <c r="H1116">
        <v>69</v>
      </c>
      <c r="I1116">
        <v>41</v>
      </c>
      <c r="J1116">
        <v>49</v>
      </c>
      <c r="K1116">
        <v>52</v>
      </c>
      <c r="L1116">
        <v>85</v>
      </c>
      <c r="M1116">
        <v>173</v>
      </c>
      <c r="N1116">
        <v>13</v>
      </c>
      <c r="O1116" t="s">
        <v>1156</v>
      </c>
      <c r="P1116" s="1" t="b">
        <f>NOT(OR(Table1[[#This Row],[State]]="Other Foreign Countries", Table1[[#This Row],[State]]="Unknown", Table1[[#This Row],[State]]="Puerto Rico all counties"))</f>
        <v>1</v>
      </c>
    </row>
    <row r="1117" spans="1:16" x14ac:dyDescent="0.25">
      <c r="A1117">
        <v>18055</v>
      </c>
      <c r="B1117" t="s">
        <v>1266</v>
      </c>
      <c r="C1117" t="s">
        <v>78</v>
      </c>
      <c r="D1117">
        <v>857</v>
      </c>
      <c r="E1117">
        <v>235</v>
      </c>
      <c r="F1117">
        <v>116</v>
      </c>
      <c r="G1117">
        <v>110</v>
      </c>
      <c r="H1117">
        <v>231</v>
      </c>
      <c r="I1117">
        <v>165</v>
      </c>
      <c r="J1117">
        <v>206</v>
      </c>
      <c r="K1117">
        <v>316</v>
      </c>
      <c r="L1117">
        <v>335</v>
      </c>
      <c r="M1117">
        <v>786</v>
      </c>
      <c r="N1117">
        <v>71</v>
      </c>
      <c r="O1117" t="s">
        <v>1303</v>
      </c>
      <c r="P1117" s="1" t="b">
        <f>NOT(OR(Table1[[#This Row],[State]]="Other Foreign Countries", Table1[[#This Row],[State]]="Unknown", Table1[[#This Row],[State]]="Puerto Rico all counties"))</f>
        <v>1</v>
      </c>
    </row>
    <row r="1118" spans="1:16" x14ac:dyDescent="0.25">
      <c r="A1118">
        <v>19073</v>
      </c>
      <c r="B1118" t="s">
        <v>1399</v>
      </c>
      <c r="C1118" t="s">
        <v>78</v>
      </c>
      <c r="D1118">
        <v>178</v>
      </c>
      <c r="E1118">
        <v>34</v>
      </c>
      <c r="F1118">
        <v>22</v>
      </c>
      <c r="G1118">
        <v>37</v>
      </c>
      <c r="H1118">
        <v>50</v>
      </c>
      <c r="I1118">
        <v>35</v>
      </c>
      <c r="J1118">
        <v>31</v>
      </c>
      <c r="K1118">
        <v>54</v>
      </c>
      <c r="L1118">
        <v>93</v>
      </c>
      <c r="M1118">
        <v>164</v>
      </c>
      <c r="N1118">
        <v>14</v>
      </c>
      <c r="O1118" t="s">
        <v>1452</v>
      </c>
      <c r="P1118" s="1" t="b">
        <f>NOT(OR(Table1[[#This Row],[State]]="Other Foreign Countries", Table1[[#This Row],[State]]="Unknown", Table1[[#This Row],[State]]="Puerto Rico all counties"))</f>
        <v>1</v>
      </c>
    </row>
    <row r="1119" spans="1:16" x14ac:dyDescent="0.25">
      <c r="A1119">
        <v>28041</v>
      </c>
      <c r="B1119" t="s">
        <v>322</v>
      </c>
      <c r="C1119" t="s">
        <v>78</v>
      </c>
      <c r="D1119">
        <v>204</v>
      </c>
      <c r="E1119">
        <v>41</v>
      </c>
      <c r="F1119">
        <v>18</v>
      </c>
      <c r="G1119">
        <v>34</v>
      </c>
      <c r="H1119">
        <v>63</v>
      </c>
      <c r="I1119">
        <v>48</v>
      </c>
      <c r="J1119">
        <v>26</v>
      </c>
      <c r="K1119">
        <v>77</v>
      </c>
      <c r="L1119">
        <v>101</v>
      </c>
      <c r="M1119">
        <v>193</v>
      </c>
      <c r="N1119">
        <v>11</v>
      </c>
      <c r="O1119" t="s">
        <v>2422</v>
      </c>
      <c r="P1119" s="1" t="b">
        <f>NOT(OR(Table1[[#This Row],[State]]="Other Foreign Countries", Table1[[#This Row],[State]]="Unknown", Table1[[#This Row],[State]]="Puerto Rico all counties"))</f>
        <v>1</v>
      </c>
    </row>
    <row r="1120" spans="1:16" x14ac:dyDescent="0.25">
      <c r="A1120">
        <v>29077</v>
      </c>
      <c r="B1120" t="s">
        <v>2510</v>
      </c>
      <c r="C1120" t="s">
        <v>78</v>
      </c>
      <c r="D1120">
        <v>5884</v>
      </c>
      <c r="E1120" s="1">
        <v>1421</v>
      </c>
      <c r="F1120">
        <v>716</v>
      </c>
      <c r="G1120">
        <v>717</v>
      </c>
      <c r="H1120" s="1">
        <v>1798</v>
      </c>
      <c r="I1120" s="1">
        <v>1232</v>
      </c>
      <c r="J1120" s="1">
        <v>1692</v>
      </c>
      <c r="K1120" s="1">
        <v>1795</v>
      </c>
      <c r="L1120" s="1">
        <v>2397</v>
      </c>
      <c r="M1120" s="1">
        <v>5292</v>
      </c>
      <c r="N1120">
        <v>592</v>
      </c>
      <c r="O1120" t="s">
        <v>2562</v>
      </c>
      <c r="P1120" s="1" t="b">
        <f>NOT(OR(Table1[[#This Row],[State]]="Other Foreign Countries", Table1[[#This Row],[State]]="Unknown", Table1[[#This Row],[State]]="Puerto Rico all counties"))</f>
        <v>1</v>
      </c>
    </row>
    <row r="1121" spans="1:16" x14ac:dyDescent="0.25">
      <c r="A1121">
        <v>36039</v>
      </c>
      <c r="B1121" t="s">
        <v>3029</v>
      </c>
      <c r="C1121" t="s">
        <v>78</v>
      </c>
      <c r="D1121">
        <v>682</v>
      </c>
      <c r="E1121">
        <v>187</v>
      </c>
      <c r="F1121">
        <v>87</v>
      </c>
      <c r="G1121">
        <v>81</v>
      </c>
      <c r="H1121">
        <v>178</v>
      </c>
      <c r="I1121">
        <v>149</v>
      </c>
      <c r="J1121">
        <v>146</v>
      </c>
      <c r="K1121">
        <v>185</v>
      </c>
      <c r="L1121">
        <v>351</v>
      </c>
      <c r="M1121">
        <v>623</v>
      </c>
      <c r="N1121">
        <v>59</v>
      </c>
      <c r="O1121" t="s">
        <v>3059</v>
      </c>
      <c r="P1121" s="1" t="b">
        <f>NOT(OR(Table1[[#This Row],[State]]="Other Foreign Countries", Table1[[#This Row],[State]]="Unknown", Table1[[#This Row],[State]]="Puerto Rico all counties"))</f>
        <v>1</v>
      </c>
    </row>
    <row r="1122" spans="1:16" x14ac:dyDescent="0.25">
      <c r="A1122">
        <v>37079</v>
      </c>
      <c r="B1122" t="s">
        <v>3121</v>
      </c>
      <c r="C1122" t="s">
        <v>78</v>
      </c>
      <c r="D1122">
        <v>347</v>
      </c>
      <c r="E1122">
        <v>55</v>
      </c>
      <c r="F1122">
        <v>35</v>
      </c>
      <c r="G1122">
        <v>27</v>
      </c>
      <c r="H1122">
        <v>117</v>
      </c>
      <c r="I1122">
        <v>113</v>
      </c>
      <c r="J1122">
        <v>57</v>
      </c>
      <c r="K1122">
        <v>119</v>
      </c>
      <c r="L1122">
        <v>171</v>
      </c>
      <c r="M1122">
        <v>312</v>
      </c>
      <c r="N1122">
        <v>35</v>
      </c>
      <c r="O1122" t="s">
        <v>3188</v>
      </c>
      <c r="P1122" s="1" t="b">
        <f>NOT(OR(Table1[[#This Row],[State]]="Other Foreign Countries", Table1[[#This Row],[State]]="Unknown", Table1[[#This Row],[State]]="Puerto Rico all counties"))</f>
        <v>1</v>
      </c>
    </row>
    <row r="1123" spans="1:16" x14ac:dyDescent="0.25">
      <c r="A1123">
        <v>39057</v>
      </c>
      <c r="B1123" t="s">
        <v>1343</v>
      </c>
      <c r="C1123" t="s">
        <v>78</v>
      </c>
      <c r="D1123">
        <v>6947</v>
      </c>
      <c r="E1123" s="1">
        <v>1380</v>
      </c>
      <c r="F1123">
        <v>926</v>
      </c>
      <c r="G1123">
        <v>915</v>
      </c>
      <c r="H1123" s="1">
        <v>1998</v>
      </c>
      <c r="I1123" s="1">
        <v>1728</v>
      </c>
      <c r="J1123" s="1">
        <v>1761</v>
      </c>
      <c r="K1123" s="1">
        <v>2926</v>
      </c>
      <c r="L1123" s="1">
        <v>2260</v>
      </c>
      <c r="M1123" s="1">
        <v>5788</v>
      </c>
      <c r="N1123" s="1">
        <v>1159</v>
      </c>
      <c r="O1123" t="s">
        <v>3413</v>
      </c>
      <c r="P1123" s="1" t="b">
        <f>NOT(OR(Table1[[#This Row],[State]]="Other Foreign Countries", Table1[[#This Row],[State]]="Unknown", Table1[[#This Row],[State]]="Puerto Rico all counties"))</f>
        <v>1</v>
      </c>
    </row>
    <row r="1124" spans="1:16" x14ac:dyDescent="0.25">
      <c r="A1124">
        <v>42059</v>
      </c>
      <c r="B1124" t="s">
        <v>3665</v>
      </c>
      <c r="C1124" t="s">
        <v>78</v>
      </c>
      <c r="D1124">
        <v>621</v>
      </c>
      <c r="E1124">
        <v>126</v>
      </c>
      <c r="F1124">
        <v>91</v>
      </c>
      <c r="G1124">
        <v>83</v>
      </c>
      <c r="H1124">
        <v>198</v>
      </c>
      <c r="I1124">
        <v>123</v>
      </c>
      <c r="J1124">
        <v>130</v>
      </c>
      <c r="K1124">
        <v>193</v>
      </c>
      <c r="L1124">
        <v>298</v>
      </c>
      <c r="M1124">
        <v>572</v>
      </c>
      <c r="N1124">
        <v>49</v>
      </c>
      <c r="O1124" t="s">
        <v>3708</v>
      </c>
      <c r="P1124" s="1" t="b">
        <f>NOT(OR(Table1[[#This Row],[State]]="Other Foreign Countries", Table1[[#This Row],[State]]="Unknown", Table1[[#This Row],[State]]="Puerto Rico all counties"))</f>
        <v>1</v>
      </c>
    </row>
    <row r="1125" spans="1:16" x14ac:dyDescent="0.25">
      <c r="A1125">
        <v>47059</v>
      </c>
      <c r="B1125" t="s">
        <v>3951</v>
      </c>
      <c r="C1125" t="s">
        <v>78</v>
      </c>
      <c r="D1125">
        <v>2162</v>
      </c>
      <c r="E1125">
        <v>538</v>
      </c>
      <c r="F1125">
        <v>261</v>
      </c>
      <c r="G1125">
        <v>251</v>
      </c>
      <c r="H1125">
        <v>592</v>
      </c>
      <c r="I1125">
        <v>520</v>
      </c>
      <c r="J1125">
        <v>416</v>
      </c>
      <c r="K1125">
        <v>624</v>
      </c>
      <c r="L1125" s="1">
        <v>1122</v>
      </c>
      <c r="M1125" s="1">
        <v>1986</v>
      </c>
      <c r="N1125">
        <v>175</v>
      </c>
      <c r="O1125" t="s">
        <v>3991</v>
      </c>
      <c r="P1125" s="1" t="b">
        <f>NOT(OR(Table1[[#This Row],[State]]="Other Foreign Countries", Table1[[#This Row],[State]]="Unknown", Table1[[#This Row],[State]]="Puerto Rico all counties"))</f>
        <v>1</v>
      </c>
    </row>
    <row r="1126" spans="1:16" x14ac:dyDescent="0.25">
      <c r="A1126">
        <v>51079</v>
      </c>
      <c r="B1126" t="s">
        <v>4555</v>
      </c>
      <c r="C1126" t="s">
        <v>78</v>
      </c>
      <c r="D1126">
        <v>638</v>
      </c>
      <c r="E1126">
        <v>101</v>
      </c>
      <c r="F1126">
        <v>72</v>
      </c>
      <c r="G1126">
        <v>78</v>
      </c>
      <c r="H1126">
        <v>189</v>
      </c>
      <c r="I1126">
        <v>198</v>
      </c>
      <c r="J1126">
        <v>219</v>
      </c>
      <c r="K1126">
        <v>248</v>
      </c>
      <c r="L1126">
        <v>171</v>
      </c>
      <c r="M1126">
        <v>551</v>
      </c>
      <c r="N1126">
        <v>87</v>
      </c>
      <c r="O1126" t="s">
        <v>4612</v>
      </c>
      <c r="P1126" s="1" t="b">
        <f>NOT(OR(Table1[[#This Row],[State]]="Other Foreign Countries", Table1[[#This Row],[State]]="Unknown", Table1[[#This Row],[State]]="Puerto Rico all counties"))</f>
        <v>1</v>
      </c>
    </row>
    <row r="1127" spans="1:16" x14ac:dyDescent="0.25">
      <c r="A1127">
        <v>4011</v>
      </c>
      <c r="B1127" t="s">
        <v>211</v>
      </c>
      <c r="C1127" t="s">
        <v>222</v>
      </c>
      <c r="D1127">
        <v>121</v>
      </c>
      <c r="E1127">
        <v>30</v>
      </c>
      <c r="F1127">
        <v>14</v>
      </c>
      <c r="G1127">
        <v>25</v>
      </c>
      <c r="H1127">
        <v>34</v>
      </c>
      <c r="I1127">
        <v>18</v>
      </c>
      <c r="J1127">
        <v>34</v>
      </c>
      <c r="K1127">
        <v>29</v>
      </c>
      <c r="L1127">
        <v>58</v>
      </c>
      <c r="M1127">
        <v>111</v>
      </c>
      <c r="N1127">
        <v>10</v>
      </c>
      <c r="O1127" t="s">
        <v>223</v>
      </c>
      <c r="P1127" s="1" t="b">
        <f>NOT(OR(Table1[[#This Row],[State]]="Other Foreign Countries", Table1[[#This Row],[State]]="Unknown", Table1[[#This Row],[State]]="Puerto Rico all counties"))</f>
        <v>1</v>
      </c>
    </row>
    <row r="1128" spans="1:16" x14ac:dyDescent="0.25">
      <c r="A1128">
        <v>51081</v>
      </c>
      <c r="B1128" t="s">
        <v>4555</v>
      </c>
      <c r="C1128" t="s">
        <v>4613</v>
      </c>
      <c r="D1128">
        <v>212</v>
      </c>
      <c r="E1128">
        <v>46</v>
      </c>
      <c r="F1128">
        <v>18</v>
      </c>
      <c r="G1128">
        <v>21</v>
      </c>
      <c r="H1128">
        <v>69</v>
      </c>
      <c r="I1128">
        <v>58</v>
      </c>
      <c r="J1128">
        <v>34</v>
      </c>
      <c r="K1128">
        <v>69</v>
      </c>
      <c r="L1128">
        <v>109</v>
      </c>
      <c r="M1128">
        <v>182</v>
      </c>
      <c r="N1128">
        <v>30</v>
      </c>
      <c r="O1128" t="s">
        <v>4614</v>
      </c>
      <c r="P1128" s="1" t="b">
        <f>NOT(OR(Table1[[#This Row],[State]]="Other Foreign Countries", Table1[[#This Row],[State]]="Unknown", Table1[[#This Row],[State]]="Puerto Rico all counties"))</f>
        <v>1</v>
      </c>
    </row>
    <row r="1129" spans="1:16" x14ac:dyDescent="0.25">
      <c r="A1129">
        <v>21089</v>
      </c>
      <c r="B1129" t="s">
        <v>1716</v>
      </c>
      <c r="C1129" t="s">
        <v>1785</v>
      </c>
      <c r="D1129">
        <v>769</v>
      </c>
      <c r="E1129">
        <v>165</v>
      </c>
      <c r="F1129">
        <v>92</v>
      </c>
      <c r="G1129">
        <v>98</v>
      </c>
      <c r="H1129">
        <v>212</v>
      </c>
      <c r="I1129">
        <v>202</v>
      </c>
      <c r="J1129">
        <v>155</v>
      </c>
      <c r="K1129">
        <v>234</v>
      </c>
      <c r="L1129">
        <v>380</v>
      </c>
      <c r="M1129">
        <v>733</v>
      </c>
      <c r="N1129">
        <v>36</v>
      </c>
      <c r="O1129" t="s">
        <v>1786</v>
      </c>
      <c r="P1129" s="1" t="b">
        <f>NOT(OR(Table1[[#This Row],[State]]="Other Foreign Countries", Table1[[#This Row],[State]]="Unknown", Table1[[#This Row],[State]]="Puerto Rico all counties"))</f>
        <v>1</v>
      </c>
    </row>
    <row r="1130" spans="1:16" x14ac:dyDescent="0.25">
      <c r="A1130">
        <v>45045</v>
      </c>
      <c r="B1130" t="s">
        <v>3772</v>
      </c>
      <c r="C1130" t="s">
        <v>3810</v>
      </c>
      <c r="D1130">
        <v>9668</v>
      </c>
      <c r="E1130" s="1">
        <v>1759</v>
      </c>
      <c r="F1130" s="1">
        <v>1076</v>
      </c>
      <c r="G1130" s="1">
        <v>1107</v>
      </c>
      <c r="H1130" s="1">
        <v>2973</v>
      </c>
      <c r="I1130" s="1">
        <v>2753</v>
      </c>
      <c r="J1130" s="1">
        <v>2961</v>
      </c>
      <c r="K1130" s="1">
        <v>3112</v>
      </c>
      <c r="L1130" s="1">
        <v>3594</v>
      </c>
      <c r="M1130" s="1">
        <v>8465</v>
      </c>
      <c r="N1130" s="1">
        <v>1202</v>
      </c>
      <c r="O1130" t="s">
        <v>3811</v>
      </c>
      <c r="P1130" s="1" t="b">
        <f>NOT(OR(Table1[[#This Row],[State]]="Other Foreign Countries", Table1[[#This Row],[State]]="Unknown", Table1[[#This Row],[State]]="Puerto Rico all counties"))</f>
        <v>1</v>
      </c>
    </row>
    <row r="1131" spans="1:16" x14ac:dyDescent="0.25">
      <c r="A1131">
        <v>20073</v>
      </c>
      <c r="B1131" t="s">
        <v>1543</v>
      </c>
      <c r="C1131" t="s">
        <v>1600</v>
      </c>
      <c r="D1131">
        <v>118</v>
      </c>
      <c r="E1131">
        <v>17</v>
      </c>
      <c r="F1131">
        <v>18</v>
      </c>
      <c r="G1131">
        <v>20</v>
      </c>
      <c r="H1131">
        <v>33</v>
      </c>
      <c r="I1131">
        <v>30</v>
      </c>
      <c r="J1131">
        <v>22</v>
      </c>
      <c r="K1131">
        <v>35</v>
      </c>
      <c r="L1131">
        <v>61</v>
      </c>
      <c r="M1131">
        <v>105</v>
      </c>
      <c r="N1131">
        <v>13</v>
      </c>
      <c r="O1131" t="s">
        <v>1601</v>
      </c>
      <c r="P1131" s="1" t="b">
        <f>NOT(OR(Table1[[#This Row],[State]]="Other Foreign Countries", Table1[[#This Row],[State]]="Unknown", Table1[[#This Row],[State]]="Puerto Rico all counties"))</f>
        <v>1</v>
      </c>
    </row>
    <row r="1132" spans="1:16" x14ac:dyDescent="0.25">
      <c r="A1132">
        <v>45047</v>
      </c>
      <c r="B1132" t="s">
        <v>3772</v>
      </c>
      <c r="C1132" t="s">
        <v>1600</v>
      </c>
      <c r="D1132">
        <v>1407</v>
      </c>
      <c r="E1132">
        <v>220</v>
      </c>
      <c r="F1132">
        <v>130</v>
      </c>
      <c r="G1132">
        <v>146</v>
      </c>
      <c r="H1132">
        <v>453</v>
      </c>
      <c r="I1132">
        <v>458</v>
      </c>
      <c r="J1132">
        <v>276</v>
      </c>
      <c r="K1132">
        <v>405</v>
      </c>
      <c r="L1132">
        <v>726</v>
      </c>
      <c r="M1132" s="1">
        <v>1285</v>
      </c>
      <c r="N1132">
        <v>122</v>
      </c>
      <c r="O1132" t="s">
        <v>3812</v>
      </c>
      <c r="P1132" s="1" t="b">
        <f>NOT(OR(Table1[[#This Row],[State]]="Other Foreign Countries", Table1[[#This Row],[State]]="Unknown", Table1[[#This Row],[State]]="Puerto Rico all counties"))</f>
        <v>1</v>
      </c>
    </row>
    <row r="1133" spans="1:16" x14ac:dyDescent="0.25">
      <c r="A1133">
        <v>40055</v>
      </c>
      <c r="B1133" t="s">
        <v>3495</v>
      </c>
      <c r="C1133" t="s">
        <v>3535</v>
      </c>
      <c r="D1133">
        <v>184</v>
      </c>
      <c r="E1133">
        <v>32</v>
      </c>
      <c r="F1133">
        <v>19</v>
      </c>
      <c r="G1133">
        <v>21</v>
      </c>
      <c r="H1133">
        <v>60</v>
      </c>
      <c r="I1133">
        <v>52</v>
      </c>
      <c r="J1133">
        <v>50</v>
      </c>
      <c r="K1133">
        <v>53</v>
      </c>
      <c r="L1133">
        <v>81</v>
      </c>
      <c r="M1133">
        <v>161</v>
      </c>
      <c r="N1133">
        <v>23</v>
      </c>
      <c r="O1133" t="s">
        <v>3536</v>
      </c>
      <c r="P1133" s="1" t="b">
        <f>NOT(OR(Table1[[#This Row],[State]]="Other Foreign Countries", Table1[[#This Row],[State]]="Unknown", Table1[[#This Row],[State]]="Puerto Rico all counties"))</f>
        <v>1</v>
      </c>
    </row>
    <row r="1134" spans="1:16" x14ac:dyDescent="0.25">
      <c r="A1134">
        <v>48183</v>
      </c>
      <c r="B1134" t="s">
        <v>2654</v>
      </c>
      <c r="C1134" t="s">
        <v>4227</v>
      </c>
      <c r="D1134">
        <v>2285</v>
      </c>
      <c r="E1134">
        <v>457</v>
      </c>
      <c r="F1134">
        <v>228</v>
      </c>
      <c r="G1134">
        <v>278</v>
      </c>
      <c r="H1134">
        <v>692</v>
      </c>
      <c r="I1134">
        <v>630</v>
      </c>
      <c r="J1134">
        <v>682</v>
      </c>
      <c r="K1134">
        <v>704</v>
      </c>
      <c r="L1134">
        <v>899</v>
      </c>
      <c r="M1134" s="1">
        <v>2015</v>
      </c>
      <c r="N1134">
        <v>270</v>
      </c>
      <c r="O1134" t="s">
        <v>4228</v>
      </c>
      <c r="P1134" s="1" t="b">
        <f>NOT(OR(Table1[[#This Row],[State]]="Other Foreign Countries", Table1[[#This Row],[State]]="Unknown", Table1[[#This Row],[State]]="Puerto Rico all counties"))</f>
        <v>1</v>
      </c>
    </row>
    <row r="1135" spans="1:16" x14ac:dyDescent="0.25">
      <c r="A1135">
        <v>46053</v>
      </c>
      <c r="B1135" t="s">
        <v>3846</v>
      </c>
      <c r="C1135" t="s">
        <v>3886</v>
      </c>
      <c r="D1135">
        <v>91</v>
      </c>
      <c r="E1135">
        <v>26</v>
      </c>
      <c r="H1135">
        <v>29</v>
      </c>
      <c r="I1135">
        <v>18</v>
      </c>
      <c r="J1135">
        <v>19</v>
      </c>
      <c r="K1135">
        <v>23</v>
      </c>
      <c r="L1135">
        <v>49</v>
      </c>
      <c r="M1135">
        <v>76</v>
      </c>
      <c r="N1135">
        <v>15</v>
      </c>
      <c r="O1135" t="s">
        <v>3887</v>
      </c>
      <c r="P1135" s="1" t="b">
        <f>NOT(OR(Table1[[#This Row],[State]]="Other Foreign Countries", Table1[[#This Row],[State]]="Unknown", Table1[[#This Row],[State]]="Puerto Rico all counties"))</f>
        <v>1</v>
      </c>
    </row>
    <row r="1136" spans="1:16" x14ac:dyDescent="0.25">
      <c r="A1136">
        <v>28043</v>
      </c>
      <c r="B1136" t="s">
        <v>322</v>
      </c>
      <c r="C1136" t="s">
        <v>2423</v>
      </c>
      <c r="D1136">
        <v>410</v>
      </c>
      <c r="E1136">
        <v>78</v>
      </c>
      <c r="F1136">
        <v>36</v>
      </c>
      <c r="G1136">
        <v>48</v>
      </c>
      <c r="H1136">
        <v>123</v>
      </c>
      <c r="I1136">
        <v>125</v>
      </c>
      <c r="J1136">
        <v>76</v>
      </c>
      <c r="K1136">
        <v>163</v>
      </c>
      <c r="L1136">
        <v>171</v>
      </c>
      <c r="M1136">
        <v>364</v>
      </c>
      <c r="N1136">
        <v>46</v>
      </c>
      <c r="O1136" t="s">
        <v>2424</v>
      </c>
      <c r="P1136" s="1" t="b">
        <f>NOT(OR(Table1[[#This Row],[State]]="Other Foreign Countries", Table1[[#This Row],[State]]="Unknown", Table1[[#This Row],[State]]="Puerto Rico all counties"))</f>
        <v>1</v>
      </c>
    </row>
    <row r="1137" spans="1:16" x14ac:dyDescent="0.25">
      <c r="A1137">
        <v>38039</v>
      </c>
      <c r="B1137" t="s">
        <v>3286</v>
      </c>
      <c r="C1137" t="s">
        <v>3319</v>
      </c>
      <c r="D1137">
        <v>52</v>
      </c>
      <c r="E1137">
        <v>19</v>
      </c>
      <c r="H1137">
        <v>10</v>
      </c>
      <c r="I1137">
        <v>11</v>
      </c>
      <c r="L1137">
        <v>36</v>
      </c>
      <c r="O1137" t="s">
        <v>3320</v>
      </c>
      <c r="P1137" s="1" t="b">
        <f>NOT(OR(Table1[[#This Row],[State]]="Other Foreign Countries", Table1[[#This Row],[State]]="Unknown", Table1[[#This Row],[State]]="Puerto Rico all counties"))</f>
        <v>1</v>
      </c>
    </row>
    <row r="1138" spans="1:16" x14ac:dyDescent="0.25">
      <c r="A1138">
        <v>48185</v>
      </c>
      <c r="B1138" t="s">
        <v>2654</v>
      </c>
      <c r="C1138" t="s">
        <v>4229</v>
      </c>
      <c r="D1138">
        <v>704</v>
      </c>
      <c r="E1138">
        <v>159</v>
      </c>
      <c r="F1138">
        <v>57</v>
      </c>
      <c r="G1138">
        <v>87</v>
      </c>
      <c r="H1138">
        <v>212</v>
      </c>
      <c r="I1138">
        <v>189</v>
      </c>
      <c r="J1138">
        <v>196</v>
      </c>
      <c r="K1138">
        <v>199</v>
      </c>
      <c r="L1138">
        <v>309</v>
      </c>
      <c r="M1138">
        <v>610</v>
      </c>
      <c r="N1138">
        <v>94</v>
      </c>
      <c r="O1138" t="s">
        <v>4230</v>
      </c>
      <c r="P1138" s="1" t="b">
        <f>NOT(OR(Table1[[#This Row],[State]]="Other Foreign Countries", Table1[[#This Row],[State]]="Unknown", Table1[[#This Row],[State]]="Puerto Rico all counties"))</f>
        <v>1</v>
      </c>
    </row>
    <row r="1139" spans="1:16" x14ac:dyDescent="0.25">
      <c r="A1139">
        <v>17063</v>
      </c>
      <c r="B1139" t="s">
        <v>1109</v>
      </c>
      <c r="C1139" t="s">
        <v>1157</v>
      </c>
      <c r="D1139">
        <v>690</v>
      </c>
      <c r="E1139">
        <v>137</v>
      </c>
      <c r="F1139">
        <v>95</v>
      </c>
      <c r="G1139">
        <v>92</v>
      </c>
      <c r="H1139">
        <v>215</v>
      </c>
      <c r="I1139">
        <v>151</v>
      </c>
      <c r="J1139">
        <v>267</v>
      </c>
      <c r="K1139">
        <v>188</v>
      </c>
      <c r="L1139">
        <v>235</v>
      </c>
      <c r="M1139">
        <v>627</v>
      </c>
      <c r="N1139">
        <v>63</v>
      </c>
      <c r="O1139" t="s">
        <v>1158</v>
      </c>
      <c r="P1139" s="1" t="b">
        <f>NOT(OR(Table1[[#This Row],[State]]="Other Foreign Countries", Table1[[#This Row],[State]]="Unknown", Table1[[#This Row],[State]]="Puerto Rico all counties"))</f>
        <v>1</v>
      </c>
    </row>
    <row r="1140" spans="1:16" x14ac:dyDescent="0.25">
      <c r="A1140">
        <v>19075</v>
      </c>
      <c r="B1140" t="s">
        <v>1399</v>
      </c>
      <c r="C1140" t="s">
        <v>1157</v>
      </c>
      <c r="D1140">
        <v>202</v>
      </c>
      <c r="E1140">
        <v>52</v>
      </c>
      <c r="F1140">
        <v>33</v>
      </c>
      <c r="G1140">
        <v>28</v>
      </c>
      <c r="H1140">
        <v>51</v>
      </c>
      <c r="I1140">
        <v>38</v>
      </c>
      <c r="J1140">
        <v>48</v>
      </c>
      <c r="K1140">
        <v>64</v>
      </c>
      <c r="L1140">
        <v>90</v>
      </c>
      <c r="M1140">
        <v>185</v>
      </c>
      <c r="N1140">
        <v>17</v>
      </c>
      <c r="O1140" t="s">
        <v>1453</v>
      </c>
      <c r="P1140" s="1" t="b">
        <f>NOT(OR(Table1[[#This Row],[State]]="Other Foreign Countries", Table1[[#This Row],[State]]="Unknown", Table1[[#This Row],[State]]="Puerto Rico all counties"))</f>
        <v>1</v>
      </c>
    </row>
    <row r="1141" spans="1:16" x14ac:dyDescent="0.25">
      <c r="A1141">
        <v>29079</v>
      </c>
      <c r="B1141" t="s">
        <v>2510</v>
      </c>
      <c r="C1141" t="s">
        <v>1157</v>
      </c>
      <c r="D1141">
        <v>211</v>
      </c>
      <c r="E1141">
        <v>60</v>
      </c>
      <c r="F1141">
        <v>30</v>
      </c>
      <c r="G1141">
        <v>28</v>
      </c>
      <c r="H1141">
        <v>60</v>
      </c>
      <c r="I1141">
        <v>33</v>
      </c>
      <c r="J1141">
        <v>41</v>
      </c>
      <c r="K1141">
        <v>58</v>
      </c>
      <c r="L1141">
        <v>112</v>
      </c>
      <c r="M1141">
        <v>195</v>
      </c>
      <c r="N1141">
        <v>16</v>
      </c>
      <c r="O1141" t="s">
        <v>2563</v>
      </c>
      <c r="P1141" s="1" t="b">
        <f>NOT(OR(Table1[[#This Row],[State]]="Other Foreign Countries", Table1[[#This Row],[State]]="Unknown", Table1[[#This Row],[State]]="Puerto Rico all counties"))</f>
        <v>1</v>
      </c>
    </row>
    <row r="1142" spans="1:16" x14ac:dyDescent="0.25">
      <c r="A1142">
        <v>47061</v>
      </c>
      <c r="B1142" t="s">
        <v>3951</v>
      </c>
      <c r="C1142" t="s">
        <v>1157</v>
      </c>
      <c r="D1142">
        <v>318</v>
      </c>
      <c r="E1142">
        <v>63</v>
      </c>
      <c r="F1142">
        <v>40</v>
      </c>
      <c r="G1142">
        <v>25</v>
      </c>
      <c r="H1142">
        <v>101</v>
      </c>
      <c r="I1142">
        <v>89</v>
      </c>
      <c r="J1142">
        <v>66</v>
      </c>
      <c r="K1142">
        <v>101</v>
      </c>
      <c r="L1142">
        <v>151</v>
      </c>
      <c r="M1142">
        <v>290</v>
      </c>
      <c r="N1142">
        <v>28</v>
      </c>
      <c r="O1142" t="s">
        <v>3992</v>
      </c>
      <c r="P1142" s="1" t="b">
        <f>NOT(OR(Table1[[#This Row],[State]]="Other Foreign Countries", Table1[[#This Row],[State]]="Unknown", Table1[[#This Row],[State]]="Puerto Rico all counties"))</f>
        <v>1</v>
      </c>
    </row>
    <row r="1143" spans="1:16" x14ac:dyDescent="0.25">
      <c r="A1143">
        <v>35019</v>
      </c>
      <c r="B1143" t="s">
        <v>2971</v>
      </c>
      <c r="C1143" t="s">
        <v>2990</v>
      </c>
      <c r="D1143">
        <v>99</v>
      </c>
      <c r="E1143">
        <v>13</v>
      </c>
      <c r="H1143">
        <v>39</v>
      </c>
      <c r="I1143">
        <v>33</v>
      </c>
      <c r="J1143">
        <v>13</v>
      </c>
      <c r="K1143">
        <v>38</v>
      </c>
      <c r="L1143">
        <v>48</v>
      </c>
      <c r="O1143" t="s">
        <v>2991</v>
      </c>
      <c r="P1143" s="1" t="b">
        <f>NOT(OR(Table1[[#This Row],[State]]="Other Foreign Countries", Table1[[#This Row],[State]]="Unknown", Table1[[#This Row],[State]]="Puerto Rico all counties"))</f>
        <v>1</v>
      </c>
    </row>
    <row r="1144" spans="1:16" x14ac:dyDescent="0.25">
      <c r="A1144">
        <v>48187</v>
      </c>
      <c r="B1144" t="s">
        <v>2654</v>
      </c>
      <c r="C1144" t="s">
        <v>2990</v>
      </c>
      <c r="D1144">
        <v>14384</v>
      </c>
      <c r="E1144" s="1">
        <v>1422</v>
      </c>
      <c r="F1144">
        <v>956</v>
      </c>
      <c r="G1144" s="1">
        <v>1236</v>
      </c>
      <c r="H1144" s="1">
        <v>3921</v>
      </c>
      <c r="I1144" s="1">
        <v>6849</v>
      </c>
      <c r="J1144" s="1">
        <v>3948</v>
      </c>
      <c r="K1144" s="1">
        <v>6744</v>
      </c>
      <c r="L1144" s="1">
        <v>3692</v>
      </c>
      <c r="M1144" s="1">
        <v>11379</v>
      </c>
      <c r="N1144" s="1">
        <v>3005</v>
      </c>
      <c r="O1144" t="s">
        <v>4231</v>
      </c>
      <c r="P1144" s="1" t="b">
        <f>NOT(OR(Table1[[#This Row],[State]]="Other Foreign Countries", Table1[[#This Row],[State]]="Unknown", Table1[[#This Row],[State]]="Puerto Rico all counties"))</f>
        <v>1</v>
      </c>
    </row>
    <row r="1145" spans="1:16" x14ac:dyDescent="0.25">
      <c r="A1145">
        <v>39059</v>
      </c>
      <c r="B1145" t="s">
        <v>1343</v>
      </c>
      <c r="C1145" t="s">
        <v>3414</v>
      </c>
      <c r="D1145">
        <v>865</v>
      </c>
      <c r="E1145">
        <v>176</v>
      </c>
      <c r="F1145">
        <v>117</v>
      </c>
      <c r="G1145">
        <v>103</v>
      </c>
      <c r="H1145">
        <v>249</v>
      </c>
      <c r="I1145">
        <v>220</v>
      </c>
      <c r="J1145">
        <v>218</v>
      </c>
      <c r="K1145">
        <v>260</v>
      </c>
      <c r="L1145">
        <v>387</v>
      </c>
      <c r="M1145">
        <v>783</v>
      </c>
      <c r="N1145">
        <v>82</v>
      </c>
      <c r="O1145" t="s">
        <v>3415</v>
      </c>
      <c r="P1145" s="1" t="b">
        <f>NOT(OR(Table1[[#This Row],[State]]="Other Foreign Countries", Table1[[#This Row],[State]]="Unknown", Table1[[#This Row],[State]]="Puerto Rico all counties"))</f>
        <v>1</v>
      </c>
    </row>
    <row r="1146" spans="1:16" x14ac:dyDescent="0.25">
      <c r="A1146">
        <v>37081</v>
      </c>
      <c r="B1146" t="s">
        <v>3121</v>
      </c>
      <c r="C1146" t="s">
        <v>3189</v>
      </c>
      <c r="D1146">
        <v>9354</v>
      </c>
      <c r="E1146" s="1">
        <v>1486</v>
      </c>
      <c r="F1146">
        <v>920</v>
      </c>
      <c r="G1146" s="1">
        <v>1027</v>
      </c>
      <c r="H1146" s="1">
        <v>3079</v>
      </c>
      <c r="I1146" s="1">
        <v>2842</v>
      </c>
      <c r="J1146" s="1">
        <v>2432</v>
      </c>
      <c r="K1146" s="1">
        <v>3251</v>
      </c>
      <c r="L1146" s="1">
        <v>3671</v>
      </c>
      <c r="M1146" s="1">
        <v>7917</v>
      </c>
      <c r="N1146" s="1">
        <v>1436</v>
      </c>
      <c r="O1146" t="s">
        <v>3190</v>
      </c>
      <c r="P1146" s="1" t="b">
        <f>NOT(OR(Table1[[#This Row],[State]]="Other Foreign Countries", Table1[[#This Row],[State]]="Unknown", Table1[[#This Row],[State]]="Puerto Rico all counties"))</f>
        <v>1</v>
      </c>
    </row>
    <row r="1147" spans="1:16" x14ac:dyDescent="0.25">
      <c r="A1147">
        <v>12045</v>
      </c>
      <c r="B1147" t="s">
        <v>637</v>
      </c>
      <c r="C1147" t="s">
        <v>675</v>
      </c>
      <c r="D1147">
        <v>545</v>
      </c>
      <c r="E1147">
        <v>121</v>
      </c>
      <c r="F1147">
        <v>58</v>
      </c>
      <c r="G1147">
        <v>63</v>
      </c>
      <c r="H1147">
        <v>155</v>
      </c>
      <c r="I1147">
        <v>148</v>
      </c>
      <c r="J1147">
        <v>76</v>
      </c>
      <c r="K1147">
        <v>197</v>
      </c>
      <c r="L1147">
        <v>272</v>
      </c>
      <c r="M1147">
        <v>478</v>
      </c>
      <c r="N1147">
        <v>67</v>
      </c>
      <c r="O1147" t="s">
        <v>676</v>
      </c>
      <c r="P1147" s="1" t="b">
        <f>NOT(OR(Table1[[#This Row],[State]]="Other Foreign Countries", Table1[[#This Row],[State]]="Unknown", Table1[[#This Row],[State]]="Puerto Rico all counties"))</f>
        <v>1</v>
      </c>
    </row>
    <row r="1148" spans="1:16" x14ac:dyDescent="0.25">
      <c r="A1148">
        <v>8051</v>
      </c>
      <c r="B1148" t="s">
        <v>489</v>
      </c>
      <c r="C1148" t="s">
        <v>542</v>
      </c>
      <c r="D1148">
        <v>196</v>
      </c>
      <c r="E1148">
        <v>55</v>
      </c>
      <c r="F1148">
        <v>19</v>
      </c>
      <c r="G1148">
        <v>31</v>
      </c>
      <c r="H1148">
        <v>53</v>
      </c>
      <c r="I1148">
        <v>38</v>
      </c>
      <c r="J1148">
        <v>56</v>
      </c>
      <c r="K1148">
        <v>53</v>
      </c>
      <c r="L1148">
        <v>87</v>
      </c>
      <c r="M1148">
        <v>178</v>
      </c>
      <c r="N1148">
        <v>18</v>
      </c>
      <c r="O1148" t="s">
        <v>543</v>
      </c>
      <c r="P1148" s="1" t="b">
        <f>NOT(OR(Table1[[#This Row],[State]]="Other Foreign Countries", Table1[[#This Row],[State]]="Unknown", Table1[[#This Row],[State]]="Puerto Rico all counties"))</f>
        <v>1</v>
      </c>
    </row>
    <row r="1149" spans="1:16" x14ac:dyDescent="0.25">
      <c r="A1149">
        <v>19077</v>
      </c>
      <c r="B1149" t="s">
        <v>1399</v>
      </c>
      <c r="C1149" t="s">
        <v>1454</v>
      </c>
      <c r="D1149">
        <v>241</v>
      </c>
      <c r="E1149">
        <v>75</v>
      </c>
      <c r="F1149">
        <v>35</v>
      </c>
      <c r="G1149">
        <v>34</v>
      </c>
      <c r="H1149">
        <v>47</v>
      </c>
      <c r="I1149">
        <v>50</v>
      </c>
      <c r="J1149">
        <v>35</v>
      </c>
      <c r="K1149">
        <v>67</v>
      </c>
      <c r="L1149">
        <v>139</v>
      </c>
      <c r="M1149">
        <v>226</v>
      </c>
      <c r="N1149">
        <v>15</v>
      </c>
      <c r="O1149" t="s">
        <v>1455</v>
      </c>
      <c r="P1149" s="1" t="b">
        <f>NOT(OR(Table1[[#This Row],[State]]="Other Foreign Countries", Table1[[#This Row],[State]]="Unknown", Table1[[#This Row],[State]]="Puerto Rico all counties"))</f>
        <v>1</v>
      </c>
    </row>
    <row r="1150" spans="1:16" x14ac:dyDescent="0.25">
      <c r="A1150">
        <v>13135</v>
      </c>
      <c r="B1150" t="s">
        <v>754</v>
      </c>
      <c r="C1150" t="s">
        <v>869</v>
      </c>
      <c r="D1150">
        <v>13893</v>
      </c>
      <c r="E1150" s="1">
        <v>2161</v>
      </c>
      <c r="F1150" s="1">
        <v>1251</v>
      </c>
      <c r="G1150" s="1">
        <v>1473</v>
      </c>
      <c r="H1150" s="1">
        <v>4369</v>
      </c>
      <c r="I1150" s="1">
        <v>4639</v>
      </c>
      <c r="J1150" s="1">
        <v>4520</v>
      </c>
      <c r="K1150" s="1">
        <v>5761</v>
      </c>
      <c r="L1150" s="1">
        <v>3612</v>
      </c>
      <c r="M1150" s="1">
        <v>11116</v>
      </c>
      <c r="N1150" s="1">
        <v>2775</v>
      </c>
      <c r="O1150" t="s">
        <v>870</v>
      </c>
      <c r="P1150" s="1" t="b">
        <f>NOT(OR(Table1[[#This Row],[State]]="Other Foreign Countries", Table1[[#This Row],[State]]="Unknown", Table1[[#This Row],[State]]="Puerto Rico all counties"))</f>
        <v>1</v>
      </c>
    </row>
    <row r="1151" spans="1:16" x14ac:dyDescent="0.25">
      <c r="A1151">
        <v>46055</v>
      </c>
      <c r="B1151" t="s">
        <v>3846</v>
      </c>
      <c r="C1151" t="s">
        <v>3888</v>
      </c>
      <c r="D1151">
        <v>23</v>
      </c>
      <c r="L1151">
        <v>12</v>
      </c>
      <c r="O1151" t="s">
        <v>3889</v>
      </c>
      <c r="P1151" s="1" t="b">
        <f>NOT(OR(Table1[[#This Row],[State]]="Other Foreign Countries", Table1[[#This Row],[State]]="Unknown", Table1[[#This Row],[State]]="Puerto Rico all counties"))</f>
        <v>1</v>
      </c>
    </row>
    <row r="1152" spans="1:16" x14ac:dyDescent="0.25">
      <c r="A1152">
        <v>13137</v>
      </c>
      <c r="B1152" t="s">
        <v>754</v>
      </c>
      <c r="C1152" t="s">
        <v>871</v>
      </c>
      <c r="D1152">
        <v>886</v>
      </c>
      <c r="E1152">
        <v>212</v>
      </c>
      <c r="F1152">
        <v>92</v>
      </c>
      <c r="G1152">
        <v>121</v>
      </c>
      <c r="H1152">
        <v>242</v>
      </c>
      <c r="I1152">
        <v>219</v>
      </c>
      <c r="J1152">
        <v>193</v>
      </c>
      <c r="K1152">
        <v>231</v>
      </c>
      <c r="L1152">
        <v>462</v>
      </c>
      <c r="M1152">
        <v>820</v>
      </c>
      <c r="N1152">
        <v>65</v>
      </c>
      <c r="O1152" t="s">
        <v>872</v>
      </c>
      <c r="P1152" s="1" t="b">
        <f>NOT(OR(Table1[[#This Row],[State]]="Other Foreign Countries", Table1[[#This Row],[State]]="Unknown", Table1[[#This Row],[State]]="Puerto Rico all counties"))</f>
        <v>1</v>
      </c>
    </row>
    <row r="1153" spans="1:16" x14ac:dyDescent="0.25">
      <c r="A1153">
        <v>2100</v>
      </c>
      <c r="B1153" t="s">
        <v>150</v>
      </c>
      <c r="C1153" t="s">
        <v>171</v>
      </c>
      <c r="D1153">
        <v>46</v>
      </c>
      <c r="G1153">
        <v>11</v>
      </c>
      <c r="H1153">
        <v>13</v>
      </c>
      <c r="I1153">
        <v>11</v>
      </c>
      <c r="J1153">
        <v>10</v>
      </c>
      <c r="K1153">
        <v>12</v>
      </c>
      <c r="L1153">
        <v>24</v>
      </c>
      <c r="O1153" t="s">
        <v>172</v>
      </c>
      <c r="P1153" s="1" t="b">
        <f>NOT(OR(Table1[[#This Row],[State]]="Other Foreign Countries", Table1[[#This Row],[State]]="Unknown", Table1[[#This Row],[State]]="Puerto Rico all counties"))</f>
        <v>1</v>
      </c>
    </row>
    <row r="1154" spans="1:16" x14ac:dyDescent="0.25">
      <c r="A1154">
        <v>1065</v>
      </c>
      <c r="B1154" t="s">
        <v>15</v>
      </c>
      <c r="C1154" t="s">
        <v>80</v>
      </c>
      <c r="D1154">
        <v>299</v>
      </c>
      <c r="E1154">
        <v>38</v>
      </c>
      <c r="F1154">
        <v>30</v>
      </c>
      <c r="G1154">
        <v>38</v>
      </c>
      <c r="H1154">
        <v>83</v>
      </c>
      <c r="I1154">
        <v>110</v>
      </c>
      <c r="J1154">
        <v>50</v>
      </c>
      <c r="K1154">
        <v>113</v>
      </c>
      <c r="L1154">
        <v>136</v>
      </c>
      <c r="M1154">
        <v>258</v>
      </c>
      <c r="N1154">
        <v>41</v>
      </c>
      <c r="O1154" t="s">
        <v>81</v>
      </c>
      <c r="P1154" s="1" t="b">
        <f>NOT(OR(Table1[[#This Row],[State]]="Other Foreign Countries", Table1[[#This Row],[State]]="Unknown", Table1[[#This Row],[State]]="Puerto Rico all counties"))</f>
        <v>1</v>
      </c>
    </row>
    <row r="1155" spans="1:16" x14ac:dyDescent="0.25">
      <c r="A1155">
        <v>48189</v>
      </c>
      <c r="B1155" t="s">
        <v>2654</v>
      </c>
      <c r="C1155" t="s">
        <v>80</v>
      </c>
      <c r="D1155">
        <v>382</v>
      </c>
      <c r="E1155">
        <v>95</v>
      </c>
      <c r="F1155">
        <v>47</v>
      </c>
      <c r="G1155">
        <v>51</v>
      </c>
      <c r="H1155">
        <v>99</v>
      </c>
      <c r="I1155">
        <v>90</v>
      </c>
      <c r="J1155">
        <v>99</v>
      </c>
      <c r="K1155">
        <v>99</v>
      </c>
      <c r="L1155">
        <v>184</v>
      </c>
      <c r="M1155">
        <v>354</v>
      </c>
      <c r="N1155">
        <v>28</v>
      </c>
      <c r="O1155" t="s">
        <v>4232</v>
      </c>
      <c r="P1155" s="1" t="b">
        <f>NOT(OR(Table1[[#This Row],[State]]="Other Foreign Countries", Table1[[#This Row],[State]]="Unknown", Table1[[#This Row],[State]]="Puerto Rico all counties"))</f>
        <v>1</v>
      </c>
    </row>
    <row r="1156" spans="1:16" x14ac:dyDescent="0.25">
      <c r="A1156">
        <v>37083</v>
      </c>
      <c r="B1156" t="s">
        <v>3121</v>
      </c>
      <c r="C1156" t="s">
        <v>3191</v>
      </c>
      <c r="D1156">
        <v>993</v>
      </c>
      <c r="E1156">
        <v>174</v>
      </c>
      <c r="F1156">
        <v>89</v>
      </c>
      <c r="G1156">
        <v>111</v>
      </c>
      <c r="H1156">
        <v>320</v>
      </c>
      <c r="I1156">
        <v>299</v>
      </c>
      <c r="J1156">
        <v>139</v>
      </c>
      <c r="K1156">
        <v>315</v>
      </c>
      <c r="L1156">
        <v>539</v>
      </c>
      <c r="M1156">
        <v>889</v>
      </c>
      <c r="N1156">
        <v>104</v>
      </c>
      <c r="O1156" t="s">
        <v>3192</v>
      </c>
      <c r="P1156" s="1" t="b">
        <f>NOT(OR(Table1[[#This Row],[State]]="Other Foreign Countries", Table1[[#This Row],[State]]="Unknown", Table1[[#This Row],[State]]="Puerto Rico all counties"))</f>
        <v>1</v>
      </c>
    </row>
    <row r="1157" spans="1:16" x14ac:dyDescent="0.25">
      <c r="A1157">
        <v>51083</v>
      </c>
      <c r="B1157" t="s">
        <v>4555</v>
      </c>
      <c r="C1157" t="s">
        <v>3191</v>
      </c>
      <c r="D1157">
        <v>823</v>
      </c>
      <c r="E1157">
        <v>139</v>
      </c>
      <c r="F1157">
        <v>60</v>
      </c>
      <c r="G1157">
        <v>93</v>
      </c>
      <c r="H1157">
        <v>303</v>
      </c>
      <c r="I1157">
        <v>228</v>
      </c>
      <c r="J1157">
        <v>148</v>
      </c>
      <c r="K1157">
        <v>236</v>
      </c>
      <c r="L1157">
        <v>439</v>
      </c>
      <c r="M1157">
        <v>734</v>
      </c>
      <c r="N1157">
        <v>89</v>
      </c>
      <c r="O1157" t="s">
        <v>4615</v>
      </c>
      <c r="P1157" s="1" t="b">
        <f>NOT(OR(Table1[[#This Row],[State]]="Other Foreign Countries", Table1[[#This Row],[State]]="Unknown", Table1[[#This Row],[State]]="Puerto Rico all counties"))</f>
        <v>1</v>
      </c>
    </row>
    <row r="1158" spans="1:16" x14ac:dyDescent="0.25">
      <c r="A1158">
        <v>13139</v>
      </c>
      <c r="B1158" t="s">
        <v>754</v>
      </c>
      <c r="C1158" t="s">
        <v>873</v>
      </c>
      <c r="D1158">
        <v>3165</v>
      </c>
      <c r="E1158">
        <v>688</v>
      </c>
      <c r="F1158">
        <v>369</v>
      </c>
      <c r="G1158">
        <v>367</v>
      </c>
      <c r="H1158">
        <v>920</v>
      </c>
      <c r="I1158">
        <v>821</v>
      </c>
      <c r="J1158">
        <v>802</v>
      </c>
      <c r="K1158">
        <v>898</v>
      </c>
      <c r="L1158" s="1">
        <v>1465</v>
      </c>
      <c r="M1158" s="1">
        <v>2883</v>
      </c>
      <c r="N1158">
        <v>281</v>
      </c>
      <c r="O1158" t="s">
        <v>874</v>
      </c>
      <c r="P1158" s="1" t="b">
        <f>NOT(OR(Table1[[#This Row],[State]]="Other Foreign Countries", Table1[[#This Row],[State]]="Unknown", Table1[[#This Row],[State]]="Puerto Rico all counties"))</f>
        <v>1</v>
      </c>
    </row>
    <row r="1159" spans="1:16" x14ac:dyDescent="0.25">
      <c r="A1159">
        <v>31079</v>
      </c>
      <c r="B1159" t="s">
        <v>2758</v>
      </c>
      <c r="C1159" t="s">
        <v>873</v>
      </c>
      <c r="D1159">
        <v>1590</v>
      </c>
      <c r="E1159">
        <v>663</v>
      </c>
      <c r="F1159">
        <v>152</v>
      </c>
      <c r="G1159">
        <v>144</v>
      </c>
      <c r="H1159">
        <v>338</v>
      </c>
      <c r="I1159">
        <v>293</v>
      </c>
      <c r="J1159">
        <v>294</v>
      </c>
      <c r="K1159">
        <v>381</v>
      </c>
      <c r="L1159">
        <v>915</v>
      </c>
      <c r="M1159" s="1">
        <v>1488</v>
      </c>
      <c r="N1159">
        <v>102</v>
      </c>
      <c r="O1159" t="s">
        <v>2816</v>
      </c>
      <c r="P1159" s="1" t="b">
        <f>NOT(OR(Table1[[#This Row],[State]]="Other Foreign Countries", Table1[[#This Row],[State]]="Unknown", Table1[[#This Row],[State]]="Puerto Rico all counties"))</f>
        <v>1</v>
      </c>
    </row>
    <row r="1160" spans="1:16" x14ac:dyDescent="0.25">
      <c r="A1160">
        <v>48191</v>
      </c>
      <c r="B1160" t="s">
        <v>2654</v>
      </c>
      <c r="C1160" t="s">
        <v>873</v>
      </c>
      <c r="D1160">
        <v>43</v>
      </c>
      <c r="E1160">
        <v>11</v>
      </c>
      <c r="H1160">
        <v>15</v>
      </c>
      <c r="K1160">
        <v>20</v>
      </c>
      <c r="O1160" t="s">
        <v>4233</v>
      </c>
      <c r="P1160" s="1" t="b">
        <f>NOT(OR(Table1[[#This Row],[State]]="Other Foreign Countries", Table1[[#This Row],[State]]="Unknown", Table1[[#This Row],[State]]="Puerto Rico all counties"))</f>
        <v>1</v>
      </c>
    </row>
    <row r="1161" spans="1:16" x14ac:dyDescent="0.25">
      <c r="A1161">
        <v>47063</v>
      </c>
      <c r="B1161" t="s">
        <v>3951</v>
      </c>
      <c r="C1161" t="s">
        <v>3993</v>
      </c>
      <c r="D1161">
        <v>1466</v>
      </c>
      <c r="E1161">
        <v>345</v>
      </c>
      <c r="F1161">
        <v>154</v>
      </c>
      <c r="G1161">
        <v>183</v>
      </c>
      <c r="H1161">
        <v>413</v>
      </c>
      <c r="I1161">
        <v>371</v>
      </c>
      <c r="J1161">
        <v>327</v>
      </c>
      <c r="K1161">
        <v>432</v>
      </c>
      <c r="L1161">
        <v>707</v>
      </c>
      <c r="M1161" s="1">
        <v>1353</v>
      </c>
      <c r="N1161">
        <v>113</v>
      </c>
      <c r="O1161" t="s">
        <v>3994</v>
      </c>
      <c r="P1161" s="1" t="b">
        <f>NOT(OR(Table1[[#This Row],[State]]="Other Foreign Countries", Table1[[#This Row],[State]]="Unknown", Table1[[#This Row],[State]]="Puerto Rico all counties"))</f>
        <v>1</v>
      </c>
    </row>
    <row r="1162" spans="1:16" x14ac:dyDescent="0.25">
      <c r="A1162">
        <v>12047</v>
      </c>
      <c r="B1162" t="s">
        <v>637</v>
      </c>
      <c r="C1162" t="s">
        <v>677</v>
      </c>
      <c r="D1162">
        <v>359</v>
      </c>
      <c r="E1162">
        <v>66</v>
      </c>
      <c r="F1162">
        <v>27</v>
      </c>
      <c r="G1162">
        <v>40</v>
      </c>
      <c r="H1162">
        <v>102</v>
      </c>
      <c r="I1162">
        <v>124</v>
      </c>
      <c r="J1162">
        <v>89</v>
      </c>
      <c r="K1162">
        <v>110</v>
      </c>
      <c r="L1162">
        <v>160</v>
      </c>
      <c r="M1162">
        <v>310</v>
      </c>
      <c r="N1162">
        <v>49</v>
      </c>
      <c r="O1162" t="s">
        <v>678</v>
      </c>
      <c r="P1162" s="1" t="b">
        <f>NOT(OR(Table1[[#This Row],[State]]="Other Foreign Countries", Table1[[#This Row],[State]]="Unknown", Table1[[#This Row],[State]]="Puerto Rico all counties"))</f>
        <v>1</v>
      </c>
    </row>
    <row r="1163" spans="1:16" x14ac:dyDescent="0.25">
      <c r="A1163">
        <v>17065</v>
      </c>
      <c r="B1163" t="s">
        <v>1109</v>
      </c>
      <c r="C1163" t="s">
        <v>677</v>
      </c>
      <c r="D1163">
        <v>130</v>
      </c>
      <c r="E1163">
        <v>28</v>
      </c>
      <c r="F1163">
        <v>18</v>
      </c>
      <c r="G1163">
        <v>10</v>
      </c>
      <c r="H1163">
        <v>35</v>
      </c>
      <c r="I1163">
        <v>39</v>
      </c>
      <c r="J1163">
        <v>24</v>
      </c>
      <c r="K1163">
        <v>30</v>
      </c>
      <c r="L1163">
        <v>76</v>
      </c>
      <c r="O1163" t="s">
        <v>1159</v>
      </c>
      <c r="P1163" s="1" t="b">
        <f>NOT(OR(Table1[[#This Row],[State]]="Other Foreign Countries", Table1[[#This Row],[State]]="Unknown", Table1[[#This Row],[State]]="Puerto Rico all counties"))</f>
        <v>1</v>
      </c>
    </row>
    <row r="1164" spans="1:16" x14ac:dyDescent="0.25">
      <c r="A1164">
        <v>18057</v>
      </c>
      <c r="B1164" t="s">
        <v>1266</v>
      </c>
      <c r="C1164" t="s">
        <v>677</v>
      </c>
      <c r="D1164">
        <v>5002</v>
      </c>
      <c r="E1164" s="1">
        <v>1210</v>
      </c>
      <c r="F1164">
        <v>646</v>
      </c>
      <c r="G1164">
        <v>664</v>
      </c>
      <c r="H1164" s="1">
        <v>1324</v>
      </c>
      <c r="I1164" s="1">
        <v>1158</v>
      </c>
      <c r="J1164" s="1">
        <v>1505</v>
      </c>
      <c r="K1164" s="1">
        <v>1890</v>
      </c>
      <c r="L1164" s="1">
        <v>1607</v>
      </c>
      <c r="M1164" s="1">
        <v>4410</v>
      </c>
      <c r="N1164">
        <v>592</v>
      </c>
      <c r="O1164" t="s">
        <v>1304</v>
      </c>
      <c r="P1164" s="1" t="b">
        <f>NOT(OR(Table1[[#This Row],[State]]="Other Foreign Countries", Table1[[#This Row],[State]]="Unknown", Table1[[#This Row],[State]]="Puerto Rico all counties"))</f>
        <v>1</v>
      </c>
    </row>
    <row r="1165" spans="1:16" x14ac:dyDescent="0.25">
      <c r="A1165">
        <v>19079</v>
      </c>
      <c r="B1165" t="s">
        <v>1399</v>
      </c>
      <c r="C1165" t="s">
        <v>677</v>
      </c>
      <c r="D1165">
        <v>302</v>
      </c>
      <c r="E1165">
        <v>96</v>
      </c>
      <c r="F1165">
        <v>38</v>
      </c>
      <c r="G1165">
        <v>33</v>
      </c>
      <c r="H1165">
        <v>76</v>
      </c>
      <c r="I1165">
        <v>59</v>
      </c>
      <c r="J1165">
        <v>55</v>
      </c>
      <c r="K1165">
        <v>67</v>
      </c>
      <c r="L1165">
        <v>180</v>
      </c>
      <c r="M1165">
        <v>282</v>
      </c>
      <c r="N1165">
        <v>20</v>
      </c>
      <c r="O1165" t="s">
        <v>1456</v>
      </c>
      <c r="P1165" s="1" t="b">
        <f>NOT(OR(Table1[[#This Row],[State]]="Other Foreign Countries", Table1[[#This Row],[State]]="Unknown", Table1[[#This Row],[State]]="Puerto Rico all counties"))</f>
        <v>1</v>
      </c>
    </row>
    <row r="1166" spans="1:16" x14ac:dyDescent="0.25">
      <c r="A1166">
        <v>20075</v>
      </c>
      <c r="B1166" t="s">
        <v>1543</v>
      </c>
      <c r="C1166" t="s">
        <v>677</v>
      </c>
      <c r="D1166">
        <v>22</v>
      </c>
      <c r="L1166">
        <v>11</v>
      </c>
      <c r="O1166" t="s">
        <v>1602</v>
      </c>
      <c r="P1166" s="1" t="b">
        <f>NOT(OR(Table1[[#This Row],[State]]="Other Foreign Countries", Table1[[#This Row],[State]]="Unknown", Table1[[#This Row],[State]]="Puerto Rico all counties"))</f>
        <v>1</v>
      </c>
    </row>
    <row r="1167" spans="1:16" x14ac:dyDescent="0.25">
      <c r="A1167">
        <v>31081</v>
      </c>
      <c r="B1167" t="s">
        <v>2758</v>
      </c>
      <c r="C1167" t="s">
        <v>677</v>
      </c>
      <c r="D1167">
        <v>279</v>
      </c>
      <c r="E1167">
        <v>117</v>
      </c>
      <c r="F1167">
        <v>27</v>
      </c>
      <c r="G1167">
        <v>37</v>
      </c>
      <c r="H1167">
        <v>52</v>
      </c>
      <c r="I1167">
        <v>46</v>
      </c>
      <c r="J1167">
        <v>56</v>
      </c>
      <c r="K1167">
        <v>66</v>
      </c>
      <c r="L1167">
        <v>157</v>
      </c>
      <c r="M1167">
        <v>259</v>
      </c>
      <c r="N1167">
        <v>20</v>
      </c>
      <c r="O1167" t="s">
        <v>2817</v>
      </c>
      <c r="P1167" s="1" t="b">
        <f>NOT(OR(Table1[[#This Row],[State]]="Other Foreign Countries", Table1[[#This Row],[State]]="Unknown", Table1[[#This Row],[State]]="Puerto Rico all counties"))</f>
        <v>1</v>
      </c>
    </row>
    <row r="1168" spans="1:16" x14ac:dyDescent="0.25">
      <c r="A1168">
        <v>36041</v>
      </c>
      <c r="B1168" t="s">
        <v>3029</v>
      </c>
      <c r="C1168" t="s">
        <v>677</v>
      </c>
      <c r="D1168">
        <v>74</v>
      </c>
      <c r="E1168">
        <v>23</v>
      </c>
      <c r="F1168">
        <v>11</v>
      </c>
      <c r="G1168">
        <v>10</v>
      </c>
      <c r="H1168">
        <v>17</v>
      </c>
      <c r="I1168">
        <v>13</v>
      </c>
      <c r="J1168">
        <v>15</v>
      </c>
      <c r="K1168">
        <v>22</v>
      </c>
      <c r="L1168">
        <v>37</v>
      </c>
      <c r="O1168" t="s">
        <v>3060</v>
      </c>
      <c r="P1168" s="1" t="b">
        <f>NOT(OR(Table1[[#This Row],[State]]="Other Foreign Countries", Table1[[#This Row],[State]]="Unknown", Table1[[#This Row],[State]]="Puerto Rico all counties"))</f>
        <v>1</v>
      </c>
    </row>
    <row r="1169" spans="1:16" x14ac:dyDescent="0.25">
      <c r="A1169">
        <v>39061</v>
      </c>
      <c r="B1169" t="s">
        <v>1343</v>
      </c>
      <c r="C1169" t="s">
        <v>677</v>
      </c>
      <c r="D1169">
        <v>9012</v>
      </c>
      <c r="E1169" s="1">
        <v>2471</v>
      </c>
      <c r="F1169" s="1">
        <v>1255</v>
      </c>
      <c r="G1169" s="1">
        <v>1262</v>
      </c>
      <c r="H1169" s="1">
        <v>2390</v>
      </c>
      <c r="I1169" s="1">
        <v>1634</v>
      </c>
      <c r="J1169" s="1">
        <v>2557</v>
      </c>
      <c r="K1169" s="1">
        <v>2498</v>
      </c>
      <c r="L1169" s="1">
        <v>3957</v>
      </c>
      <c r="M1169" s="1">
        <v>8001</v>
      </c>
      <c r="N1169" s="1">
        <v>1008</v>
      </c>
      <c r="O1169" t="s">
        <v>3416</v>
      </c>
      <c r="P1169" s="1" t="b">
        <f>NOT(OR(Table1[[#This Row],[State]]="Other Foreign Countries", Table1[[#This Row],[State]]="Unknown", Table1[[#This Row],[State]]="Puerto Rico all counties"))</f>
        <v>1</v>
      </c>
    </row>
    <row r="1170" spans="1:16" x14ac:dyDescent="0.25">
      <c r="A1170">
        <v>47065</v>
      </c>
      <c r="B1170" t="s">
        <v>3951</v>
      </c>
      <c r="C1170" t="s">
        <v>677</v>
      </c>
      <c r="D1170">
        <v>7033</v>
      </c>
      <c r="E1170" s="1">
        <v>1365</v>
      </c>
      <c r="F1170">
        <v>745</v>
      </c>
      <c r="G1170">
        <v>866</v>
      </c>
      <c r="H1170" s="1">
        <v>2176</v>
      </c>
      <c r="I1170" s="1">
        <v>1881</v>
      </c>
      <c r="J1170" s="1">
        <v>1855</v>
      </c>
      <c r="K1170" s="1">
        <v>2340</v>
      </c>
      <c r="L1170" s="1">
        <v>2838</v>
      </c>
      <c r="M1170" s="1">
        <v>6311</v>
      </c>
      <c r="N1170">
        <v>722</v>
      </c>
      <c r="O1170" t="s">
        <v>3995</v>
      </c>
      <c r="P1170" s="1" t="b">
        <f>NOT(OR(Table1[[#This Row],[State]]="Other Foreign Countries", Table1[[#This Row],[State]]="Unknown", Table1[[#This Row],[State]]="Puerto Rico all counties"))</f>
        <v>1</v>
      </c>
    </row>
    <row r="1171" spans="1:16" x14ac:dyDescent="0.25">
      <c r="A1171">
        <v>48193</v>
      </c>
      <c r="B1171" t="s">
        <v>2654</v>
      </c>
      <c r="C1171" t="s">
        <v>677</v>
      </c>
      <c r="D1171">
        <v>232</v>
      </c>
      <c r="E1171">
        <v>49</v>
      </c>
      <c r="F1171">
        <v>25</v>
      </c>
      <c r="G1171">
        <v>31</v>
      </c>
      <c r="H1171">
        <v>59</v>
      </c>
      <c r="I1171">
        <v>68</v>
      </c>
      <c r="J1171">
        <v>60</v>
      </c>
      <c r="K1171">
        <v>74</v>
      </c>
      <c r="L1171">
        <v>98</v>
      </c>
      <c r="M1171">
        <v>217</v>
      </c>
      <c r="N1171">
        <v>15</v>
      </c>
      <c r="O1171" t="s">
        <v>4234</v>
      </c>
      <c r="P1171" s="1" t="b">
        <f>NOT(OR(Table1[[#This Row],[State]]="Other Foreign Countries", Table1[[#This Row],[State]]="Unknown", Table1[[#This Row],[State]]="Puerto Rico all counties"))</f>
        <v>1</v>
      </c>
    </row>
    <row r="1172" spans="1:16" x14ac:dyDescent="0.25">
      <c r="A1172">
        <v>46057</v>
      </c>
      <c r="B1172" t="s">
        <v>3846</v>
      </c>
      <c r="C1172" t="s">
        <v>3890</v>
      </c>
      <c r="D1172">
        <v>110</v>
      </c>
      <c r="E1172">
        <v>39</v>
      </c>
      <c r="F1172">
        <v>13</v>
      </c>
      <c r="G1172">
        <v>11</v>
      </c>
      <c r="H1172">
        <v>27</v>
      </c>
      <c r="I1172">
        <v>20</v>
      </c>
      <c r="J1172">
        <v>21</v>
      </c>
      <c r="K1172">
        <v>39</v>
      </c>
      <c r="L1172">
        <v>50</v>
      </c>
      <c r="M1172">
        <v>96</v>
      </c>
      <c r="N1172">
        <v>14</v>
      </c>
      <c r="O1172" t="s">
        <v>3891</v>
      </c>
      <c r="P1172" s="1" t="b">
        <f>NOT(OR(Table1[[#This Row],[State]]="Other Foreign Countries", Table1[[#This Row],[State]]="Unknown", Table1[[#This Row],[State]]="Puerto Rico all counties"))</f>
        <v>1</v>
      </c>
    </row>
    <row r="1173" spans="1:16" x14ac:dyDescent="0.25">
      <c r="A1173">
        <v>25013</v>
      </c>
      <c r="B1173" t="s">
        <v>2073</v>
      </c>
      <c r="C1173" t="s">
        <v>2085</v>
      </c>
      <c r="D1173">
        <v>6689</v>
      </c>
      <c r="E1173" s="1">
        <v>1700</v>
      </c>
      <c r="F1173">
        <v>769</v>
      </c>
      <c r="G1173">
        <v>716</v>
      </c>
      <c r="H1173" s="1">
        <v>1922</v>
      </c>
      <c r="I1173" s="1">
        <v>1582</v>
      </c>
      <c r="J1173" s="1">
        <v>1726</v>
      </c>
      <c r="K1173" s="1">
        <v>1889</v>
      </c>
      <c r="L1173" s="1">
        <v>3074</v>
      </c>
      <c r="M1173" s="1">
        <v>6022</v>
      </c>
      <c r="N1173">
        <v>665</v>
      </c>
      <c r="O1173" t="s">
        <v>2086</v>
      </c>
      <c r="P1173" s="1" t="b">
        <f>NOT(OR(Table1[[#This Row],[State]]="Other Foreign Countries", Table1[[#This Row],[State]]="Unknown", Table1[[#This Row],[State]]="Puerto Rico all counties"))</f>
        <v>1</v>
      </c>
    </row>
    <row r="1174" spans="1:16" x14ac:dyDescent="0.25">
      <c r="A1174">
        <v>25015</v>
      </c>
      <c r="B1174" t="s">
        <v>2073</v>
      </c>
      <c r="C1174" t="s">
        <v>2087</v>
      </c>
      <c r="D1174">
        <v>2190</v>
      </c>
      <c r="E1174">
        <v>554</v>
      </c>
      <c r="F1174">
        <v>255</v>
      </c>
      <c r="G1174">
        <v>257</v>
      </c>
      <c r="H1174">
        <v>574</v>
      </c>
      <c r="I1174">
        <v>550</v>
      </c>
      <c r="J1174">
        <v>462</v>
      </c>
      <c r="K1174">
        <v>634</v>
      </c>
      <c r="L1174" s="1">
        <v>1094</v>
      </c>
      <c r="M1174" s="1">
        <v>1964</v>
      </c>
      <c r="N1174">
        <v>226</v>
      </c>
      <c r="O1174" t="s">
        <v>2088</v>
      </c>
      <c r="P1174" s="1" t="b">
        <f>NOT(OR(Table1[[#This Row],[State]]="Other Foreign Countries", Table1[[#This Row],[State]]="Unknown", Table1[[#This Row],[State]]="Puerto Rico all counties"))</f>
        <v>1</v>
      </c>
    </row>
    <row r="1175" spans="1:16" x14ac:dyDescent="0.25">
      <c r="A1175">
        <v>54027</v>
      </c>
      <c r="B1175" t="s">
        <v>4833</v>
      </c>
      <c r="C1175" t="s">
        <v>2087</v>
      </c>
      <c r="D1175">
        <v>568</v>
      </c>
      <c r="E1175">
        <v>90</v>
      </c>
      <c r="F1175">
        <v>59</v>
      </c>
      <c r="G1175">
        <v>71</v>
      </c>
      <c r="H1175">
        <v>190</v>
      </c>
      <c r="I1175">
        <v>158</v>
      </c>
      <c r="J1175">
        <v>139</v>
      </c>
      <c r="K1175">
        <v>183</v>
      </c>
      <c r="L1175">
        <v>246</v>
      </c>
      <c r="M1175">
        <v>516</v>
      </c>
      <c r="N1175">
        <v>52</v>
      </c>
      <c r="O1175" t="s">
        <v>4852</v>
      </c>
      <c r="P1175" s="1" t="b">
        <f>NOT(OR(Table1[[#This Row],[State]]="Other Foreign Countries", Table1[[#This Row],[State]]="Unknown", Table1[[#This Row],[State]]="Puerto Rico all counties"))</f>
        <v>1</v>
      </c>
    </row>
    <row r="1176" spans="1:16" x14ac:dyDescent="0.25">
      <c r="A1176">
        <v>45049</v>
      </c>
      <c r="B1176" t="s">
        <v>3772</v>
      </c>
      <c r="C1176" t="s">
        <v>3813</v>
      </c>
      <c r="D1176">
        <v>499</v>
      </c>
      <c r="E1176">
        <v>77</v>
      </c>
      <c r="F1176">
        <v>48</v>
      </c>
      <c r="G1176">
        <v>54</v>
      </c>
      <c r="H1176">
        <v>180</v>
      </c>
      <c r="I1176">
        <v>140</v>
      </c>
      <c r="J1176">
        <v>112</v>
      </c>
      <c r="K1176">
        <v>186</v>
      </c>
      <c r="L1176">
        <v>201</v>
      </c>
      <c r="M1176">
        <v>439</v>
      </c>
      <c r="N1176">
        <v>60</v>
      </c>
      <c r="O1176" t="s">
        <v>3814</v>
      </c>
      <c r="P1176" s="1" t="b">
        <f>NOT(OR(Table1[[#This Row],[State]]="Other Foreign Countries", Table1[[#This Row],[State]]="Unknown", Table1[[#This Row],[State]]="Puerto Rico all counties"))</f>
        <v>1</v>
      </c>
    </row>
    <row r="1177" spans="1:16" x14ac:dyDescent="0.25">
      <c r="A1177">
        <v>51650</v>
      </c>
      <c r="B1177" t="s">
        <v>4555</v>
      </c>
      <c r="C1177" t="s">
        <v>4724</v>
      </c>
      <c r="D1177">
        <v>9344</v>
      </c>
      <c r="E1177" s="1">
        <v>1280</v>
      </c>
      <c r="F1177">
        <v>919</v>
      </c>
      <c r="G1177" s="1">
        <v>1116</v>
      </c>
      <c r="H1177" s="1">
        <v>2810</v>
      </c>
      <c r="I1177" s="1">
        <v>3219</v>
      </c>
      <c r="J1177" s="1">
        <v>3000</v>
      </c>
      <c r="K1177" s="1">
        <v>3504</v>
      </c>
      <c r="L1177" s="1">
        <v>2840</v>
      </c>
      <c r="M1177" s="1">
        <v>6900</v>
      </c>
      <c r="N1177" s="1">
        <v>2444</v>
      </c>
      <c r="O1177" t="s">
        <v>4725</v>
      </c>
      <c r="P1177" s="1" t="b">
        <f>NOT(OR(Table1[[#This Row],[State]]="Other Foreign Countries", Table1[[#This Row],[State]]="Unknown", Table1[[#This Row],[State]]="Puerto Rico all counties"))</f>
        <v>1</v>
      </c>
    </row>
    <row r="1178" spans="1:16" x14ac:dyDescent="0.25">
      <c r="A1178">
        <v>13141</v>
      </c>
      <c r="B1178" t="s">
        <v>754</v>
      </c>
      <c r="C1178" t="s">
        <v>875</v>
      </c>
      <c r="D1178">
        <v>217</v>
      </c>
      <c r="E1178">
        <v>36</v>
      </c>
      <c r="F1178">
        <v>24</v>
      </c>
      <c r="G1178">
        <v>20</v>
      </c>
      <c r="H1178">
        <v>76</v>
      </c>
      <c r="I1178">
        <v>61</v>
      </c>
      <c r="J1178">
        <v>44</v>
      </c>
      <c r="K1178">
        <v>69</v>
      </c>
      <c r="L1178">
        <v>104</v>
      </c>
      <c r="M1178">
        <v>181</v>
      </c>
      <c r="N1178">
        <v>36</v>
      </c>
      <c r="O1178" t="s">
        <v>876</v>
      </c>
      <c r="P1178" s="1" t="b">
        <f>NOT(OR(Table1[[#This Row],[State]]="Other Foreign Countries", Table1[[#This Row],[State]]="Unknown", Table1[[#This Row],[State]]="Puerto Rico all counties"))</f>
        <v>1</v>
      </c>
    </row>
    <row r="1179" spans="1:16" x14ac:dyDescent="0.25">
      <c r="A1179">
        <v>17067</v>
      </c>
      <c r="B1179" t="s">
        <v>1109</v>
      </c>
      <c r="C1179" t="s">
        <v>875</v>
      </c>
      <c r="D1179">
        <v>329</v>
      </c>
      <c r="E1179">
        <v>58</v>
      </c>
      <c r="F1179">
        <v>40</v>
      </c>
      <c r="G1179">
        <v>33</v>
      </c>
      <c r="H1179">
        <v>108</v>
      </c>
      <c r="I1179">
        <v>90</v>
      </c>
      <c r="J1179">
        <v>77</v>
      </c>
      <c r="K1179">
        <v>93</v>
      </c>
      <c r="L1179">
        <v>159</v>
      </c>
      <c r="M1179">
        <v>300</v>
      </c>
      <c r="N1179">
        <v>29</v>
      </c>
      <c r="O1179" t="s">
        <v>1160</v>
      </c>
      <c r="P1179" s="1" t="b">
        <f>NOT(OR(Table1[[#This Row],[State]]="Other Foreign Countries", Table1[[#This Row],[State]]="Unknown", Table1[[#This Row],[State]]="Puerto Rico all counties"))</f>
        <v>1</v>
      </c>
    </row>
    <row r="1180" spans="1:16" x14ac:dyDescent="0.25">
      <c r="A1180">
        <v>18059</v>
      </c>
      <c r="B1180" t="s">
        <v>1266</v>
      </c>
      <c r="C1180" t="s">
        <v>875</v>
      </c>
      <c r="D1180">
        <v>2133</v>
      </c>
      <c r="E1180">
        <v>481</v>
      </c>
      <c r="F1180">
        <v>268</v>
      </c>
      <c r="G1180">
        <v>270</v>
      </c>
      <c r="H1180">
        <v>595</v>
      </c>
      <c r="I1180">
        <v>519</v>
      </c>
      <c r="J1180">
        <v>656</v>
      </c>
      <c r="K1180">
        <v>725</v>
      </c>
      <c r="L1180">
        <v>752</v>
      </c>
      <c r="M1180" s="1">
        <v>1892</v>
      </c>
      <c r="N1180">
        <v>241</v>
      </c>
      <c r="O1180" t="s">
        <v>1305</v>
      </c>
      <c r="P1180" s="1" t="b">
        <f>NOT(OR(Table1[[#This Row],[State]]="Other Foreign Countries", Table1[[#This Row],[State]]="Unknown", Table1[[#This Row],[State]]="Puerto Rico all counties"))</f>
        <v>1</v>
      </c>
    </row>
    <row r="1181" spans="1:16" x14ac:dyDescent="0.25">
      <c r="A1181">
        <v>19081</v>
      </c>
      <c r="B1181" t="s">
        <v>1399</v>
      </c>
      <c r="C1181" t="s">
        <v>875</v>
      </c>
      <c r="D1181">
        <v>200</v>
      </c>
      <c r="E1181">
        <v>64</v>
      </c>
      <c r="F1181">
        <v>31</v>
      </c>
      <c r="G1181">
        <v>29</v>
      </c>
      <c r="H1181">
        <v>45</v>
      </c>
      <c r="I1181">
        <v>31</v>
      </c>
      <c r="J1181">
        <v>39</v>
      </c>
      <c r="K1181">
        <v>39</v>
      </c>
      <c r="L1181">
        <v>122</v>
      </c>
      <c r="O1181" t="s">
        <v>1457</v>
      </c>
      <c r="P1181" s="1" t="b">
        <f>NOT(OR(Table1[[#This Row],[State]]="Other Foreign Countries", Table1[[#This Row],[State]]="Unknown", Table1[[#This Row],[State]]="Puerto Rico all counties"))</f>
        <v>1</v>
      </c>
    </row>
    <row r="1182" spans="1:16" x14ac:dyDescent="0.25">
      <c r="A1182">
        <v>21091</v>
      </c>
      <c r="B1182" t="s">
        <v>1716</v>
      </c>
      <c r="C1182" t="s">
        <v>875</v>
      </c>
      <c r="D1182">
        <v>169</v>
      </c>
      <c r="E1182">
        <v>44</v>
      </c>
      <c r="F1182">
        <v>21</v>
      </c>
      <c r="G1182">
        <v>18</v>
      </c>
      <c r="H1182">
        <v>42</v>
      </c>
      <c r="I1182">
        <v>44</v>
      </c>
      <c r="J1182">
        <v>35</v>
      </c>
      <c r="K1182">
        <v>65</v>
      </c>
      <c r="L1182">
        <v>69</v>
      </c>
      <c r="M1182">
        <v>157</v>
      </c>
      <c r="N1182">
        <v>12</v>
      </c>
      <c r="O1182" t="s">
        <v>1787</v>
      </c>
      <c r="P1182" s="1" t="b">
        <f>NOT(OR(Table1[[#This Row],[State]]="Other Foreign Countries", Table1[[#This Row],[State]]="Unknown", Table1[[#This Row],[State]]="Puerto Rico all counties"))</f>
        <v>1</v>
      </c>
    </row>
    <row r="1183" spans="1:16" x14ac:dyDescent="0.25">
      <c r="A1183">
        <v>23009</v>
      </c>
      <c r="B1183" t="s">
        <v>2004</v>
      </c>
      <c r="C1183" t="s">
        <v>875</v>
      </c>
      <c r="D1183">
        <v>1223</v>
      </c>
      <c r="E1183">
        <v>244</v>
      </c>
      <c r="F1183">
        <v>140</v>
      </c>
      <c r="G1183">
        <v>146</v>
      </c>
      <c r="H1183">
        <v>381</v>
      </c>
      <c r="I1183">
        <v>312</v>
      </c>
      <c r="J1183">
        <v>256</v>
      </c>
      <c r="K1183">
        <v>396</v>
      </c>
      <c r="L1183">
        <v>571</v>
      </c>
      <c r="M1183" s="1">
        <v>1103</v>
      </c>
      <c r="N1183">
        <v>119</v>
      </c>
      <c r="O1183" t="s">
        <v>2011</v>
      </c>
      <c r="P1183" s="1" t="b">
        <f>NOT(OR(Table1[[#This Row],[State]]="Other Foreign Countries", Table1[[#This Row],[State]]="Unknown", Table1[[#This Row],[State]]="Puerto Rico all counties"))</f>
        <v>1</v>
      </c>
    </row>
    <row r="1184" spans="1:16" x14ac:dyDescent="0.25">
      <c r="A1184">
        <v>28045</v>
      </c>
      <c r="B1184" t="s">
        <v>322</v>
      </c>
      <c r="C1184" t="s">
        <v>875</v>
      </c>
      <c r="D1184">
        <v>1398</v>
      </c>
      <c r="E1184">
        <v>271</v>
      </c>
      <c r="F1184">
        <v>149</v>
      </c>
      <c r="G1184">
        <v>173</v>
      </c>
      <c r="H1184">
        <v>410</v>
      </c>
      <c r="I1184">
        <v>395</v>
      </c>
      <c r="J1184">
        <v>312</v>
      </c>
      <c r="K1184">
        <v>505</v>
      </c>
      <c r="L1184">
        <v>581</v>
      </c>
      <c r="M1184" s="1">
        <v>1238</v>
      </c>
      <c r="N1184">
        <v>160</v>
      </c>
      <c r="O1184" t="s">
        <v>2425</v>
      </c>
      <c r="P1184" s="1" t="b">
        <f>NOT(OR(Table1[[#This Row],[State]]="Other Foreign Countries", Table1[[#This Row],[State]]="Unknown", Table1[[#This Row],[State]]="Puerto Rico all counties"))</f>
        <v>1</v>
      </c>
    </row>
    <row r="1185" spans="1:16" x14ac:dyDescent="0.25">
      <c r="A1185">
        <v>39063</v>
      </c>
      <c r="B1185" t="s">
        <v>1343</v>
      </c>
      <c r="C1185" t="s">
        <v>875</v>
      </c>
      <c r="D1185">
        <v>1207</v>
      </c>
      <c r="E1185">
        <v>422</v>
      </c>
      <c r="F1185">
        <v>165</v>
      </c>
      <c r="G1185">
        <v>160</v>
      </c>
      <c r="H1185">
        <v>251</v>
      </c>
      <c r="I1185">
        <v>209</v>
      </c>
      <c r="J1185">
        <v>326</v>
      </c>
      <c r="K1185">
        <v>324</v>
      </c>
      <c r="L1185">
        <v>557</v>
      </c>
      <c r="M1185" s="1">
        <v>1099</v>
      </c>
      <c r="N1185">
        <v>108</v>
      </c>
      <c r="O1185" t="s">
        <v>3417</v>
      </c>
      <c r="P1185" s="1" t="b">
        <f>NOT(OR(Table1[[#This Row],[State]]="Other Foreign Countries", Table1[[#This Row],[State]]="Unknown", Table1[[#This Row],[State]]="Puerto Rico all counties"))</f>
        <v>1</v>
      </c>
    </row>
    <row r="1186" spans="1:16" x14ac:dyDescent="0.25">
      <c r="A1186">
        <v>47067</v>
      </c>
      <c r="B1186" t="s">
        <v>3951</v>
      </c>
      <c r="C1186" t="s">
        <v>875</v>
      </c>
      <c r="D1186">
        <v>189</v>
      </c>
      <c r="E1186">
        <v>44</v>
      </c>
      <c r="F1186">
        <v>21</v>
      </c>
      <c r="G1186">
        <v>13</v>
      </c>
      <c r="H1186">
        <v>46</v>
      </c>
      <c r="I1186">
        <v>65</v>
      </c>
      <c r="J1186">
        <v>27</v>
      </c>
      <c r="K1186">
        <v>79</v>
      </c>
      <c r="L1186">
        <v>83</v>
      </c>
      <c r="M1186">
        <v>168</v>
      </c>
      <c r="N1186">
        <v>21</v>
      </c>
      <c r="O1186" t="s">
        <v>3996</v>
      </c>
      <c r="P1186" s="1" t="b">
        <f>NOT(OR(Table1[[#This Row],[State]]="Other Foreign Countries", Table1[[#This Row],[State]]="Unknown", Table1[[#This Row],[State]]="Puerto Rico all counties"))</f>
        <v>1</v>
      </c>
    </row>
    <row r="1187" spans="1:16" x14ac:dyDescent="0.25">
      <c r="A1187">
        <v>54029</v>
      </c>
      <c r="B1187" t="s">
        <v>4833</v>
      </c>
      <c r="C1187" t="s">
        <v>875</v>
      </c>
      <c r="D1187">
        <v>509</v>
      </c>
      <c r="E1187">
        <v>140</v>
      </c>
      <c r="F1187">
        <v>67</v>
      </c>
      <c r="G1187">
        <v>69</v>
      </c>
      <c r="H1187">
        <v>134</v>
      </c>
      <c r="I1187">
        <v>99</v>
      </c>
      <c r="J1187">
        <v>103</v>
      </c>
      <c r="K1187">
        <v>175</v>
      </c>
      <c r="L1187">
        <v>231</v>
      </c>
      <c r="M1187">
        <v>473</v>
      </c>
      <c r="N1187">
        <v>36</v>
      </c>
      <c r="O1187" t="s">
        <v>4853</v>
      </c>
      <c r="P1187" s="1" t="b">
        <f>NOT(OR(Table1[[#This Row],[State]]="Other Foreign Countries", Table1[[#This Row],[State]]="Unknown", Table1[[#This Row],[State]]="Puerto Rico all counties"))</f>
        <v>1</v>
      </c>
    </row>
    <row r="1188" spans="1:16" x14ac:dyDescent="0.25">
      <c r="A1188">
        <v>46059</v>
      </c>
      <c r="B1188" t="s">
        <v>3846</v>
      </c>
      <c r="C1188" t="s">
        <v>3892</v>
      </c>
      <c r="D1188">
        <v>59</v>
      </c>
      <c r="E1188">
        <v>15</v>
      </c>
      <c r="G1188">
        <v>10</v>
      </c>
      <c r="H1188">
        <v>18</v>
      </c>
      <c r="J1188">
        <v>10</v>
      </c>
      <c r="K1188">
        <v>17</v>
      </c>
      <c r="L1188">
        <v>32</v>
      </c>
      <c r="O1188" t="s">
        <v>3893</v>
      </c>
      <c r="P1188" s="1" t="b">
        <f>NOT(OR(Table1[[#This Row],[State]]="Other Foreign Countries", Table1[[#This Row],[State]]="Unknown", Table1[[#This Row],[State]]="Puerto Rico all counties"))</f>
        <v>1</v>
      </c>
    </row>
    <row r="1189" spans="1:16" x14ac:dyDescent="0.25">
      <c r="A1189">
        <v>51085</v>
      </c>
      <c r="B1189" t="s">
        <v>4555</v>
      </c>
      <c r="C1189" t="s">
        <v>4616</v>
      </c>
      <c r="D1189">
        <v>1980</v>
      </c>
      <c r="E1189">
        <v>355</v>
      </c>
      <c r="F1189">
        <v>239</v>
      </c>
      <c r="G1189">
        <v>278</v>
      </c>
      <c r="H1189">
        <v>561</v>
      </c>
      <c r="I1189">
        <v>547</v>
      </c>
      <c r="J1189">
        <v>566</v>
      </c>
      <c r="K1189">
        <v>741</v>
      </c>
      <c r="L1189">
        <v>673</v>
      </c>
      <c r="M1189" s="1">
        <v>1732</v>
      </c>
      <c r="N1189">
        <v>248</v>
      </c>
      <c r="O1189" t="s">
        <v>4617</v>
      </c>
      <c r="P1189" s="1" t="b">
        <f>NOT(OR(Table1[[#This Row],[State]]="Other Foreign Countries", Table1[[#This Row],[State]]="Unknown", Table1[[#This Row],[State]]="Puerto Rico all counties"))</f>
        <v>1</v>
      </c>
    </row>
    <row r="1190" spans="1:16" x14ac:dyDescent="0.25">
      <c r="A1190">
        <v>48195</v>
      </c>
      <c r="B1190" t="s">
        <v>2654</v>
      </c>
      <c r="C1190" t="s">
        <v>4235</v>
      </c>
      <c r="D1190">
        <v>28</v>
      </c>
      <c r="I1190">
        <v>11</v>
      </c>
      <c r="L1190">
        <v>12</v>
      </c>
      <c r="O1190" t="s">
        <v>4236</v>
      </c>
      <c r="P1190" s="1" t="b">
        <f>NOT(OR(Table1[[#This Row],[State]]="Other Foreign Countries", Table1[[#This Row],[State]]="Unknown", Table1[[#This Row],[State]]="Puerto Rico all counties"))</f>
        <v>1</v>
      </c>
    </row>
    <row r="1191" spans="1:16" x14ac:dyDescent="0.25">
      <c r="A1191">
        <v>46061</v>
      </c>
      <c r="B1191" t="s">
        <v>3846</v>
      </c>
      <c r="C1191" t="s">
        <v>3894</v>
      </c>
      <c r="D1191">
        <v>91</v>
      </c>
      <c r="E1191">
        <v>32</v>
      </c>
      <c r="H1191">
        <v>23</v>
      </c>
      <c r="I1191">
        <v>14</v>
      </c>
      <c r="J1191">
        <v>17</v>
      </c>
      <c r="K1191">
        <v>29</v>
      </c>
      <c r="L1191">
        <v>45</v>
      </c>
      <c r="M1191">
        <v>79</v>
      </c>
      <c r="N1191">
        <v>12</v>
      </c>
      <c r="O1191" t="s">
        <v>3895</v>
      </c>
      <c r="P1191" s="1" t="b">
        <f>NOT(OR(Table1[[#This Row],[State]]="Other Foreign Countries", Table1[[#This Row],[State]]="Unknown", Table1[[#This Row],[State]]="Puerto Rico all counties"))</f>
        <v>1</v>
      </c>
    </row>
    <row r="1192" spans="1:16" x14ac:dyDescent="0.25">
      <c r="A1192">
        <v>13143</v>
      </c>
      <c r="B1192" t="s">
        <v>754</v>
      </c>
      <c r="C1192" t="s">
        <v>877</v>
      </c>
      <c r="D1192">
        <v>543</v>
      </c>
      <c r="E1192">
        <v>118</v>
      </c>
      <c r="F1192">
        <v>47</v>
      </c>
      <c r="G1192">
        <v>68</v>
      </c>
      <c r="H1192">
        <v>158</v>
      </c>
      <c r="I1192">
        <v>152</v>
      </c>
      <c r="J1192">
        <v>154</v>
      </c>
      <c r="K1192">
        <v>194</v>
      </c>
      <c r="L1192">
        <v>195</v>
      </c>
      <c r="M1192">
        <v>489</v>
      </c>
      <c r="N1192">
        <v>54</v>
      </c>
      <c r="O1192" t="s">
        <v>878</v>
      </c>
      <c r="P1192" s="1" t="b">
        <f>NOT(OR(Table1[[#This Row],[State]]="Other Foreign Countries", Table1[[#This Row],[State]]="Unknown", Table1[[#This Row],[State]]="Puerto Rico all counties"))</f>
        <v>1</v>
      </c>
    </row>
    <row r="1193" spans="1:16" x14ac:dyDescent="0.25">
      <c r="A1193">
        <v>12049</v>
      </c>
      <c r="B1193" t="s">
        <v>637</v>
      </c>
      <c r="C1193" t="s">
        <v>679</v>
      </c>
      <c r="D1193">
        <v>262</v>
      </c>
      <c r="E1193">
        <v>72</v>
      </c>
      <c r="F1193">
        <v>28</v>
      </c>
      <c r="G1193">
        <v>31</v>
      </c>
      <c r="H1193">
        <v>73</v>
      </c>
      <c r="I1193">
        <v>58</v>
      </c>
      <c r="J1193">
        <v>61</v>
      </c>
      <c r="K1193">
        <v>73</v>
      </c>
      <c r="L1193">
        <v>128</v>
      </c>
      <c r="M1193">
        <v>244</v>
      </c>
      <c r="N1193">
        <v>18</v>
      </c>
      <c r="O1193" t="s">
        <v>680</v>
      </c>
      <c r="P1193" s="1" t="b">
        <f>NOT(OR(Table1[[#This Row],[State]]="Other Foreign Countries", Table1[[#This Row],[State]]="Unknown", Table1[[#This Row],[State]]="Puerto Rico all counties"))</f>
        <v>1</v>
      </c>
    </row>
    <row r="1194" spans="1:16" x14ac:dyDescent="0.25">
      <c r="A1194">
        <v>47069</v>
      </c>
      <c r="B1194" t="s">
        <v>3951</v>
      </c>
      <c r="C1194" t="s">
        <v>3997</v>
      </c>
      <c r="D1194">
        <v>468</v>
      </c>
      <c r="E1194">
        <v>105</v>
      </c>
      <c r="F1194">
        <v>60</v>
      </c>
      <c r="G1194">
        <v>63</v>
      </c>
      <c r="H1194">
        <v>121</v>
      </c>
      <c r="I1194">
        <v>119</v>
      </c>
      <c r="J1194">
        <v>79</v>
      </c>
      <c r="K1194">
        <v>138</v>
      </c>
      <c r="L1194">
        <v>251</v>
      </c>
      <c r="M1194">
        <v>425</v>
      </c>
      <c r="N1194">
        <v>43</v>
      </c>
      <c r="O1194" t="s">
        <v>3998</v>
      </c>
      <c r="P1194" s="1" t="b">
        <f>NOT(OR(Table1[[#This Row],[State]]="Other Foreign Countries", Table1[[#This Row],[State]]="Unknown", Table1[[#This Row],[State]]="Puerto Rico all counties"))</f>
        <v>1</v>
      </c>
    </row>
    <row r="1195" spans="1:16" x14ac:dyDescent="0.25">
      <c r="A1195">
        <v>48197</v>
      </c>
      <c r="B1195" t="s">
        <v>2654</v>
      </c>
      <c r="C1195" t="s">
        <v>3997</v>
      </c>
      <c r="D1195">
        <v>70</v>
      </c>
      <c r="E1195">
        <v>14</v>
      </c>
      <c r="H1195">
        <v>27</v>
      </c>
      <c r="I1195">
        <v>16</v>
      </c>
      <c r="J1195">
        <v>18</v>
      </c>
      <c r="K1195">
        <v>21</v>
      </c>
      <c r="L1195">
        <v>31</v>
      </c>
      <c r="O1195" t="s">
        <v>4237</v>
      </c>
      <c r="P1195" s="1" t="b">
        <f>NOT(OR(Table1[[#This Row],[State]]="Other Foreign Countries", Table1[[#This Row],[State]]="Unknown", Table1[[#This Row],[State]]="Puerto Rico all counties"))</f>
        <v>1</v>
      </c>
    </row>
    <row r="1196" spans="1:16" x14ac:dyDescent="0.25">
      <c r="A1196">
        <v>17069</v>
      </c>
      <c r="B1196" t="s">
        <v>1109</v>
      </c>
      <c r="C1196" t="s">
        <v>1161</v>
      </c>
      <c r="D1196">
        <v>81</v>
      </c>
      <c r="E1196">
        <v>26</v>
      </c>
      <c r="F1196">
        <v>14</v>
      </c>
      <c r="H1196">
        <v>22</v>
      </c>
      <c r="L1196">
        <v>50</v>
      </c>
      <c r="O1196" t="s">
        <v>1162</v>
      </c>
      <c r="P1196" s="1" t="b">
        <f>NOT(OR(Table1[[#This Row],[State]]="Other Foreign Countries", Table1[[#This Row],[State]]="Unknown", Table1[[#This Row],[State]]="Puerto Rico all counties"))</f>
        <v>1</v>
      </c>
    </row>
    <row r="1197" spans="1:16" x14ac:dyDescent="0.25">
      <c r="A1197">
        <v>19083</v>
      </c>
      <c r="B1197" t="s">
        <v>1399</v>
      </c>
      <c r="C1197" t="s">
        <v>1161</v>
      </c>
      <c r="D1197">
        <v>293</v>
      </c>
      <c r="E1197">
        <v>85</v>
      </c>
      <c r="F1197">
        <v>43</v>
      </c>
      <c r="G1197">
        <v>41</v>
      </c>
      <c r="H1197">
        <v>67</v>
      </c>
      <c r="I1197">
        <v>57</v>
      </c>
      <c r="J1197">
        <v>83</v>
      </c>
      <c r="K1197">
        <v>66</v>
      </c>
      <c r="L1197">
        <v>144</v>
      </c>
      <c r="M1197">
        <v>279</v>
      </c>
      <c r="N1197">
        <v>14</v>
      </c>
      <c r="O1197" t="s">
        <v>1458</v>
      </c>
      <c r="P1197" s="1" t="b">
        <f>NOT(OR(Table1[[#This Row],[State]]="Other Foreign Countries", Table1[[#This Row],[State]]="Unknown", Table1[[#This Row],[State]]="Puerto Rico all counties"))</f>
        <v>1</v>
      </c>
    </row>
    <row r="1198" spans="1:16" x14ac:dyDescent="0.25">
      <c r="A1198">
        <v>21093</v>
      </c>
      <c r="B1198" t="s">
        <v>1716</v>
      </c>
      <c r="C1198" t="s">
        <v>1161</v>
      </c>
      <c r="D1198">
        <v>8140</v>
      </c>
      <c r="E1198" s="1">
        <v>1124</v>
      </c>
      <c r="F1198">
        <v>774</v>
      </c>
      <c r="G1198">
        <v>929</v>
      </c>
      <c r="H1198" s="1">
        <v>2397</v>
      </c>
      <c r="I1198" s="1">
        <v>2916</v>
      </c>
      <c r="J1198" s="1">
        <v>1647</v>
      </c>
      <c r="K1198" s="1">
        <v>3824</v>
      </c>
      <c r="L1198" s="1">
        <v>2669</v>
      </c>
      <c r="M1198" s="1">
        <v>6799</v>
      </c>
      <c r="N1198" s="1">
        <v>1341</v>
      </c>
      <c r="O1198" t="s">
        <v>1788</v>
      </c>
      <c r="P1198" s="1" t="b">
        <f>NOT(OR(Table1[[#This Row],[State]]="Other Foreign Countries", Table1[[#This Row],[State]]="Unknown", Table1[[#This Row],[State]]="Puerto Rico all counties"))</f>
        <v>1</v>
      </c>
    </row>
    <row r="1199" spans="1:16" x14ac:dyDescent="0.25">
      <c r="A1199">
        <v>39065</v>
      </c>
      <c r="B1199" t="s">
        <v>1343</v>
      </c>
      <c r="C1199" t="s">
        <v>1161</v>
      </c>
      <c r="D1199">
        <v>434</v>
      </c>
      <c r="E1199">
        <v>113</v>
      </c>
      <c r="F1199">
        <v>52</v>
      </c>
      <c r="G1199">
        <v>61</v>
      </c>
      <c r="H1199">
        <v>114</v>
      </c>
      <c r="I1199">
        <v>94</v>
      </c>
      <c r="J1199">
        <v>115</v>
      </c>
      <c r="K1199">
        <v>113</v>
      </c>
      <c r="L1199">
        <v>206</v>
      </c>
      <c r="M1199">
        <v>402</v>
      </c>
      <c r="N1199">
        <v>32</v>
      </c>
      <c r="O1199" t="s">
        <v>3418</v>
      </c>
      <c r="P1199" s="1" t="b">
        <f>NOT(OR(Table1[[#This Row],[State]]="Other Foreign Countries", Table1[[#This Row],[State]]="Unknown", Table1[[#This Row],[State]]="Puerto Rico all counties"))</f>
        <v>1</v>
      </c>
    </row>
    <row r="1200" spans="1:16" x14ac:dyDescent="0.25">
      <c r="A1200">
        <v>47071</v>
      </c>
      <c r="B1200" t="s">
        <v>3951</v>
      </c>
      <c r="C1200" t="s">
        <v>1161</v>
      </c>
      <c r="D1200">
        <v>683</v>
      </c>
      <c r="E1200">
        <v>146</v>
      </c>
      <c r="F1200">
        <v>75</v>
      </c>
      <c r="G1200">
        <v>75</v>
      </c>
      <c r="H1200">
        <v>199</v>
      </c>
      <c r="I1200">
        <v>188</v>
      </c>
      <c r="J1200">
        <v>136</v>
      </c>
      <c r="K1200">
        <v>197</v>
      </c>
      <c r="L1200">
        <v>350</v>
      </c>
      <c r="M1200">
        <v>627</v>
      </c>
      <c r="N1200">
        <v>56</v>
      </c>
      <c r="O1200" t="s">
        <v>3999</v>
      </c>
      <c r="P1200" s="1" t="b">
        <f>NOT(OR(Table1[[#This Row],[State]]="Other Foreign Countries", Table1[[#This Row],[State]]="Unknown", Table1[[#This Row],[State]]="Puerto Rico all counties"))</f>
        <v>1</v>
      </c>
    </row>
    <row r="1201" spans="1:16" x14ac:dyDescent="0.25">
      <c r="A1201">
        <v>48199</v>
      </c>
      <c r="B1201" t="s">
        <v>2654</v>
      </c>
      <c r="C1201" t="s">
        <v>1161</v>
      </c>
      <c r="D1201">
        <v>1311</v>
      </c>
      <c r="E1201">
        <v>257</v>
      </c>
      <c r="F1201">
        <v>132</v>
      </c>
      <c r="G1201">
        <v>131</v>
      </c>
      <c r="H1201">
        <v>466</v>
      </c>
      <c r="I1201">
        <v>325</v>
      </c>
      <c r="J1201">
        <v>433</v>
      </c>
      <c r="K1201">
        <v>399</v>
      </c>
      <c r="L1201">
        <v>479</v>
      </c>
      <c r="M1201" s="1">
        <v>1199</v>
      </c>
      <c r="N1201">
        <v>112</v>
      </c>
      <c r="O1201" t="s">
        <v>4238</v>
      </c>
      <c r="P1201" s="1" t="b">
        <f>NOT(OR(Table1[[#This Row],[State]]="Other Foreign Countries", Table1[[#This Row],[State]]="Unknown", Table1[[#This Row],[State]]="Puerto Rico all counties"))</f>
        <v>1</v>
      </c>
    </row>
    <row r="1202" spans="1:16" x14ac:dyDescent="0.25">
      <c r="A1202">
        <v>35021</v>
      </c>
      <c r="B1202" t="s">
        <v>2971</v>
      </c>
      <c r="C1202" t="s">
        <v>2992</v>
      </c>
      <c r="D1202">
        <v>24</v>
      </c>
      <c r="K1202">
        <v>12</v>
      </c>
      <c r="O1202" t="s">
        <v>2993</v>
      </c>
      <c r="P1202" s="1" t="b">
        <f>NOT(OR(Table1[[#This Row],[State]]="Other Foreign Countries", Table1[[#This Row],[State]]="Unknown", Table1[[#This Row],[State]]="Puerto Rico all counties"))</f>
        <v>1</v>
      </c>
    </row>
    <row r="1203" spans="1:16" x14ac:dyDescent="0.25">
      <c r="A1203">
        <v>46063</v>
      </c>
      <c r="B1203" t="s">
        <v>3846</v>
      </c>
      <c r="C1203" t="s">
        <v>2992</v>
      </c>
      <c r="D1203">
        <v>19</v>
      </c>
      <c r="O1203" t="s">
        <v>3896</v>
      </c>
      <c r="P1203" s="1" t="b">
        <f>NOT(OR(Table1[[#This Row],[State]]="Other Foreign Countries", Table1[[#This Row],[State]]="Unknown", Table1[[#This Row],[State]]="Puerto Rico all counties"))</f>
        <v>1</v>
      </c>
    </row>
    <row r="1204" spans="1:16" x14ac:dyDescent="0.25">
      <c r="A1204">
        <v>54031</v>
      </c>
      <c r="B1204" t="s">
        <v>4833</v>
      </c>
      <c r="C1204" t="s">
        <v>4854</v>
      </c>
      <c r="D1204">
        <v>294</v>
      </c>
      <c r="E1204">
        <v>46</v>
      </c>
      <c r="F1204">
        <v>36</v>
      </c>
      <c r="G1204">
        <v>33</v>
      </c>
      <c r="H1204">
        <v>90</v>
      </c>
      <c r="I1204">
        <v>89</v>
      </c>
      <c r="J1204">
        <v>53</v>
      </c>
      <c r="K1204">
        <v>95</v>
      </c>
      <c r="L1204">
        <v>146</v>
      </c>
      <c r="M1204">
        <v>267</v>
      </c>
      <c r="N1204">
        <v>27</v>
      </c>
      <c r="O1204" t="s">
        <v>4855</v>
      </c>
      <c r="P1204" s="1" t="b">
        <f>NOT(OR(Table1[[#This Row],[State]]="Other Foreign Countries", Table1[[#This Row],[State]]="Unknown", Table1[[#This Row],[State]]="Puerto Rico all counties"))</f>
        <v>1</v>
      </c>
    </row>
    <row r="1205" spans="1:16" x14ac:dyDescent="0.25">
      <c r="A1205">
        <v>24025</v>
      </c>
      <c r="B1205" t="s">
        <v>2031</v>
      </c>
      <c r="C1205" t="s">
        <v>2053</v>
      </c>
      <c r="D1205">
        <v>6682</v>
      </c>
      <c r="E1205" s="1">
        <v>1032</v>
      </c>
      <c r="F1205">
        <v>659</v>
      </c>
      <c r="G1205">
        <v>788</v>
      </c>
      <c r="H1205" s="1">
        <v>1885</v>
      </c>
      <c r="I1205" s="1">
        <v>2318</v>
      </c>
      <c r="J1205" s="1">
        <v>1739</v>
      </c>
      <c r="K1205" s="1">
        <v>2827</v>
      </c>
      <c r="L1205" s="1">
        <v>2116</v>
      </c>
      <c r="M1205" s="1">
        <v>5608</v>
      </c>
      <c r="N1205" s="1">
        <v>1073</v>
      </c>
      <c r="O1205" t="s">
        <v>2054</v>
      </c>
      <c r="P1205" s="1" t="b">
        <f>NOT(OR(Table1[[#This Row],[State]]="Other Foreign Countries", Table1[[#This Row],[State]]="Unknown", Table1[[#This Row],[State]]="Puerto Rico all counties"))</f>
        <v>1</v>
      </c>
    </row>
    <row r="1206" spans="1:16" x14ac:dyDescent="0.25">
      <c r="A1206">
        <v>21095</v>
      </c>
      <c r="B1206" t="s">
        <v>1716</v>
      </c>
      <c r="C1206" t="s">
        <v>1789</v>
      </c>
      <c r="D1206">
        <v>429</v>
      </c>
      <c r="E1206">
        <v>67</v>
      </c>
      <c r="F1206">
        <v>31</v>
      </c>
      <c r="G1206">
        <v>44</v>
      </c>
      <c r="H1206">
        <v>142</v>
      </c>
      <c r="I1206">
        <v>145</v>
      </c>
      <c r="J1206">
        <v>79</v>
      </c>
      <c r="K1206">
        <v>121</v>
      </c>
      <c r="L1206">
        <v>229</v>
      </c>
      <c r="M1206">
        <v>414</v>
      </c>
      <c r="N1206">
        <v>15</v>
      </c>
      <c r="O1206" t="s">
        <v>1790</v>
      </c>
      <c r="P1206" s="1" t="b">
        <f>NOT(OR(Table1[[#This Row],[State]]="Other Foreign Countries", Table1[[#This Row],[State]]="Unknown", Table1[[#This Row],[State]]="Puerto Rico all counties"))</f>
        <v>1</v>
      </c>
    </row>
    <row r="1207" spans="1:16" x14ac:dyDescent="0.25">
      <c r="A1207">
        <v>31083</v>
      </c>
      <c r="B1207" t="s">
        <v>2758</v>
      </c>
      <c r="C1207" t="s">
        <v>1789</v>
      </c>
      <c r="D1207">
        <v>109</v>
      </c>
      <c r="E1207">
        <v>48</v>
      </c>
      <c r="F1207">
        <v>12</v>
      </c>
      <c r="G1207">
        <v>10</v>
      </c>
      <c r="H1207">
        <v>21</v>
      </c>
      <c r="I1207">
        <v>18</v>
      </c>
      <c r="L1207">
        <v>79</v>
      </c>
      <c r="O1207" t="s">
        <v>2818</v>
      </c>
      <c r="P1207" s="1" t="b">
        <f>NOT(OR(Table1[[#This Row],[State]]="Other Foreign Countries", Table1[[#This Row],[State]]="Unknown", Table1[[#This Row],[State]]="Puerto Rico all counties"))</f>
        <v>1</v>
      </c>
    </row>
    <row r="1208" spans="1:16" x14ac:dyDescent="0.25">
      <c r="A1208">
        <v>40057</v>
      </c>
      <c r="B1208" t="s">
        <v>3495</v>
      </c>
      <c r="C1208" t="s">
        <v>3537</v>
      </c>
      <c r="D1208">
        <v>66</v>
      </c>
      <c r="E1208">
        <v>13</v>
      </c>
      <c r="H1208">
        <v>20</v>
      </c>
      <c r="I1208">
        <v>12</v>
      </c>
      <c r="J1208">
        <v>11</v>
      </c>
      <c r="K1208">
        <v>22</v>
      </c>
      <c r="L1208">
        <v>33</v>
      </c>
      <c r="O1208" t="s">
        <v>3538</v>
      </c>
      <c r="P1208" s="1" t="b">
        <f>NOT(OR(Table1[[#This Row],[State]]="Other Foreign Countries", Table1[[#This Row],[State]]="Unknown", Table1[[#This Row],[State]]="Puerto Rico all counties"))</f>
        <v>1</v>
      </c>
    </row>
    <row r="1209" spans="1:16" x14ac:dyDescent="0.25">
      <c r="A1209">
        <v>37085</v>
      </c>
      <c r="B1209" t="s">
        <v>3121</v>
      </c>
      <c r="C1209" t="s">
        <v>3193</v>
      </c>
      <c r="D1209">
        <v>9068</v>
      </c>
      <c r="E1209">
        <v>745</v>
      </c>
      <c r="F1209">
        <v>551</v>
      </c>
      <c r="G1209">
        <v>752</v>
      </c>
      <c r="H1209" s="1">
        <v>2626</v>
      </c>
      <c r="I1209" s="1">
        <v>4394</v>
      </c>
      <c r="J1209" s="1">
        <v>3307</v>
      </c>
      <c r="K1209" s="1">
        <v>3878</v>
      </c>
      <c r="L1209" s="1">
        <v>1883</v>
      </c>
      <c r="M1209" s="1">
        <v>7329</v>
      </c>
      <c r="N1209" s="1">
        <v>1739</v>
      </c>
      <c r="O1209" t="s">
        <v>3194</v>
      </c>
      <c r="P1209" s="1" t="b">
        <f>NOT(OR(Table1[[#This Row],[State]]="Other Foreign Countries", Table1[[#This Row],[State]]="Unknown", Table1[[#This Row],[State]]="Puerto Rico all counties"))</f>
        <v>1</v>
      </c>
    </row>
    <row r="1210" spans="1:16" x14ac:dyDescent="0.25">
      <c r="A1210">
        <v>41025</v>
      </c>
      <c r="B1210" t="s">
        <v>2607</v>
      </c>
      <c r="C1210" t="s">
        <v>3630</v>
      </c>
      <c r="D1210">
        <v>235</v>
      </c>
      <c r="E1210">
        <v>48</v>
      </c>
      <c r="F1210">
        <v>30</v>
      </c>
      <c r="G1210">
        <v>27</v>
      </c>
      <c r="H1210">
        <v>81</v>
      </c>
      <c r="I1210">
        <v>49</v>
      </c>
      <c r="J1210">
        <v>40</v>
      </c>
      <c r="K1210">
        <v>61</v>
      </c>
      <c r="L1210">
        <v>134</v>
      </c>
      <c r="M1210">
        <v>212</v>
      </c>
      <c r="N1210">
        <v>23</v>
      </c>
      <c r="O1210" t="s">
        <v>3631</v>
      </c>
      <c r="P1210" s="1" t="b">
        <f>NOT(OR(Table1[[#This Row],[State]]="Other Foreign Countries", Table1[[#This Row],[State]]="Unknown", Table1[[#This Row],[State]]="Puerto Rico all counties"))</f>
        <v>1</v>
      </c>
    </row>
    <row r="1211" spans="1:16" x14ac:dyDescent="0.25">
      <c r="A1211">
        <v>20077</v>
      </c>
      <c r="B1211" t="s">
        <v>1543</v>
      </c>
      <c r="C1211" t="s">
        <v>1603</v>
      </c>
      <c r="D1211">
        <v>63</v>
      </c>
      <c r="E1211">
        <v>12</v>
      </c>
      <c r="H1211">
        <v>28</v>
      </c>
      <c r="I1211">
        <v>11</v>
      </c>
      <c r="J1211">
        <v>13</v>
      </c>
      <c r="K1211">
        <v>17</v>
      </c>
      <c r="L1211">
        <v>33</v>
      </c>
      <c r="O1211" t="s">
        <v>1604</v>
      </c>
      <c r="P1211" s="1" t="b">
        <f>NOT(OR(Table1[[#This Row],[State]]="Other Foreign Countries", Table1[[#This Row],[State]]="Unknown", Table1[[#This Row],[State]]="Puerto Rico all counties"))</f>
        <v>1</v>
      </c>
    </row>
    <row r="1212" spans="1:16" x14ac:dyDescent="0.25">
      <c r="A1212">
        <v>40059</v>
      </c>
      <c r="B1212" t="s">
        <v>3495</v>
      </c>
      <c r="C1212" t="s">
        <v>1603</v>
      </c>
      <c r="D1212">
        <v>51</v>
      </c>
      <c r="E1212">
        <v>12</v>
      </c>
      <c r="H1212">
        <v>11</v>
      </c>
      <c r="I1212">
        <v>13</v>
      </c>
      <c r="J1212">
        <v>11</v>
      </c>
      <c r="K1212">
        <v>11</v>
      </c>
      <c r="L1212">
        <v>29</v>
      </c>
      <c r="O1212" t="s">
        <v>3539</v>
      </c>
      <c r="P1212" s="1" t="b">
        <f>NOT(OR(Table1[[#This Row],[State]]="Other Foreign Countries", Table1[[#This Row],[State]]="Unknown", Table1[[#This Row],[State]]="Puerto Rico all counties"))</f>
        <v>1</v>
      </c>
    </row>
    <row r="1213" spans="1:16" x14ac:dyDescent="0.25">
      <c r="A1213">
        <v>13145</v>
      </c>
      <c r="B1213" t="s">
        <v>754</v>
      </c>
      <c r="C1213" t="s">
        <v>879</v>
      </c>
      <c r="D1213">
        <v>2498</v>
      </c>
      <c r="E1213">
        <v>220</v>
      </c>
      <c r="F1213">
        <v>174</v>
      </c>
      <c r="G1213">
        <v>180</v>
      </c>
      <c r="H1213">
        <v>602</v>
      </c>
      <c r="I1213" s="1">
        <v>1322</v>
      </c>
      <c r="J1213">
        <v>567</v>
      </c>
      <c r="K1213" s="1">
        <v>1171</v>
      </c>
      <c r="L1213">
        <v>760</v>
      </c>
      <c r="M1213" s="1">
        <v>2135</v>
      </c>
      <c r="N1213">
        <v>362</v>
      </c>
      <c r="O1213" t="s">
        <v>880</v>
      </c>
      <c r="P1213" s="1" t="b">
        <f>NOT(OR(Table1[[#This Row],[State]]="Other Foreign Countries", Table1[[#This Row],[State]]="Unknown", Table1[[#This Row],[State]]="Puerto Rico all counties"))</f>
        <v>1</v>
      </c>
    </row>
    <row r="1214" spans="1:16" x14ac:dyDescent="0.25">
      <c r="A1214">
        <v>48201</v>
      </c>
      <c r="B1214" t="s">
        <v>2654</v>
      </c>
      <c r="C1214" t="s">
        <v>879</v>
      </c>
      <c r="D1214">
        <v>61160</v>
      </c>
      <c r="E1214" s="1">
        <v>10271</v>
      </c>
      <c r="F1214" s="1">
        <v>5544</v>
      </c>
      <c r="G1214" s="1">
        <v>6399</v>
      </c>
      <c r="H1214" s="1">
        <v>19597</v>
      </c>
      <c r="I1214" s="1">
        <v>19349</v>
      </c>
      <c r="J1214" s="1">
        <v>25215</v>
      </c>
      <c r="K1214" s="1">
        <v>19993</v>
      </c>
      <c r="L1214" s="1">
        <v>15952</v>
      </c>
      <c r="M1214" s="1">
        <v>51138</v>
      </c>
      <c r="N1214" s="1">
        <v>10017</v>
      </c>
      <c r="O1214" t="s">
        <v>4239</v>
      </c>
      <c r="P1214" s="1" t="b">
        <f>NOT(OR(Table1[[#This Row],[State]]="Other Foreign Countries", Table1[[#This Row],[State]]="Unknown", Table1[[#This Row],[State]]="Puerto Rico all counties"))</f>
        <v>1</v>
      </c>
    </row>
    <row r="1215" spans="1:16" x14ac:dyDescent="0.25">
      <c r="A1215">
        <v>18061</v>
      </c>
      <c r="B1215" t="s">
        <v>1266</v>
      </c>
      <c r="C1215" t="s">
        <v>1306</v>
      </c>
      <c r="D1215">
        <v>1074</v>
      </c>
      <c r="E1215">
        <v>348</v>
      </c>
      <c r="F1215">
        <v>129</v>
      </c>
      <c r="G1215">
        <v>127</v>
      </c>
      <c r="H1215">
        <v>280</v>
      </c>
      <c r="I1215">
        <v>190</v>
      </c>
      <c r="J1215">
        <v>241</v>
      </c>
      <c r="K1215">
        <v>350</v>
      </c>
      <c r="L1215">
        <v>483</v>
      </c>
      <c r="M1215">
        <v>985</v>
      </c>
      <c r="N1215">
        <v>89</v>
      </c>
      <c r="O1215" t="s">
        <v>1307</v>
      </c>
      <c r="P1215" s="1" t="b">
        <f>NOT(OR(Table1[[#This Row],[State]]="Other Foreign Countries", Table1[[#This Row],[State]]="Unknown", Table1[[#This Row],[State]]="Puerto Rico all counties"))</f>
        <v>1</v>
      </c>
    </row>
    <row r="1216" spans="1:16" x14ac:dyDescent="0.25">
      <c r="A1216">
        <v>19085</v>
      </c>
      <c r="B1216" t="s">
        <v>1399</v>
      </c>
      <c r="C1216" t="s">
        <v>1306</v>
      </c>
      <c r="D1216">
        <v>417</v>
      </c>
      <c r="E1216">
        <v>132</v>
      </c>
      <c r="F1216">
        <v>50</v>
      </c>
      <c r="G1216">
        <v>58</v>
      </c>
      <c r="H1216">
        <v>101</v>
      </c>
      <c r="I1216">
        <v>76</v>
      </c>
      <c r="J1216">
        <v>81</v>
      </c>
      <c r="K1216">
        <v>119</v>
      </c>
      <c r="L1216">
        <v>217</v>
      </c>
      <c r="M1216">
        <v>393</v>
      </c>
      <c r="N1216">
        <v>24</v>
      </c>
      <c r="O1216" t="s">
        <v>1459</v>
      </c>
      <c r="P1216" s="1" t="b">
        <f>NOT(OR(Table1[[#This Row],[State]]="Other Foreign Countries", Table1[[#This Row],[State]]="Unknown", Table1[[#This Row],[State]]="Puerto Rico all counties"))</f>
        <v>1</v>
      </c>
    </row>
    <row r="1217" spans="1:16" x14ac:dyDescent="0.25">
      <c r="A1217">
        <v>21097</v>
      </c>
      <c r="B1217" t="s">
        <v>1716</v>
      </c>
      <c r="C1217" t="s">
        <v>1306</v>
      </c>
      <c r="D1217">
        <v>322</v>
      </c>
      <c r="E1217">
        <v>66</v>
      </c>
      <c r="F1217">
        <v>45</v>
      </c>
      <c r="G1217">
        <v>47</v>
      </c>
      <c r="H1217">
        <v>97</v>
      </c>
      <c r="I1217">
        <v>67</v>
      </c>
      <c r="J1217">
        <v>63</v>
      </c>
      <c r="K1217">
        <v>104</v>
      </c>
      <c r="L1217">
        <v>155</v>
      </c>
      <c r="M1217">
        <v>299</v>
      </c>
      <c r="N1217">
        <v>23</v>
      </c>
      <c r="O1217" t="s">
        <v>1791</v>
      </c>
      <c r="P1217" s="1" t="b">
        <f>NOT(OR(Table1[[#This Row],[State]]="Other Foreign Countries", Table1[[#This Row],[State]]="Unknown", Table1[[#This Row],[State]]="Puerto Rico all counties"))</f>
        <v>1</v>
      </c>
    </row>
    <row r="1218" spans="1:16" x14ac:dyDescent="0.25">
      <c r="A1218">
        <v>28047</v>
      </c>
      <c r="B1218" t="s">
        <v>322</v>
      </c>
      <c r="C1218" t="s">
        <v>1306</v>
      </c>
      <c r="D1218">
        <v>10759</v>
      </c>
      <c r="E1218" s="1">
        <v>1723</v>
      </c>
      <c r="F1218" s="1">
        <v>1016</v>
      </c>
      <c r="G1218" s="1">
        <v>1251</v>
      </c>
      <c r="H1218" s="1">
        <v>3239</v>
      </c>
      <c r="I1218" s="1">
        <v>3530</v>
      </c>
      <c r="J1218" s="1">
        <v>2614</v>
      </c>
      <c r="K1218" s="1">
        <v>4302</v>
      </c>
      <c r="L1218" s="1">
        <v>3843</v>
      </c>
      <c r="M1218" s="1">
        <v>8819</v>
      </c>
      <c r="N1218" s="1">
        <v>1940</v>
      </c>
      <c r="O1218" t="s">
        <v>2426</v>
      </c>
      <c r="P1218" s="1" t="b">
        <f>NOT(OR(Table1[[#This Row],[State]]="Other Foreign Countries", Table1[[#This Row],[State]]="Unknown", Table1[[#This Row],[State]]="Puerto Rico all counties"))</f>
        <v>1</v>
      </c>
    </row>
    <row r="1219" spans="1:16" x14ac:dyDescent="0.25">
      <c r="A1219">
        <v>29081</v>
      </c>
      <c r="B1219" t="s">
        <v>2510</v>
      </c>
      <c r="C1219" t="s">
        <v>1306</v>
      </c>
      <c r="D1219">
        <v>162</v>
      </c>
      <c r="E1219">
        <v>46</v>
      </c>
      <c r="F1219">
        <v>19</v>
      </c>
      <c r="G1219">
        <v>22</v>
      </c>
      <c r="H1219">
        <v>43</v>
      </c>
      <c r="I1219">
        <v>32</v>
      </c>
      <c r="J1219">
        <v>26</v>
      </c>
      <c r="K1219">
        <v>37</v>
      </c>
      <c r="L1219">
        <v>99</v>
      </c>
      <c r="M1219">
        <v>144</v>
      </c>
      <c r="N1219">
        <v>18</v>
      </c>
      <c r="O1219" t="s">
        <v>2564</v>
      </c>
      <c r="P1219" s="1" t="b">
        <f>NOT(OR(Table1[[#This Row],[State]]="Other Foreign Countries", Table1[[#This Row],[State]]="Unknown", Table1[[#This Row],[State]]="Puerto Rico all counties"))</f>
        <v>1</v>
      </c>
    </row>
    <row r="1220" spans="1:16" x14ac:dyDescent="0.25">
      <c r="A1220">
        <v>39067</v>
      </c>
      <c r="B1220" t="s">
        <v>1343</v>
      </c>
      <c r="C1220" t="s">
        <v>1306</v>
      </c>
      <c r="D1220">
        <v>284</v>
      </c>
      <c r="E1220">
        <v>65</v>
      </c>
      <c r="F1220">
        <v>44</v>
      </c>
      <c r="G1220">
        <v>31</v>
      </c>
      <c r="H1220">
        <v>84</v>
      </c>
      <c r="I1220">
        <v>60</v>
      </c>
      <c r="J1220">
        <v>64</v>
      </c>
      <c r="K1220">
        <v>78</v>
      </c>
      <c r="L1220">
        <v>142</v>
      </c>
      <c r="M1220">
        <v>260</v>
      </c>
      <c r="N1220">
        <v>24</v>
      </c>
      <c r="O1220" t="s">
        <v>3419</v>
      </c>
      <c r="P1220" s="1" t="b">
        <f>NOT(OR(Table1[[#This Row],[State]]="Other Foreign Countries", Table1[[#This Row],[State]]="Unknown", Table1[[#This Row],[State]]="Puerto Rico all counties"))</f>
        <v>1</v>
      </c>
    </row>
    <row r="1221" spans="1:16" x14ac:dyDescent="0.25">
      <c r="A1221">
        <v>48203</v>
      </c>
      <c r="B1221" t="s">
        <v>2654</v>
      </c>
      <c r="C1221" t="s">
        <v>1306</v>
      </c>
      <c r="D1221">
        <v>1602</v>
      </c>
      <c r="E1221">
        <v>259</v>
      </c>
      <c r="F1221">
        <v>163</v>
      </c>
      <c r="G1221">
        <v>198</v>
      </c>
      <c r="H1221">
        <v>511</v>
      </c>
      <c r="I1221">
        <v>471</v>
      </c>
      <c r="J1221">
        <v>416</v>
      </c>
      <c r="K1221">
        <v>554</v>
      </c>
      <c r="L1221">
        <v>632</v>
      </c>
      <c r="M1221" s="1">
        <v>1425</v>
      </c>
      <c r="N1221">
        <v>175</v>
      </c>
      <c r="O1221" t="s">
        <v>4240</v>
      </c>
      <c r="P1221" s="1" t="b">
        <f>NOT(OR(Table1[[#This Row],[State]]="Other Foreign Countries", Table1[[#This Row],[State]]="Unknown", Table1[[#This Row],[State]]="Puerto Rico all counties"))</f>
        <v>1</v>
      </c>
    </row>
    <row r="1222" spans="1:16" x14ac:dyDescent="0.25">
      <c r="A1222">
        <v>54033</v>
      </c>
      <c r="B1222" t="s">
        <v>4833</v>
      </c>
      <c r="C1222" t="s">
        <v>1306</v>
      </c>
      <c r="D1222">
        <v>1835</v>
      </c>
      <c r="E1222">
        <v>379</v>
      </c>
      <c r="F1222">
        <v>176</v>
      </c>
      <c r="G1222">
        <v>213</v>
      </c>
      <c r="H1222">
        <v>589</v>
      </c>
      <c r="I1222">
        <v>478</v>
      </c>
      <c r="J1222">
        <v>400</v>
      </c>
      <c r="K1222">
        <v>661</v>
      </c>
      <c r="L1222">
        <v>774</v>
      </c>
      <c r="M1222" s="1">
        <v>1683</v>
      </c>
      <c r="N1222">
        <v>152</v>
      </c>
      <c r="O1222" t="s">
        <v>4856</v>
      </c>
      <c r="P1222" s="1" t="b">
        <f>NOT(OR(Table1[[#This Row],[State]]="Other Foreign Countries", Table1[[#This Row],[State]]="Unknown", Table1[[#This Row],[State]]="Puerto Rico all counties"))</f>
        <v>1</v>
      </c>
    </row>
    <row r="1223" spans="1:16" x14ac:dyDescent="0.25">
      <c r="A1223">
        <v>51660</v>
      </c>
      <c r="B1223" t="s">
        <v>4555</v>
      </c>
      <c r="C1223" t="s">
        <v>4726</v>
      </c>
      <c r="D1223">
        <v>279</v>
      </c>
      <c r="E1223">
        <v>59</v>
      </c>
      <c r="F1223">
        <v>42</v>
      </c>
      <c r="G1223">
        <v>38</v>
      </c>
      <c r="H1223">
        <v>95</v>
      </c>
      <c r="I1223">
        <v>45</v>
      </c>
      <c r="J1223">
        <v>108</v>
      </c>
      <c r="K1223">
        <v>73</v>
      </c>
      <c r="L1223">
        <v>98</v>
      </c>
      <c r="M1223">
        <v>238</v>
      </c>
      <c r="N1223">
        <v>41</v>
      </c>
      <c r="O1223" t="s">
        <v>4727</v>
      </c>
      <c r="P1223" s="1" t="b">
        <f>NOT(OR(Table1[[#This Row],[State]]="Other Foreign Countries", Table1[[#This Row],[State]]="Unknown", Table1[[#This Row],[State]]="Puerto Rico all counties"))</f>
        <v>1</v>
      </c>
    </row>
    <row r="1224" spans="1:16" x14ac:dyDescent="0.25">
      <c r="A1224">
        <v>13147</v>
      </c>
      <c r="B1224" t="s">
        <v>754</v>
      </c>
      <c r="C1224" t="s">
        <v>881</v>
      </c>
      <c r="D1224">
        <v>504</v>
      </c>
      <c r="E1224">
        <v>102</v>
      </c>
      <c r="F1224">
        <v>54</v>
      </c>
      <c r="G1224">
        <v>49</v>
      </c>
      <c r="H1224">
        <v>156</v>
      </c>
      <c r="I1224">
        <v>143</v>
      </c>
      <c r="J1224">
        <v>107</v>
      </c>
      <c r="K1224">
        <v>139</v>
      </c>
      <c r="L1224">
        <v>258</v>
      </c>
      <c r="M1224">
        <v>464</v>
      </c>
      <c r="N1224">
        <v>40</v>
      </c>
      <c r="O1224" t="s">
        <v>882</v>
      </c>
      <c r="P1224" s="1" t="b">
        <f>NOT(OR(Table1[[#This Row],[State]]="Other Foreign Countries", Table1[[#This Row],[State]]="Unknown", Table1[[#This Row],[State]]="Puerto Rico all counties"))</f>
        <v>1</v>
      </c>
    </row>
    <row r="1225" spans="1:16" x14ac:dyDescent="0.25">
      <c r="A1225">
        <v>21099</v>
      </c>
      <c r="B1225" t="s">
        <v>1716</v>
      </c>
      <c r="C1225" t="s">
        <v>881</v>
      </c>
      <c r="D1225">
        <v>353</v>
      </c>
      <c r="E1225">
        <v>63</v>
      </c>
      <c r="F1225">
        <v>39</v>
      </c>
      <c r="G1225">
        <v>46</v>
      </c>
      <c r="H1225">
        <v>111</v>
      </c>
      <c r="I1225">
        <v>94</v>
      </c>
      <c r="J1225">
        <v>89</v>
      </c>
      <c r="K1225">
        <v>125</v>
      </c>
      <c r="L1225">
        <v>139</v>
      </c>
      <c r="M1225">
        <v>321</v>
      </c>
      <c r="N1225">
        <v>32</v>
      </c>
      <c r="O1225" t="s">
        <v>1792</v>
      </c>
      <c r="P1225" s="1" t="b">
        <f>NOT(OR(Table1[[#This Row],[State]]="Other Foreign Countries", Table1[[#This Row],[State]]="Unknown", Table1[[#This Row],[State]]="Puerto Rico all counties"))</f>
        <v>1</v>
      </c>
    </row>
    <row r="1226" spans="1:16" x14ac:dyDescent="0.25">
      <c r="A1226">
        <v>48205</v>
      </c>
      <c r="B1226" t="s">
        <v>2654</v>
      </c>
      <c r="C1226" t="s">
        <v>4241</v>
      </c>
      <c r="D1226">
        <v>49</v>
      </c>
      <c r="E1226">
        <v>15</v>
      </c>
      <c r="I1226">
        <v>13</v>
      </c>
      <c r="J1226">
        <v>10</v>
      </c>
      <c r="K1226">
        <v>19</v>
      </c>
      <c r="L1226">
        <v>20</v>
      </c>
      <c r="O1226" t="s">
        <v>4242</v>
      </c>
      <c r="P1226" s="1" t="b">
        <f>NOT(OR(Table1[[#This Row],[State]]="Other Foreign Countries", Table1[[#This Row],[State]]="Unknown", Table1[[#This Row],[State]]="Puerto Rico all counties"))</f>
        <v>1</v>
      </c>
    </row>
    <row r="1227" spans="1:16" x14ac:dyDescent="0.25">
      <c r="A1227">
        <v>20079</v>
      </c>
      <c r="B1227" t="s">
        <v>1543</v>
      </c>
      <c r="C1227" t="s">
        <v>1605</v>
      </c>
      <c r="D1227">
        <v>522</v>
      </c>
      <c r="E1227">
        <v>112</v>
      </c>
      <c r="F1227">
        <v>67</v>
      </c>
      <c r="G1227">
        <v>69</v>
      </c>
      <c r="H1227">
        <v>144</v>
      </c>
      <c r="I1227">
        <v>130</v>
      </c>
      <c r="J1227">
        <v>174</v>
      </c>
      <c r="K1227">
        <v>154</v>
      </c>
      <c r="L1227">
        <v>194</v>
      </c>
      <c r="M1227">
        <v>470</v>
      </c>
      <c r="N1227">
        <v>52</v>
      </c>
      <c r="O1227" t="s">
        <v>1606</v>
      </c>
      <c r="P1227" s="1" t="b">
        <f>NOT(OR(Table1[[#This Row],[State]]="Other Foreign Countries", Table1[[#This Row],[State]]="Unknown", Table1[[#This Row],[State]]="Puerto Rico all counties"))</f>
        <v>1</v>
      </c>
    </row>
    <row r="1228" spans="1:16" x14ac:dyDescent="0.25">
      <c r="A1228">
        <v>20081</v>
      </c>
      <c r="B1228" t="s">
        <v>1543</v>
      </c>
      <c r="C1228" t="s">
        <v>1607</v>
      </c>
      <c r="D1228">
        <v>22</v>
      </c>
      <c r="I1228">
        <v>10</v>
      </c>
      <c r="O1228" t="s">
        <v>1608</v>
      </c>
      <c r="P1228" s="1" t="b">
        <f>NOT(OR(Table1[[#This Row],[State]]="Other Foreign Countries", Table1[[#This Row],[State]]="Unknown", Table1[[#This Row],[State]]="Puerto Rico all counties"))</f>
        <v>1</v>
      </c>
    </row>
    <row r="1229" spans="1:16" x14ac:dyDescent="0.25">
      <c r="A1229">
        <v>40061</v>
      </c>
      <c r="B1229" t="s">
        <v>3495</v>
      </c>
      <c r="C1229" t="s">
        <v>1607</v>
      </c>
      <c r="D1229">
        <v>379</v>
      </c>
      <c r="E1229">
        <v>69</v>
      </c>
      <c r="F1229">
        <v>29</v>
      </c>
      <c r="G1229">
        <v>36</v>
      </c>
      <c r="H1229">
        <v>129</v>
      </c>
      <c r="I1229">
        <v>116</v>
      </c>
      <c r="J1229">
        <v>60</v>
      </c>
      <c r="K1229">
        <v>93</v>
      </c>
      <c r="L1229">
        <v>226</v>
      </c>
      <c r="M1229">
        <v>351</v>
      </c>
      <c r="N1229">
        <v>28</v>
      </c>
      <c r="O1229" t="s">
        <v>3540</v>
      </c>
      <c r="P1229" s="1" t="b">
        <f>NOT(OR(Table1[[#This Row],[State]]="Other Foreign Countries", Table1[[#This Row],[State]]="Unknown", Table1[[#This Row],[State]]="Puerto Rico all counties"))</f>
        <v>1</v>
      </c>
    </row>
    <row r="1230" spans="1:16" x14ac:dyDescent="0.25">
      <c r="A1230">
        <v>48207</v>
      </c>
      <c r="B1230" t="s">
        <v>2654</v>
      </c>
      <c r="C1230" t="s">
        <v>1607</v>
      </c>
      <c r="D1230">
        <v>87</v>
      </c>
      <c r="E1230">
        <v>19</v>
      </c>
      <c r="H1230">
        <v>26</v>
      </c>
      <c r="I1230">
        <v>23</v>
      </c>
      <c r="J1230">
        <v>24</v>
      </c>
      <c r="K1230">
        <v>28</v>
      </c>
      <c r="L1230">
        <v>35</v>
      </c>
      <c r="O1230" t="s">
        <v>4243</v>
      </c>
      <c r="P1230" s="1" t="b">
        <f>NOT(OR(Table1[[#This Row],[State]]="Other Foreign Countries", Table1[[#This Row],[State]]="Unknown", Table1[[#This Row],[State]]="Puerto Rico all counties"))</f>
        <v>1</v>
      </c>
    </row>
    <row r="1231" spans="1:16" x14ac:dyDescent="0.25">
      <c r="A1231">
        <v>15001</v>
      </c>
      <c r="B1231" t="s">
        <v>1022</v>
      </c>
      <c r="C1231" t="s">
        <v>1022</v>
      </c>
      <c r="D1231">
        <v>4368</v>
      </c>
      <c r="E1231">
        <v>924</v>
      </c>
      <c r="F1231">
        <v>463</v>
      </c>
      <c r="G1231">
        <v>475</v>
      </c>
      <c r="H1231" s="1">
        <v>1153</v>
      </c>
      <c r="I1231" s="1">
        <v>1353</v>
      </c>
      <c r="J1231">
        <v>868</v>
      </c>
      <c r="K1231" s="1">
        <v>1146</v>
      </c>
      <c r="L1231" s="1">
        <v>2354</v>
      </c>
      <c r="M1231" s="1">
        <v>3943</v>
      </c>
      <c r="N1231">
        <v>425</v>
      </c>
      <c r="O1231" t="s">
        <v>1023</v>
      </c>
      <c r="P1231" s="1" t="b">
        <f>NOT(OR(Table1[[#This Row],[State]]="Other Foreign Countries", Table1[[#This Row],[State]]="Unknown", Table1[[#This Row],[State]]="Puerto Rico all counties"))</f>
        <v>1</v>
      </c>
    </row>
    <row r="1232" spans="1:16" x14ac:dyDescent="0.25">
      <c r="A1232">
        <v>47073</v>
      </c>
      <c r="B1232" t="s">
        <v>3951</v>
      </c>
      <c r="C1232" t="s">
        <v>4000</v>
      </c>
      <c r="D1232">
        <v>1883</v>
      </c>
      <c r="E1232">
        <v>423</v>
      </c>
      <c r="F1232">
        <v>189</v>
      </c>
      <c r="G1232">
        <v>198</v>
      </c>
      <c r="H1232">
        <v>579</v>
      </c>
      <c r="I1232">
        <v>494</v>
      </c>
      <c r="J1232">
        <v>328</v>
      </c>
      <c r="K1232">
        <v>619</v>
      </c>
      <c r="L1232">
        <v>936</v>
      </c>
      <c r="M1232" s="1">
        <v>1748</v>
      </c>
      <c r="N1232">
        <v>135</v>
      </c>
      <c r="O1232" t="s">
        <v>4001</v>
      </c>
      <c r="P1232" s="1" t="b">
        <f>NOT(OR(Table1[[#This Row],[State]]="Other Foreign Countries", Table1[[#This Row],[State]]="Unknown", Table1[[#This Row],[State]]="Puerto Rico all counties"))</f>
        <v>1</v>
      </c>
    </row>
    <row r="1233" spans="1:16" x14ac:dyDescent="0.25">
      <c r="A1233">
        <v>31085</v>
      </c>
      <c r="B1233" t="s">
        <v>2758</v>
      </c>
      <c r="C1233" t="s">
        <v>2819</v>
      </c>
      <c r="D1233">
        <v>17</v>
      </c>
      <c r="O1233" t="s">
        <v>2820</v>
      </c>
      <c r="P1233" s="1" t="b">
        <f>NOT(OR(Table1[[#This Row],[State]]="Other Foreign Countries", Table1[[#This Row],[State]]="Unknown", Table1[[#This Row],[State]]="Puerto Rico all counties"))</f>
        <v>1</v>
      </c>
    </row>
    <row r="1234" spans="1:16" x14ac:dyDescent="0.25">
      <c r="A1234">
        <v>48209</v>
      </c>
      <c r="B1234" t="s">
        <v>2654</v>
      </c>
      <c r="C1234" t="s">
        <v>4244</v>
      </c>
      <c r="D1234">
        <v>6519</v>
      </c>
      <c r="E1234">
        <v>979</v>
      </c>
      <c r="F1234">
        <v>587</v>
      </c>
      <c r="G1234">
        <v>715</v>
      </c>
      <c r="H1234" s="1">
        <v>1993</v>
      </c>
      <c r="I1234" s="1">
        <v>2245</v>
      </c>
      <c r="J1234" s="1">
        <v>2624</v>
      </c>
      <c r="K1234" s="1">
        <v>2049</v>
      </c>
      <c r="L1234" s="1">
        <v>1846</v>
      </c>
      <c r="M1234" s="1">
        <v>5633</v>
      </c>
      <c r="N1234">
        <v>885</v>
      </c>
      <c r="O1234" t="s">
        <v>4245</v>
      </c>
      <c r="P1234" s="1" t="b">
        <f>NOT(OR(Table1[[#This Row],[State]]="Other Foreign Countries", Table1[[#This Row],[State]]="Unknown", Table1[[#This Row],[State]]="Puerto Rico all counties"))</f>
        <v>1</v>
      </c>
    </row>
    <row r="1235" spans="1:16" x14ac:dyDescent="0.25">
      <c r="A1235">
        <v>37087</v>
      </c>
      <c r="B1235" t="s">
        <v>3121</v>
      </c>
      <c r="C1235" t="s">
        <v>3195</v>
      </c>
      <c r="D1235">
        <v>1861</v>
      </c>
      <c r="E1235">
        <v>386</v>
      </c>
      <c r="F1235">
        <v>225</v>
      </c>
      <c r="G1235">
        <v>262</v>
      </c>
      <c r="H1235">
        <v>537</v>
      </c>
      <c r="I1235">
        <v>451</v>
      </c>
      <c r="J1235">
        <v>329</v>
      </c>
      <c r="K1235">
        <v>522</v>
      </c>
      <c r="L1235" s="1">
        <v>1010</v>
      </c>
      <c r="M1235" s="1">
        <v>1716</v>
      </c>
      <c r="N1235">
        <v>145</v>
      </c>
      <c r="O1235" t="s">
        <v>3196</v>
      </c>
      <c r="P1235" s="1" t="b">
        <f>NOT(OR(Table1[[#This Row],[State]]="Other Foreign Countries", Table1[[#This Row],[State]]="Unknown", Table1[[#This Row],[State]]="Puerto Rico all counties"))</f>
        <v>1</v>
      </c>
    </row>
    <row r="1236" spans="1:16" x14ac:dyDescent="0.25">
      <c r="A1236">
        <v>47075</v>
      </c>
      <c r="B1236" t="s">
        <v>3951</v>
      </c>
      <c r="C1236" t="s">
        <v>3195</v>
      </c>
      <c r="D1236">
        <v>350</v>
      </c>
      <c r="E1236">
        <v>94</v>
      </c>
      <c r="F1236">
        <v>28</v>
      </c>
      <c r="G1236">
        <v>41</v>
      </c>
      <c r="H1236">
        <v>82</v>
      </c>
      <c r="I1236">
        <v>105</v>
      </c>
      <c r="J1236">
        <v>49</v>
      </c>
      <c r="K1236">
        <v>124</v>
      </c>
      <c r="L1236">
        <v>177</v>
      </c>
      <c r="M1236">
        <v>310</v>
      </c>
      <c r="N1236">
        <v>40</v>
      </c>
      <c r="O1236" t="s">
        <v>4002</v>
      </c>
      <c r="P1236" s="1" t="b">
        <f>NOT(OR(Table1[[#This Row],[State]]="Other Foreign Countries", Table1[[#This Row],[State]]="Unknown", Table1[[#This Row],[State]]="Puerto Rico all counties"))</f>
        <v>1</v>
      </c>
    </row>
    <row r="1237" spans="1:16" x14ac:dyDescent="0.25">
      <c r="A1237">
        <v>13149</v>
      </c>
      <c r="B1237" t="s">
        <v>754</v>
      </c>
      <c r="C1237" t="s">
        <v>883</v>
      </c>
      <c r="D1237">
        <v>206</v>
      </c>
      <c r="E1237">
        <v>46</v>
      </c>
      <c r="F1237">
        <v>16</v>
      </c>
      <c r="G1237">
        <v>30</v>
      </c>
      <c r="H1237">
        <v>51</v>
      </c>
      <c r="I1237">
        <v>63</v>
      </c>
      <c r="J1237">
        <v>56</v>
      </c>
      <c r="K1237">
        <v>66</v>
      </c>
      <c r="L1237">
        <v>84</v>
      </c>
      <c r="M1237">
        <v>183</v>
      </c>
      <c r="N1237">
        <v>23</v>
      </c>
      <c r="O1237" t="s">
        <v>884</v>
      </c>
      <c r="P1237" s="1" t="b">
        <f>NOT(OR(Table1[[#This Row],[State]]="Other Foreign Countries", Table1[[#This Row],[State]]="Unknown", Table1[[#This Row],[State]]="Puerto Rico all counties"))</f>
        <v>1</v>
      </c>
    </row>
    <row r="1238" spans="1:16" x14ac:dyDescent="0.25">
      <c r="A1238">
        <v>48211</v>
      </c>
      <c r="B1238" t="s">
        <v>2654</v>
      </c>
      <c r="C1238" t="s">
        <v>4246</v>
      </c>
      <c r="D1238">
        <v>40</v>
      </c>
      <c r="H1238">
        <v>18</v>
      </c>
      <c r="I1238">
        <v>10</v>
      </c>
      <c r="J1238">
        <v>17</v>
      </c>
      <c r="K1238">
        <v>12</v>
      </c>
      <c r="L1238">
        <v>11</v>
      </c>
      <c r="O1238" t="s">
        <v>4247</v>
      </c>
      <c r="P1238" s="1" t="b">
        <f>NOT(OR(Table1[[#This Row],[State]]="Other Foreign Countries", Table1[[#This Row],[State]]="Unknown", Table1[[#This Row],[State]]="Puerto Rico all counties"))</f>
        <v>1</v>
      </c>
    </row>
    <row r="1239" spans="1:16" x14ac:dyDescent="0.25">
      <c r="A1239">
        <v>5057</v>
      </c>
      <c r="B1239" t="s">
        <v>242</v>
      </c>
      <c r="C1239" t="s">
        <v>292</v>
      </c>
      <c r="D1239">
        <v>285</v>
      </c>
      <c r="E1239">
        <v>58</v>
      </c>
      <c r="F1239">
        <v>28</v>
      </c>
      <c r="G1239">
        <v>45</v>
      </c>
      <c r="H1239">
        <v>99</v>
      </c>
      <c r="I1239">
        <v>55</v>
      </c>
      <c r="J1239">
        <v>51</v>
      </c>
      <c r="K1239">
        <v>89</v>
      </c>
      <c r="L1239">
        <v>145</v>
      </c>
      <c r="M1239">
        <v>253</v>
      </c>
      <c r="N1239">
        <v>32</v>
      </c>
      <c r="O1239" t="s">
        <v>293</v>
      </c>
      <c r="P1239" s="1" t="b">
        <f>NOT(OR(Table1[[#This Row],[State]]="Other Foreign Countries", Table1[[#This Row],[State]]="Unknown", Table1[[#This Row],[State]]="Puerto Rico all counties"))</f>
        <v>1</v>
      </c>
    </row>
    <row r="1240" spans="1:16" x14ac:dyDescent="0.25">
      <c r="A1240">
        <v>17071</v>
      </c>
      <c r="B1240" t="s">
        <v>1109</v>
      </c>
      <c r="C1240" t="s">
        <v>1163</v>
      </c>
      <c r="D1240">
        <v>134</v>
      </c>
      <c r="E1240">
        <v>24</v>
      </c>
      <c r="F1240">
        <v>14</v>
      </c>
      <c r="G1240">
        <v>17</v>
      </c>
      <c r="H1240">
        <v>46</v>
      </c>
      <c r="I1240">
        <v>33</v>
      </c>
      <c r="J1240">
        <v>26</v>
      </c>
      <c r="K1240">
        <v>44</v>
      </c>
      <c r="L1240">
        <v>64</v>
      </c>
      <c r="M1240">
        <v>123</v>
      </c>
      <c r="N1240">
        <v>11</v>
      </c>
      <c r="O1240" t="s">
        <v>1164</v>
      </c>
      <c r="P1240" s="1" t="b">
        <f>NOT(OR(Table1[[#This Row],[State]]="Other Foreign Countries", Table1[[#This Row],[State]]="Unknown", Table1[[#This Row],[State]]="Puerto Rico all counties"))</f>
        <v>1</v>
      </c>
    </row>
    <row r="1241" spans="1:16" x14ac:dyDescent="0.25">
      <c r="A1241">
        <v>21101</v>
      </c>
      <c r="B1241" t="s">
        <v>1716</v>
      </c>
      <c r="C1241" t="s">
        <v>1163</v>
      </c>
      <c r="D1241">
        <v>654</v>
      </c>
      <c r="E1241">
        <v>148</v>
      </c>
      <c r="F1241">
        <v>71</v>
      </c>
      <c r="G1241">
        <v>90</v>
      </c>
      <c r="H1241">
        <v>200</v>
      </c>
      <c r="I1241">
        <v>145</v>
      </c>
      <c r="J1241">
        <v>154</v>
      </c>
      <c r="K1241">
        <v>215</v>
      </c>
      <c r="L1241">
        <v>285</v>
      </c>
      <c r="M1241">
        <v>599</v>
      </c>
      <c r="N1241">
        <v>55</v>
      </c>
      <c r="O1241" t="s">
        <v>1793</v>
      </c>
      <c r="P1241" s="1" t="b">
        <f>NOT(OR(Table1[[#This Row],[State]]="Other Foreign Countries", Table1[[#This Row],[State]]="Unknown", Table1[[#This Row],[State]]="Puerto Rico all counties"))</f>
        <v>1</v>
      </c>
    </row>
    <row r="1242" spans="1:16" x14ac:dyDescent="0.25">
      <c r="A1242">
        <v>37089</v>
      </c>
      <c r="B1242" t="s">
        <v>3121</v>
      </c>
      <c r="C1242" t="s">
        <v>1163</v>
      </c>
      <c r="D1242">
        <v>2488</v>
      </c>
      <c r="E1242">
        <v>575</v>
      </c>
      <c r="F1242">
        <v>345</v>
      </c>
      <c r="G1242">
        <v>311</v>
      </c>
      <c r="H1242">
        <v>695</v>
      </c>
      <c r="I1242">
        <v>562</v>
      </c>
      <c r="J1242">
        <v>457</v>
      </c>
      <c r="K1242">
        <v>699</v>
      </c>
      <c r="L1242" s="1">
        <v>1332</v>
      </c>
      <c r="M1242" s="1">
        <v>2241</v>
      </c>
      <c r="N1242">
        <v>247</v>
      </c>
      <c r="O1242" t="s">
        <v>3197</v>
      </c>
      <c r="P1242" s="1" t="b">
        <f>NOT(OR(Table1[[#This Row],[State]]="Other Foreign Countries", Table1[[#This Row],[State]]="Unknown", Table1[[#This Row],[State]]="Puerto Rico all counties"))</f>
        <v>1</v>
      </c>
    </row>
    <row r="1243" spans="1:16" x14ac:dyDescent="0.25">
      <c r="A1243">
        <v>47077</v>
      </c>
      <c r="B1243" t="s">
        <v>3951</v>
      </c>
      <c r="C1243" t="s">
        <v>1163</v>
      </c>
      <c r="D1243">
        <v>540</v>
      </c>
      <c r="E1243">
        <v>123</v>
      </c>
      <c r="F1243">
        <v>49</v>
      </c>
      <c r="G1243">
        <v>55</v>
      </c>
      <c r="H1243">
        <v>172</v>
      </c>
      <c r="I1243">
        <v>141</v>
      </c>
      <c r="J1243">
        <v>118</v>
      </c>
      <c r="K1243">
        <v>168</v>
      </c>
      <c r="L1243">
        <v>254</v>
      </c>
      <c r="M1243">
        <v>495</v>
      </c>
      <c r="N1243">
        <v>45</v>
      </c>
      <c r="O1243" t="s">
        <v>4003</v>
      </c>
      <c r="P1243" s="1" t="b">
        <f>NOT(OR(Table1[[#This Row],[State]]="Other Foreign Countries", Table1[[#This Row],[State]]="Unknown", Table1[[#This Row],[State]]="Puerto Rico all counties"))</f>
        <v>1</v>
      </c>
    </row>
    <row r="1244" spans="1:16" x14ac:dyDescent="0.25">
      <c r="A1244">
        <v>48213</v>
      </c>
      <c r="B1244" t="s">
        <v>2654</v>
      </c>
      <c r="C1244" t="s">
        <v>1163</v>
      </c>
      <c r="D1244">
        <v>1941</v>
      </c>
      <c r="E1244">
        <v>340</v>
      </c>
      <c r="F1244">
        <v>193</v>
      </c>
      <c r="G1244">
        <v>249</v>
      </c>
      <c r="H1244">
        <v>607</v>
      </c>
      <c r="I1244">
        <v>552</v>
      </c>
      <c r="J1244">
        <v>514</v>
      </c>
      <c r="K1244">
        <v>567</v>
      </c>
      <c r="L1244">
        <v>860</v>
      </c>
      <c r="M1244" s="1">
        <v>1736</v>
      </c>
      <c r="N1244">
        <v>205</v>
      </c>
      <c r="O1244" t="s">
        <v>4248</v>
      </c>
      <c r="P1244" s="1" t="b">
        <f>NOT(OR(Table1[[#This Row],[State]]="Other Foreign Countries", Table1[[#This Row],[State]]="Unknown", Table1[[#This Row],[State]]="Puerto Rico all counties"))</f>
        <v>1</v>
      </c>
    </row>
    <row r="1245" spans="1:16" x14ac:dyDescent="0.25">
      <c r="A1245">
        <v>18063</v>
      </c>
      <c r="B1245" t="s">
        <v>1266</v>
      </c>
      <c r="C1245" t="s">
        <v>1308</v>
      </c>
      <c r="D1245">
        <v>3872</v>
      </c>
      <c r="E1245" s="1">
        <v>1096</v>
      </c>
      <c r="F1245">
        <v>512</v>
      </c>
      <c r="G1245">
        <v>532</v>
      </c>
      <c r="H1245">
        <v>995</v>
      </c>
      <c r="I1245">
        <v>737</v>
      </c>
      <c r="J1245" s="1">
        <v>1148</v>
      </c>
      <c r="K1245" s="1">
        <v>1326</v>
      </c>
      <c r="L1245" s="1">
        <v>1398</v>
      </c>
      <c r="M1245" s="1">
        <v>3510</v>
      </c>
      <c r="N1245">
        <v>362</v>
      </c>
      <c r="O1245" t="s">
        <v>1309</v>
      </c>
      <c r="P1245" s="1" t="b">
        <f>NOT(OR(Table1[[#This Row],[State]]="Other Foreign Countries", Table1[[#This Row],[State]]="Unknown", Table1[[#This Row],[State]]="Puerto Rico all counties"))</f>
        <v>1</v>
      </c>
    </row>
    <row r="1246" spans="1:16" x14ac:dyDescent="0.25">
      <c r="A1246">
        <v>12051</v>
      </c>
      <c r="B1246" t="s">
        <v>637</v>
      </c>
      <c r="C1246" t="s">
        <v>681</v>
      </c>
      <c r="D1246">
        <v>561</v>
      </c>
      <c r="E1246">
        <v>139</v>
      </c>
      <c r="F1246">
        <v>57</v>
      </c>
      <c r="G1246">
        <v>61</v>
      </c>
      <c r="H1246">
        <v>178</v>
      </c>
      <c r="I1246">
        <v>126</v>
      </c>
      <c r="J1246">
        <v>140</v>
      </c>
      <c r="K1246">
        <v>158</v>
      </c>
      <c r="L1246">
        <v>263</v>
      </c>
      <c r="M1246">
        <v>498</v>
      </c>
      <c r="N1246">
        <v>63</v>
      </c>
      <c r="O1246" t="s">
        <v>682</v>
      </c>
      <c r="P1246" s="1" t="b">
        <f>NOT(OR(Table1[[#This Row],[State]]="Other Foreign Countries", Table1[[#This Row],[State]]="Unknown", Table1[[#This Row],[State]]="Puerto Rico all counties"))</f>
        <v>1</v>
      </c>
    </row>
    <row r="1247" spans="1:16" x14ac:dyDescent="0.25">
      <c r="A1247">
        <v>27053</v>
      </c>
      <c r="B1247" t="s">
        <v>2245</v>
      </c>
      <c r="C1247" t="s">
        <v>2288</v>
      </c>
      <c r="D1247">
        <v>12911</v>
      </c>
      <c r="E1247" s="1">
        <v>4827</v>
      </c>
      <c r="F1247" s="1">
        <v>1728</v>
      </c>
      <c r="G1247" s="1">
        <v>1463</v>
      </c>
      <c r="H1247" s="1">
        <v>2715</v>
      </c>
      <c r="I1247" s="1">
        <v>2178</v>
      </c>
      <c r="J1247" s="1">
        <v>3304</v>
      </c>
      <c r="K1247" s="1">
        <v>2951</v>
      </c>
      <c r="L1247" s="1">
        <v>6655</v>
      </c>
      <c r="M1247" s="1">
        <v>11656</v>
      </c>
      <c r="N1247" s="1">
        <v>1226</v>
      </c>
      <c r="O1247" t="s">
        <v>2289</v>
      </c>
      <c r="P1247" s="1" t="b">
        <f>NOT(OR(Table1[[#This Row],[State]]="Other Foreign Countries", Table1[[#This Row],[State]]="Unknown", Table1[[#This Row],[State]]="Puerto Rico all counties"))</f>
        <v>1</v>
      </c>
    </row>
    <row r="1248" spans="1:16" x14ac:dyDescent="0.25">
      <c r="A1248">
        <v>51087</v>
      </c>
      <c r="B1248" t="s">
        <v>4555</v>
      </c>
      <c r="C1248" t="s">
        <v>4618</v>
      </c>
      <c r="D1248">
        <v>5057</v>
      </c>
      <c r="E1248">
        <v>871</v>
      </c>
      <c r="F1248">
        <v>575</v>
      </c>
      <c r="G1248">
        <v>647</v>
      </c>
      <c r="H1248" s="1">
        <v>1541</v>
      </c>
      <c r="I1248" s="1">
        <v>1423</v>
      </c>
      <c r="J1248" s="1">
        <v>1314</v>
      </c>
      <c r="K1248" s="1">
        <v>1762</v>
      </c>
      <c r="L1248" s="1">
        <v>1981</v>
      </c>
      <c r="M1248" s="1">
        <v>4218</v>
      </c>
      <c r="N1248">
        <v>839</v>
      </c>
      <c r="O1248" t="s">
        <v>4619</v>
      </c>
      <c r="P1248" s="1" t="b">
        <f>NOT(OR(Table1[[#This Row],[State]]="Other Foreign Countries", Table1[[#This Row],[State]]="Unknown", Table1[[#This Row],[State]]="Puerto Rico all counties"))</f>
        <v>1</v>
      </c>
    </row>
    <row r="1249" spans="1:16" x14ac:dyDescent="0.25">
      <c r="A1249">
        <v>1067</v>
      </c>
      <c r="B1249" t="s">
        <v>15</v>
      </c>
      <c r="C1249" t="s">
        <v>82</v>
      </c>
      <c r="D1249">
        <v>598</v>
      </c>
      <c r="E1249">
        <v>87</v>
      </c>
      <c r="F1249">
        <v>64</v>
      </c>
      <c r="G1249">
        <v>57</v>
      </c>
      <c r="H1249">
        <v>173</v>
      </c>
      <c r="I1249">
        <v>217</v>
      </c>
      <c r="J1249">
        <v>129</v>
      </c>
      <c r="K1249">
        <v>241</v>
      </c>
      <c r="L1249">
        <v>228</v>
      </c>
      <c r="M1249">
        <v>541</v>
      </c>
      <c r="N1249">
        <v>57</v>
      </c>
      <c r="O1249" t="s">
        <v>83</v>
      </c>
      <c r="P1249" s="1" t="b">
        <f>NOT(OR(Table1[[#This Row],[State]]="Other Foreign Countries", Table1[[#This Row],[State]]="Unknown", Table1[[#This Row],[State]]="Puerto Rico all counties"))</f>
        <v>1</v>
      </c>
    </row>
    <row r="1250" spans="1:16" x14ac:dyDescent="0.25">
      <c r="A1250">
        <v>13151</v>
      </c>
      <c r="B1250" t="s">
        <v>754</v>
      </c>
      <c r="C1250" t="s">
        <v>82</v>
      </c>
      <c r="D1250">
        <v>10929</v>
      </c>
      <c r="E1250" s="1">
        <v>1318</v>
      </c>
      <c r="F1250">
        <v>755</v>
      </c>
      <c r="G1250">
        <v>938</v>
      </c>
      <c r="H1250" s="1">
        <v>3257</v>
      </c>
      <c r="I1250" s="1">
        <v>4661</v>
      </c>
      <c r="J1250" s="1">
        <v>2884</v>
      </c>
      <c r="K1250" s="1">
        <v>5198</v>
      </c>
      <c r="L1250" s="1">
        <v>2847</v>
      </c>
      <c r="M1250" s="1">
        <v>8148</v>
      </c>
      <c r="N1250" s="1">
        <v>2781</v>
      </c>
      <c r="O1250" t="s">
        <v>885</v>
      </c>
      <c r="P1250" s="1" t="b">
        <f>NOT(OR(Table1[[#This Row],[State]]="Other Foreign Countries", Table1[[#This Row],[State]]="Unknown", Table1[[#This Row],[State]]="Puerto Rico all counties"))</f>
        <v>1</v>
      </c>
    </row>
    <row r="1251" spans="1:16" x14ac:dyDescent="0.25">
      <c r="A1251">
        <v>17073</v>
      </c>
      <c r="B1251" t="s">
        <v>1109</v>
      </c>
      <c r="C1251" t="s">
        <v>82</v>
      </c>
      <c r="D1251">
        <v>775</v>
      </c>
      <c r="E1251">
        <v>146</v>
      </c>
      <c r="F1251">
        <v>102</v>
      </c>
      <c r="G1251">
        <v>115</v>
      </c>
      <c r="H1251">
        <v>228</v>
      </c>
      <c r="I1251">
        <v>184</v>
      </c>
      <c r="J1251">
        <v>194</v>
      </c>
      <c r="K1251">
        <v>245</v>
      </c>
      <c r="L1251">
        <v>336</v>
      </c>
      <c r="M1251">
        <v>707</v>
      </c>
      <c r="N1251">
        <v>68</v>
      </c>
      <c r="O1251" t="s">
        <v>1165</v>
      </c>
      <c r="P1251" s="1" t="b">
        <f>NOT(OR(Table1[[#This Row],[State]]="Other Foreign Countries", Table1[[#This Row],[State]]="Unknown", Table1[[#This Row],[State]]="Puerto Rico all counties"))</f>
        <v>1</v>
      </c>
    </row>
    <row r="1252" spans="1:16" x14ac:dyDescent="0.25">
      <c r="A1252">
        <v>18065</v>
      </c>
      <c r="B1252" t="s">
        <v>1266</v>
      </c>
      <c r="C1252" t="s">
        <v>82</v>
      </c>
      <c r="D1252">
        <v>932</v>
      </c>
      <c r="E1252">
        <v>302</v>
      </c>
      <c r="F1252">
        <v>142</v>
      </c>
      <c r="G1252">
        <v>133</v>
      </c>
      <c r="H1252">
        <v>201</v>
      </c>
      <c r="I1252">
        <v>154</v>
      </c>
      <c r="J1252">
        <v>193</v>
      </c>
      <c r="K1252">
        <v>293</v>
      </c>
      <c r="L1252">
        <v>446</v>
      </c>
      <c r="M1252">
        <v>876</v>
      </c>
      <c r="N1252">
        <v>55</v>
      </c>
      <c r="O1252" t="s">
        <v>1310</v>
      </c>
      <c r="P1252" s="1" t="b">
        <f>NOT(OR(Table1[[#This Row],[State]]="Other Foreign Countries", Table1[[#This Row],[State]]="Unknown", Table1[[#This Row],[State]]="Puerto Rico all counties"))</f>
        <v>1</v>
      </c>
    </row>
    <row r="1253" spans="1:16" x14ac:dyDescent="0.25">
      <c r="A1253">
        <v>19087</v>
      </c>
      <c r="B1253" t="s">
        <v>1399</v>
      </c>
      <c r="C1253" t="s">
        <v>82</v>
      </c>
      <c r="D1253">
        <v>292</v>
      </c>
      <c r="E1253">
        <v>58</v>
      </c>
      <c r="F1253">
        <v>44</v>
      </c>
      <c r="G1253">
        <v>41</v>
      </c>
      <c r="H1253">
        <v>84</v>
      </c>
      <c r="I1253">
        <v>65</v>
      </c>
      <c r="J1253">
        <v>66</v>
      </c>
      <c r="K1253">
        <v>96</v>
      </c>
      <c r="L1253">
        <v>130</v>
      </c>
      <c r="M1253">
        <v>271</v>
      </c>
      <c r="N1253">
        <v>21</v>
      </c>
      <c r="O1253" t="s">
        <v>1460</v>
      </c>
      <c r="P1253" s="1" t="b">
        <f>NOT(OR(Table1[[#This Row],[State]]="Other Foreign Countries", Table1[[#This Row],[State]]="Unknown", Table1[[#This Row],[State]]="Puerto Rico all counties"))</f>
        <v>1</v>
      </c>
    </row>
    <row r="1254" spans="1:16" x14ac:dyDescent="0.25">
      <c r="A1254">
        <v>21103</v>
      </c>
      <c r="B1254" t="s">
        <v>1716</v>
      </c>
      <c r="C1254" t="s">
        <v>82</v>
      </c>
      <c r="D1254">
        <v>267</v>
      </c>
      <c r="E1254">
        <v>56</v>
      </c>
      <c r="F1254">
        <v>39</v>
      </c>
      <c r="G1254">
        <v>30</v>
      </c>
      <c r="H1254">
        <v>83</v>
      </c>
      <c r="I1254">
        <v>59</v>
      </c>
      <c r="J1254">
        <v>71</v>
      </c>
      <c r="K1254">
        <v>75</v>
      </c>
      <c r="L1254">
        <v>121</v>
      </c>
      <c r="M1254">
        <v>242</v>
      </c>
      <c r="N1254">
        <v>25</v>
      </c>
      <c r="O1254" t="s">
        <v>1794</v>
      </c>
      <c r="P1254" s="1" t="b">
        <f>NOT(OR(Table1[[#This Row],[State]]="Other Foreign Countries", Table1[[#This Row],[State]]="Unknown", Table1[[#This Row],[State]]="Puerto Rico all counties"))</f>
        <v>1</v>
      </c>
    </row>
    <row r="1255" spans="1:16" x14ac:dyDescent="0.25">
      <c r="A1255">
        <v>29083</v>
      </c>
      <c r="B1255" t="s">
        <v>2510</v>
      </c>
      <c r="C1255" t="s">
        <v>82</v>
      </c>
      <c r="D1255">
        <v>654</v>
      </c>
      <c r="E1255">
        <v>135</v>
      </c>
      <c r="F1255">
        <v>91</v>
      </c>
      <c r="G1255">
        <v>88</v>
      </c>
      <c r="H1255">
        <v>205</v>
      </c>
      <c r="I1255">
        <v>135</v>
      </c>
      <c r="J1255">
        <v>152</v>
      </c>
      <c r="K1255">
        <v>216</v>
      </c>
      <c r="L1255">
        <v>286</v>
      </c>
      <c r="M1255">
        <v>601</v>
      </c>
      <c r="N1255">
        <v>53</v>
      </c>
      <c r="O1255" t="s">
        <v>2565</v>
      </c>
      <c r="P1255" s="1" t="b">
        <f>NOT(OR(Table1[[#This Row],[State]]="Other Foreign Countries", Table1[[#This Row],[State]]="Unknown", Table1[[#This Row],[State]]="Puerto Rico all counties"))</f>
        <v>1</v>
      </c>
    </row>
    <row r="1256" spans="1:16" x14ac:dyDescent="0.25">
      <c r="A1256">
        <v>39069</v>
      </c>
      <c r="B1256" t="s">
        <v>1343</v>
      </c>
      <c r="C1256" t="s">
        <v>82</v>
      </c>
      <c r="D1256">
        <v>392</v>
      </c>
      <c r="E1256">
        <v>124</v>
      </c>
      <c r="F1256">
        <v>51</v>
      </c>
      <c r="G1256">
        <v>51</v>
      </c>
      <c r="H1256">
        <v>91</v>
      </c>
      <c r="I1256">
        <v>75</v>
      </c>
      <c r="J1256">
        <v>99</v>
      </c>
      <c r="K1256">
        <v>111</v>
      </c>
      <c r="L1256">
        <v>182</v>
      </c>
      <c r="M1256">
        <v>368</v>
      </c>
      <c r="N1256">
        <v>24</v>
      </c>
      <c r="O1256" t="s">
        <v>3420</v>
      </c>
      <c r="P1256" s="1" t="b">
        <f>NOT(OR(Table1[[#This Row],[State]]="Other Foreign Countries", Table1[[#This Row],[State]]="Unknown", Table1[[#This Row],[State]]="Puerto Rico all counties"))</f>
        <v>1</v>
      </c>
    </row>
    <row r="1257" spans="1:16" x14ac:dyDescent="0.25">
      <c r="A1257">
        <v>47079</v>
      </c>
      <c r="B1257" t="s">
        <v>3951</v>
      </c>
      <c r="C1257" t="s">
        <v>82</v>
      </c>
      <c r="D1257">
        <v>1047</v>
      </c>
      <c r="E1257">
        <v>192</v>
      </c>
      <c r="F1257">
        <v>114</v>
      </c>
      <c r="G1257">
        <v>131</v>
      </c>
      <c r="H1257">
        <v>292</v>
      </c>
      <c r="I1257">
        <v>318</v>
      </c>
      <c r="J1257">
        <v>227</v>
      </c>
      <c r="K1257">
        <v>340</v>
      </c>
      <c r="L1257">
        <v>480</v>
      </c>
      <c r="M1257">
        <v>945</v>
      </c>
      <c r="N1257">
        <v>102</v>
      </c>
      <c r="O1257" t="s">
        <v>4004</v>
      </c>
      <c r="P1257" s="1" t="b">
        <f>NOT(OR(Table1[[#This Row],[State]]="Other Foreign Countries", Table1[[#This Row],[State]]="Unknown", Table1[[#This Row],[State]]="Puerto Rico all counties"))</f>
        <v>1</v>
      </c>
    </row>
    <row r="1258" spans="1:16" x14ac:dyDescent="0.25">
      <c r="A1258">
        <v>51089</v>
      </c>
      <c r="B1258" t="s">
        <v>4555</v>
      </c>
      <c r="C1258" t="s">
        <v>82</v>
      </c>
      <c r="D1258">
        <v>974</v>
      </c>
      <c r="E1258">
        <v>183</v>
      </c>
      <c r="F1258">
        <v>101</v>
      </c>
      <c r="G1258">
        <v>123</v>
      </c>
      <c r="H1258">
        <v>299</v>
      </c>
      <c r="I1258">
        <v>268</v>
      </c>
      <c r="J1258">
        <v>209</v>
      </c>
      <c r="K1258">
        <v>293</v>
      </c>
      <c r="L1258">
        <v>472</v>
      </c>
      <c r="M1258">
        <v>897</v>
      </c>
      <c r="N1258">
        <v>77</v>
      </c>
      <c r="O1258" t="s">
        <v>4620</v>
      </c>
      <c r="P1258" s="1" t="b">
        <f>NOT(OR(Table1[[#This Row],[State]]="Other Foreign Countries", Table1[[#This Row],[State]]="Unknown", Table1[[#This Row],[State]]="Puerto Rico all counties"))</f>
        <v>1</v>
      </c>
    </row>
    <row r="1259" spans="1:16" x14ac:dyDescent="0.25">
      <c r="A1259">
        <v>36043</v>
      </c>
      <c r="B1259" t="s">
        <v>3029</v>
      </c>
      <c r="C1259" t="s">
        <v>3061</v>
      </c>
      <c r="D1259">
        <v>975</v>
      </c>
      <c r="E1259">
        <v>228</v>
      </c>
      <c r="F1259">
        <v>130</v>
      </c>
      <c r="G1259">
        <v>127</v>
      </c>
      <c r="H1259">
        <v>275</v>
      </c>
      <c r="I1259">
        <v>215</v>
      </c>
      <c r="J1259">
        <v>200</v>
      </c>
      <c r="K1259">
        <v>303</v>
      </c>
      <c r="L1259">
        <v>472</v>
      </c>
      <c r="M1259">
        <v>878</v>
      </c>
      <c r="N1259">
        <v>97</v>
      </c>
      <c r="O1259" t="s">
        <v>3062</v>
      </c>
      <c r="P1259" s="1" t="b">
        <f>NOT(OR(Table1[[#This Row],[State]]="Other Foreign Countries", Table1[[#This Row],[State]]="Unknown", Table1[[#This Row],[State]]="Puerto Rico all counties"))</f>
        <v>1</v>
      </c>
    </row>
    <row r="1260" spans="1:16" x14ac:dyDescent="0.25">
      <c r="A1260">
        <v>12053</v>
      </c>
      <c r="B1260" t="s">
        <v>637</v>
      </c>
      <c r="C1260" t="s">
        <v>683</v>
      </c>
      <c r="D1260">
        <v>7595</v>
      </c>
      <c r="E1260" s="1">
        <v>1302</v>
      </c>
      <c r="F1260">
        <v>763</v>
      </c>
      <c r="G1260">
        <v>794</v>
      </c>
      <c r="H1260" s="1">
        <v>2376</v>
      </c>
      <c r="I1260" s="1">
        <v>2360</v>
      </c>
      <c r="J1260" s="1">
        <v>1765</v>
      </c>
      <c r="K1260" s="1">
        <v>2306</v>
      </c>
      <c r="L1260" s="1">
        <v>3524</v>
      </c>
      <c r="M1260" s="1">
        <v>6692</v>
      </c>
      <c r="N1260">
        <v>903</v>
      </c>
      <c r="O1260" t="s">
        <v>684</v>
      </c>
      <c r="P1260" s="1" t="b">
        <f>NOT(OR(Table1[[#This Row],[State]]="Other Foreign Countries", Table1[[#This Row],[State]]="Unknown", Table1[[#This Row],[State]]="Puerto Rico all counties"))</f>
        <v>1</v>
      </c>
    </row>
    <row r="1261" spans="1:16" x14ac:dyDescent="0.25">
      <c r="A1261">
        <v>37091</v>
      </c>
      <c r="B1261" t="s">
        <v>3121</v>
      </c>
      <c r="C1261" t="s">
        <v>3198</v>
      </c>
      <c r="D1261">
        <v>477</v>
      </c>
      <c r="E1261">
        <v>81</v>
      </c>
      <c r="F1261">
        <v>53</v>
      </c>
      <c r="G1261">
        <v>62</v>
      </c>
      <c r="H1261">
        <v>168</v>
      </c>
      <c r="I1261">
        <v>113</v>
      </c>
      <c r="J1261">
        <v>81</v>
      </c>
      <c r="K1261">
        <v>161</v>
      </c>
      <c r="L1261">
        <v>235</v>
      </c>
      <c r="M1261">
        <v>425</v>
      </c>
      <c r="N1261">
        <v>52</v>
      </c>
      <c r="O1261" t="s">
        <v>3199</v>
      </c>
      <c r="P1261" s="1" t="b">
        <f>NOT(OR(Table1[[#This Row],[State]]="Other Foreign Countries", Table1[[#This Row],[State]]="Unknown", Table1[[#This Row],[State]]="Puerto Rico all counties"))</f>
        <v>1</v>
      </c>
    </row>
    <row r="1262" spans="1:16" x14ac:dyDescent="0.25">
      <c r="A1262">
        <v>38041</v>
      </c>
      <c r="B1262" t="s">
        <v>3286</v>
      </c>
      <c r="C1262" t="s">
        <v>3321</v>
      </c>
      <c r="D1262">
        <v>50</v>
      </c>
      <c r="E1262">
        <v>10</v>
      </c>
      <c r="H1262">
        <v>20</v>
      </c>
      <c r="J1262">
        <v>12</v>
      </c>
      <c r="K1262">
        <v>16</v>
      </c>
      <c r="L1262">
        <v>22</v>
      </c>
      <c r="O1262" t="s">
        <v>3322</v>
      </c>
      <c r="P1262" s="1" t="b">
        <f>NOT(OR(Table1[[#This Row],[State]]="Other Foreign Countries", Table1[[#This Row],[State]]="Unknown", Table1[[#This Row],[State]]="Puerto Rico all counties"))</f>
        <v>1</v>
      </c>
    </row>
    <row r="1263" spans="1:16" x14ac:dyDescent="0.25">
      <c r="A1263">
        <v>21105</v>
      </c>
      <c r="B1263" t="s">
        <v>1716</v>
      </c>
      <c r="C1263" t="s">
        <v>1795</v>
      </c>
      <c r="D1263">
        <v>85</v>
      </c>
      <c r="G1263">
        <v>14</v>
      </c>
      <c r="H1263">
        <v>24</v>
      </c>
      <c r="I1263">
        <v>28</v>
      </c>
      <c r="J1263">
        <v>19</v>
      </c>
      <c r="K1263">
        <v>27</v>
      </c>
      <c r="L1263">
        <v>39</v>
      </c>
      <c r="O1263" t="s">
        <v>1796</v>
      </c>
      <c r="P1263" s="1" t="b">
        <f>NOT(OR(Table1[[#This Row],[State]]="Other Foreign Countries", Table1[[#This Row],[State]]="Unknown", Table1[[#This Row],[State]]="Puerto Rico all counties"))</f>
        <v>1</v>
      </c>
    </row>
    <row r="1264" spans="1:16" x14ac:dyDescent="0.25">
      <c r="A1264">
        <v>47081</v>
      </c>
      <c r="B1264" t="s">
        <v>3951</v>
      </c>
      <c r="C1264" t="s">
        <v>1795</v>
      </c>
      <c r="D1264">
        <v>501</v>
      </c>
      <c r="E1264">
        <v>92</v>
      </c>
      <c r="F1264">
        <v>54</v>
      </c>
      <c r="G1264">
        <v>54</v>
      </c>
      <c r="H1264">
        <v>156</v>
      </c>
      <c r="I1264">
        <v>145</v>
      </c>
      <c r="J1264">
        <v>125</v>
      </c>
      <c r="K1264">
        <v>152</v>
      </c>
      <c r="L1264">
        <v>224</v>
      </c>
      <c r="M1264">
        <v>458</v>
      </c>
      <c r="N1264">
        <v>43</v>
      </c>
      <c r="O1264" t="s">
        <v>4005</v>
      </c>
      <c r="P1264" s="1" t="b">
        <f>NOT(OR(Table1[[#This Row],[State]]="Other Foreign Countries", Table1[[#This Row],[State]]="Unknown", Table1[[#This Row],[State]]="Puerto Rico all counties"))</f>
        <v>1</v>
      </c>
    </row>
    <row r="1265" spans="1:16" x14ac:dyDescent="0.25">
      <c r="A1265">
        <v>29085</v>
      </c>
      <c r="B1265" t="s">
        <v>2510</v>
      </c>
      <c r="C1265" t="s">
        <v>2566</v>
      </c>
      <c r="D1265">
        <v>346</v>
      </c>
      <c r="E1265">
        <v>73</v>
      </c>
      <c r="F1265">
        <v>51</v>
      </c>
      <c r="G1265">
        <v>44</v>
      </c>
      <c r="H1265">
        <v>99</v>
      </c>
      <c r="I1265">
        <v>79</v>
      </c>
      <c r="J1265">
        <v>56</v>
      </c>
      <c r="K1265">
        <v>101</v>
      </c>
      <c r="L1265">
        <v>189</v>
      </c>
      <c r="M1265">
        <v>319</v>
      </c>
      <c r="N1265">
        <v>27</v>
      </c>
      <c r="O1265" t="s">
        <v>2567</v>
      </c>
      <c r="P1265" s="1" t="b">
        <f>NOT(OR(Table1[[#This Row],[State]]="Other Foreign Countries", Table1[[#This Row],[State]]="Unknown", Table1[[#This Row],[State]]="Puerto Rico all counties"))</f>
        <v>1</v>
      </c>
    </row>
    <row r="1266" spans="1:16" x14ac:dyDescent="0.25">
      <c r="A1266">
        <v>35023</v>
      </c>
      <c r="B1266" t="s">
        <v>2971</v>
      </c>
      <c r="C1266" t="s">
        <v>2994</v>
      </c>
      <c r="D1266">
        <v>78</v>
      </c>
      <c r="E1266">
        <v>12</v>
      </c>
      <c r="F1266">
        <v>11</v>
      </c>
      <c r="G1266">
        <v>12</v>
      </c>
      <c r="H1266">
        <v>28</v>
      </c>
      <c r="I1266">
        <v>15</v>
      </c>
      <c r="J1266">
        <v>13</v>
      </c>
      <c r="K1266">
        <v>30</v>
      </c>
      <c r="L1266">
        <v>35</v>
      </c>
      <c r="O1266" t="s">
        <v>2995</v>
      </c>
      <c r="P1266" s="1" t="b">
        <f>NOT(OR(Table1[[#This Row],[State]]="Other Foreign Countries", Table1[[#This Row],[State]]="Unknown", Table1[[#This Row],[State]]="Puerto Rico all counties"))</f>
        <v>1</v>
      </c>
    </row>
    <row r="1267" spans="1:16" x14ac:dyDescent="0.25">
      <c r="A1267">
        <v>48215</v>
      </c>
      <c r="B1267" t="s">
        <v>2654</v>
      </c>
      <c r="C1267" t="s">
        <v>2994</v>
      </c>
      <c r="D1267">
        <v>12178</v>
      </c>
      <c r="E1267" s="1">
        <v>2191</v>
      </c>
      <c r="F1267">
        <v>984</v>
      </c>
      <c r="G1267" s="1">
        <v>1127</v>
      </c>
      <c r="H1267" s="1">
        <v>3671</v>
      </c>
      <c r="I1267" s="1">
        <v>4205</v>
      </c>
      <c r="J1267" s="1">
        <v>3713</v>
      </c>
      <c r="K1267" s="1">
        <v>3783</v>
      </c>
      <c r="L1267" s="1">
        <v>4682</v>
      </c>
      <c r="M1267" s="1">
        <v>11236</v>
      </c>
      <c r="N1267">
        <v>941</v>
      </c>
      <c r="O1267" t="s">
        <v>4249</v>
      </c>
      <c r="P1267" s="1" t="b">
        <f>NOT(OR(Table1[[#This Row],[State]]="Other Foreign Countries", Table1[[#This Row],[State]]="Unknown", Table1[[#This Row],[State]]="Puerto Rico all counties"))</f>
        <v>1</v>
      </c>
    </row>
    <row r="1268" spans="1:16" x14ac:dyDescent="0.25">
      <c r="A1268">
        <v>39071</v>
      </c>
      <c r="B1268" t="s">
        <v>1343</v>
      </c>
      <c r="C1268" t="s">
        <v>3421</v>
      </c>
      <c r="D1268">
        <v>962</v>
      </c>
      <c r="E1268">
        <v>255</v>
      </c>
      <c r="F1268">
        <v>116</v>
      </c>
      <c r="G1268">
        <v>114</v>
      </c>
      <c r="H1268">
        <v>260</v>
      </c>
      <c r="I1268">
        <v>217</v>
      </c>
      <c r="J1268">
        <v>202</v>
      </c>
      <c r="K1268">
        <v>320</v>
      </c>
      <c r="L1268">
        <v>440</v>
      </c>
      <c r="M1268">
        <v>890</v>
      </c>
      <c r="N1268">
        <v>72</v>
      </c>
      <c r="O1268" t="s">
        <v>3422</v>
      </c>
      <c r="P1268" s="1" t="b">
        <f>NOT(OR(Table1[[#This Row],[State]]="Other Foreign Countries", Table1[[#This Row],[State]]="Unknown", Table1[[#This Row],[State]]="Puerto Rico all counties"))</f>
        <v>1</v>
      </c>
    </row>
    <row r="1269" spans="1:16" x14ac:dyDescent="0.25">
      <c r="A1269">
        <v>51091</v>
      </c>
      <c r="B1269" t="s">
        <v>4555</v>
      </c>
      <c r="C1269" t="s">
        <v>3421</v>
      </c>
      <c r="D1269">
        <v>43</v>
      </c>
      <c r="E1269">
        <v>11</v>
      </c>
      <c r="I1269">
        <v>11</v>
      </c>
      <c r="L1269">
        <v>24</v>
      </c>
      <c r="O1269" t="s">
        <v>4621</v>
      </c>
      <c r="P1269" s="1" t="b">
        <f>NOT(OR(Table1[[#This Row],[State]]="Other Foreign Countries", Table1[[#This Row],[State]]="Unknown", Table1[[#This Row],[State]]="Puerto Rico all counties"))</f>
        <v>1</v>
      </c>
    </row>
    <row r="1270" spans="1:16" x14ac:dyDescent="0.25">
      <c r="A1270">
        <v>12055</v>
      </c>
      <c r="B1270" t="s">
        <v>637</v>
      </c>
      <c r="C1270" t="s">
        <v>685</v>
      </c>
      <c r="D1270">
        <v>2978</v>
      </c>
      <c r="E1270">
        <v>693</v>
      </c>
      <c r="F1270">
        <v>311</v>
      </c>
      <c r="G1270">
        <v>344</v>
      </c>
      <c r="H1270">
        <v>870</v>
      </c>
      <c r="I1270">
        <v>760</v>
      </c>
      <c r="J1270">
        <v>438</v>
      </c>
      <c r="K1270">
        <v>747</v>
      </c>
      <c r="L1270" s="1">
        <v>1793</v>
      </c>
      <c r="M1270" s="1">
        <v>2688</v>
      </c>
      <c r="N1270">
        <v>290</v>
      </c>
      <c r="O1270" t="s">
        <v>686</v>
      </c>
      <c r="P1270" s="1" t="b">
        <f>NOT(OR(Table1[[#This Row],[State]]="Other Foreign Countries", Table1[[#This Row],[State]]="Unknown", Table1[[#This Row],[State]]="Puerto Rico all counties"))</f>
        <v>1</v>
      </c>
    </row>
    <row r="1271" spans="1:16" x14ac:dyDescent="0.25">
      <c r="A1271">
        <v>30041</v>
      </c>
      <c r="B1271" t="s">
        <v>2665</v>
      </c>
      <c r="C1271" t="s">
        <v>2700</v>
      </c>
      <c r="D1271">
        <v>380</v>
      </c>
      <c r="E1271">
        <v>112</v>
      </c>
      <c r="F1271">
        <v>48</v>
      </c>
      <c r="G1271">
        <v>52</v>
      </c>
      <c r="H1271">
        <v>110</v>
      </c>
      <c r="I1271">
        <v>58</v>
      </c>
      <c r="J1271">
        <v>82</v>
      </c>
      <c r="K1271">
        <v>116</v>
      </c>
      <c r="L1271">
        <v>182</v>
      </c>
      <c r="M1271">
        <v>343</v>
      </c>
      <c r="N1271">
        <v>37</v>
      </c>
      <c r="O1271" t="s">
        <v>2701</v>
      </c>
      <c r="P1271" s="1" t="b">
        <f>NOT(OR(Table1[[#This Row],[State]]="Other Foreign Countries", Table1[[#This Row],[State]]="Unknown", Table1[[#This Row],[State]]="Puerto Rico all counties"))</f>
        <v>1</v>
      </c>
    </row>
    <row r="1272" spans="1:16" x14ac:dyDescent="0.25">
      <c r="A1272">
        <v>48217</v>
      </c>
      <c r="B1272" t="s">
        <v>2654</v>
      </c>
      <c r="C1272" t="s">
        <v>2700</v>
      </c>
      <c r="D1272">
        <v>981</v>
      </c>
      <c r="E1272">
        <v>181</v>
      </c>
      <c r="F1272">
        <v>120</v>
      </c>
      <c r="G1272">
        <v>131</v>
      </c>
      <c r="H1272">
        <v>302</v>
      </c>
      <c r="I1272">
        <v>247</v>
      </c>
      <c r="J1272">
        <v>263</v>
      </c>
      <c r="K1272">
        <v>279</v>
      </c>
      <c r="L1272">
        <v>439</v>
      </c>
      <c r="M1272">
        <v>895</v>
      </c>
      <c r="N1272">
        <v>86</v>
      </c>
      <c r="O1272" t="s">
        <v>4250</v>
      </c>
      <c r="P1272" s="1" t="b">
        <f>NOT(OR(Table1[[#This Row],[State]]="Other Foreign Countries", Table1[[#This Row],[State]]="Unknown", Table1[[#This Row],[State]]="Puerto Rico all counties"))</f>
        <v>1</v>
      </c>
    </row>
    <row r="1273" spans="1:16" x14ac:dyDescent="0.25">
      <c r="A1273">
        <v>12057</v>
      </c>
      <c r="B1273" t="s">
        <v>637</v>
      </c>
      <c r="C1273" t="s">
        <v>687</v>
      </c>
      <c r="D1273">
        <v>42212</v>
      </c>
      <c r="E1273" s="1">
        <v>6195</v>
      </c>
      <c r="F1273" s="1">
        <v>3889</v>
      </c>
      <c r="G1273" s="1">
        <v>4503</v>
      </c>
      <c r="H1273" s="1">
        <v>11680</v>
      </c>
      <c r="I1273" s="1">
        <v>15945</v>
      </c>
      <c r="J1273" s="1">
        <v>12488</v>
      </c>
      <c r="K1273" s="1">
        <v>17487</v>
      </c>
      <c r="L1273" s="1">
        <v>12237</v>
      </c>
      <c r="M1273" s="1">
        <v>34923</v>
      </c>
      <c r="N1273" s="1">
        <v>7287</v>
      </c>
      <c r="O1273" t="s">
        <v>688</v>
      </c>
      <c r="P1273" s="1" t="b">
        <f>NOT(OR(Table1[[#This Row],[State]]="Other Foreign Countries", Table1[[#This Row],[State]]="Unknown", Table1[[#This Row],[State]]="Puerto Rico all counties"))</f>
        <v>1</v>
      </c>
    </row>
    <row r="1274" spans="1:16" x14ac:dyDescent="0.25">
      <c r="A1274">
        <v>33011</v>
      </c>
      <c r="B1274" t="s">
        <v>2920</v>
      </c>
      <c r="C1274" t="s">
        <v>687</v>
      </c>
      <c r="D1274">
        <v>7673</v>
      </c>
      <c r="E1274" s="1">
        <v>1908</v>
      </c>
      <c r="F1274" s="1">
        <v>1074</v>
      </c>
      <c r="G1274" s="1">
        <v>1041</v>
      </c>
      <c r="H1274" s="1">
        <v>2117</v>
      </c>
      <c r="I1274" s="1">
        <v>1533</v>
      </c>
      <c r="J1274" s="1">
        <v>2478</v>
      </c>
      <c r="K1274" s="1">
        <v>2289</v>
      </c>
      <c r="L1274" s="1">
        <v>2906</v>
      </c>
      <c r="M1274" s="1">
        <v>6916</v>
      </c>
      <c r="N1274">
        <v>757</v>
      </c>
      <c r="O1274" t="s">
        <v>2930</v>
      </c>
      <c r="P1274" s="1" t="b">
        <f>NOT(OR(Table1[[#This Row],[State]]="Other Foreign Countries", Table1[[#This Row],[State]]="Unknown", Table1[[#This Row],[State]]="Puerto Rico all counties"))</f>
        <v>1</v>
      </c>
    </row>
    <row r="1275" spans="1:16" x14ac:dyDescent="0.25">
      <c r="A1275">
        <v>26059</v>
      </c>
      <c r="B1275" t="s">
        <v>2099</v>
      </c>
      <c r="C1275" t="s">
        <v>2149</v>
      </c>
      <c r="D1275">
        <v>779</v>
      </c>
      <c r="E1275">
        <v>174</v>
      </c>
      <c r="F1275">
        <v>72</v>
      </c>
      <c r="G1275">
        <v>111</v>
      </c>
      <c r="H1275">
        <v>243</v>
      </c>
      <c r="I1275">
        <v>179</v>
      </c>
      <c r="J1275">
        <v>197</v>
      </c>
      <c r="K1275">
        <v>222</v>
      </c>
      <c r="L1275">
        <v>360</v>
      </c>
      <c r="M1275">
        <v>712</v>
      </c>
      <c r="N1275">
        <v>67</v>
      </c>
      <c r="O1275" t="s">
        <v>2150</v>
      </c>
      <c r="P1275" s="1" t="b">
        <f>NOT(OR(Table1[[#This Row],[State]]="Other Foreign Countries", Table1[[#This Row],[State]]="Unknown", Table1[[#This Row],[State]]="Puerto Rico all counties"))</f>
        <v>1</v>
      </c>
    </row>
    <row r="1276" spans="1:16" x14ac:dyDescent="0.25">
      <c r="A1276">
        <v>28049</v>
      </c>
      <c r="B1276" t="s">
        <v>322</v>
      </c>
      <c r="C1276" t="s">
        <v>2427</v>
      </c>
      <c r="D1276">
        <v>4039</v>
      </c>
      <c r="E1276">
        <v>655</v>
      </c>
      <c r="F1276">
        <v>385</v>
      </c>
      <c r="G1276">
        <v>432</v>
      </c>
      <c r="H1276" s="1">
        <v>1334</v>
      </c>
      <c r="I1276" s="1">
        <v>1233</v>
      </c>
      <c r="J1276">
        <v>782</v>
      </c>
      <c r="K1276" s="1">
        <v>1522</v>
      </c>
      <c r="L1276" s="1">
        <v>1735</v>
      </c>
      <c r="M1276" s="1">
        <v>3362</v>
      </c>
      <c r="N1276">
        <v>677</v>
      </c>
      <c r="O1276" t="s">
        <v>2428</v>
      </c>
      <c r="P1276" s="1" t="b">
        <f>NOT(OR(Table1[[#This Row],[State]]="Other Foreign Countries", Table1[[#This Row],[State]]="Unknown", Table1[[#This Row],[State]]="Puerto Rico all counties"))</f>
        <v>1</v>
      </c>
    </row>
    <row r="1277" spans="1:16" x14ac:dyDescent="0.25">
      <c r="A1277">
        <v>8053</v>
      </c>
      <c r="B1277" t="s">
        <v>489</v>
      </c>
      <c r="C1277" t="s">
        <v>544</v>
      </c>
      <c r="D1277">
        <v>18</v>
      </c>
      <c r="O1277" t="s">
        <v>545</v>
      </c>
      <c r="P1277" s="1" t="b">
        <f>NOT(OR(Table1[[#This Row],[State]]="Other Foreign Countries", Table1[[#This Row],[State]]="Unknown", Table1[[#This Row],[State]]="Puerto Rico all counties"))</f>
        <v>1</v>
      </c>
    </row>
    <row r="1278" spans="1:16" x14ac:dyDescent="0.25">
      <c r="A1278">
        <v>31087</v>
      </c>
      <c r="B1278" t="s">
        <v>2758</v>
      </c>
      <c r="C1278" t="s">
        <v>2821</v>
      </c>
      <c r="D1278">
        <v>89</v>
      </c>
      <c r="E1278">
        <v>35</v>
      </c>
      <c r="H1278">
        <v>22</v>
      </c>
      <c r="I1278">
        <v>14</v>
      </c>
      <c r="J1278">
        <v>14</v>
      </c>
      <c r="K1278">
        <v>23</v>
      </c>
      <c r="L1278">
        <v>52</v>
      </c>
      <c r="O1278" t="s">
        <v>2822</v>
      </c>
      <c r="P1278" s="1" t="b">
        <f>NOT(OR(Table1[[#This Row],[State]]="Other Foreign Countries", Table1[[#This Row],[State]]="Unknown", Table1[[#This Row],[State]]="Puerto Rico all counties"))</f>
        <v>1</v>
      </c>
    </row>
    <row r="1279" spans="1:16" x14ac:dyDescent="0.25">
      <c r="A1279">
        <v>39073</v>
      </c>
      <c r="B1279" t="s">
        <v>1343</v>
      </c>
      <c r="C1279" t="s">
        <v>3423</v>
      </c>
      <c r="D1279">
        <v>592</v>
      </c>
      <c r="E1279">
        <v>138</v>
      </c>
      <c r="F1279">
        <v>68</v>
      </c>
      <c r="G1279">
        <v>73</v>
      </c>
      <c r="H1279">
        <v>176</v>
      </c>
      <c r="I1279">
        <v>137</v>
      </c>
      <c r="J1279">
        <v>138</v>
      </c>
      <c r="K1279">
        <v>178</v>
      </c>
      <c r="L1279">
        <v>276</v>
      </c>
      <c r="M1279">
        <v>539</v>
      </c>
      <c r="N1279">
        <v>53</v>
      </c>
      <c r="O1279" t="s">
        <v>3424</v>
      </c>
      <c r="P1279" s="1" t="b">
        <f>NOT(OR(Table1[[#This Row],[State]]="Other Foreign Countries", Table1[[#This Row],[State]]="Unknown", Table1[[#This Row],[State]]="Puerto Rico all counties"))</f>
        <v>1</v>
      </c>
    </row>
    <row r="1280" spans="1:16" x14ac:dyDescent="0.25">
      <c r="A1280">
        <v>48219</v>
      </c>
      <c r="B1280" t="s">
        <v>2654</v>
      </c>
      <c r="C1280" t="s">
        <v>4251</v>
      </c>
      <c r="D1280">
        <v>314</v>
      </c>
      <c r="E1280">
        <v>78</v>
      </c>
      <c r="F1280">
        <v>41</v>
      </c>
      <c r="G1280">
        <v>35</v>
      </c>
      <c r="H1280">
        <v>89</v>
      </c>
      <c r="I1280">
        <v>71</v>
      </c>
      <c r="J1280">
        <v>95</v>
      </c>
      <c r="K1280">
        <v>102</v>
      </c>
      <c r="L1280">
        <v>117</v>
      </c>
      <c r="M1280">
        <v>282</v>
      </c>
      <c r="N1280">
        <v>32</v>
      </c>
      <c r="O1280" t="s">
        <v>4252</v>
      </c>
      <c r="P1280" s="1" t="b">
        <f>NOT(OR(Table1[[#This Row],[State]]="Other Foreign Countries", Table1[[#This Row],[State]]="Unknown", Table1[[#This Row],[State]]="Puerto Rico all counties"))</f>
        <v>1</v>
      </c>
    </row>
    <row r="1281" spans="1:16" x14ac:dyDescent="0.25">
      <c r="A1281">
        <v>20083</v>
      </c>
      <c r="B1281" t="s">
        <v>1543</v>
      </c>
      <c r="C1281" t="s">
        <v>1609</v>
      </c>
      <c r="D1281">
        <v>17</v>
      </c>
      <c r="O1281" t="s">
        <v>1610</v>
      </c>
      <c r="P1281" s="1" t="b">
        <f>NOT(OR(Table1[[#This Row],[State]]="Other Foreign Countries", Table1[[#This Row],[State]]="Unknown", Table1[[#This Row],[State]]="Puerto Rico all counties"))</f>
        <v>1</v>
      </c>
    </row>
    <row r="1282" spans="1:16" x14ac:dyDescent="0.25">
      <c r="A1282">
        <v>37093</v>
      </c>
      <c r="B1282" t="s">
        <v>3121</v>
      </c>
      <c r="C1282" t="s">
        <v>3200</v>
      </c>
      <c r="D1282">
        <v>5747</v>
      </c>
      <c r="E1282">
        <v>328</v>
      </c>
      <c r="F1282">
        <v>259</v>
      </c>
      <c r="G1282">
        <v>335</v>
      </c>
      <c r="H1282" s="1">
        <v>1542</v>
      </c>
      <c r="I1282" s="1">
        <v>3283</v>
      </c>
      <c r="J1282" s="1">
        <v>2127</v>
      </c>
      <c r="K1282" s="1">
        <v>2502</v>
      </c>
      <c r="L1282" s="1">
        <v>1118</v>
      </c>
      <c r="M1282" s="1">
        <v>4347</v>
      </c>
      <c r="N1282" s="1">
        <v>1399</v>
      </c>
      <c r="O1282" t="s">
        <v>3201</v>
      </c>
      <c r="P1282" s="1" t="b">
        <f>NOT(OR(Table1[[#This Row],[State]]="Other Foreign Countries", Table1[[#This Row],[State]]="Unknown", Table1[[#This Row],[State]]="Puerto Rico all counties"))</f>
        <v>1</v>
      </c>
    </row>
    <row r="1283" spans="1:16" x14ac:dyDescent="0.25">
      <c r="A1283">
        <v>12059</v>
      </c>
      <c r="B1283" t="s">
        <v>637</v>
      </c>
      <c r="C1283" t="s">
        <v>689</v>
      </c>
      <c r="D1283">
        <v>628</v>
      </c>
      <c r="E1283">
        <v>108</v>
      </c>
      <c r="F1283">
        <v>62</v>
      </c>
      <c r="G1283">
        <v>75</v>
      </c>
      <c r="H1283">
        <v>214</v>
      </c>
      <c r="I1283">
        <v>169</v>
      </c>
      <c r="J1283">
        <v>119</v>
      </c>
      <c r="K1283">
        <v>208</v>
      </c>
      <c r="L1283">
        <v>301</v>
      </c>
      <c r="M1283">
        <v>584</v>
      </c>
      <c r="N1283">
        <v>44</v>
      </c>
      <c r="O1283" t="s">
        <v>690</v>
      </c>
      <c r="P1283" s="1" t="b">
        <f>NOT(OR(Table1[[#This Row],[State]]="Other Foreign Countries", Table1[[#This Row],[State]]="Unknown", Table1[[#This Row],[State]]="Puerto Rico all counties"))</f>
        <v>1</v>
      </c>
    </row>
    <row r="1284" spans="1:16" x14ac:dyDescent="0.25">
      <c r="A1284">
        <v>28051</v>
      </c>
      <c r="B1284" t="s">
        <v>322</v>
      </c>
      <c r="C1284" t="s">
        <v>689</v>
      </c>
      <c r="D1284">
        <v>213</v>
      </c>
      <c r="E1284">
        <v>28</v>
      </c>
      <c r="F1284">
        <v>16</v>
      </c>
      <c r="G1284">
        <v>25</v>
      </c>
      <c r="H1284">
        <v>70</v>
      </c>
      <c r="I1284">
        <v>74</v>
      </c>
      <c r="J1284">
        <v>26</v>
      </c>
      <c r="K1284">
        <v>74</v>
      </c>
      <c r="L1284">
        <v>113</v>
      </c>
      <c r="M1284">
        <v>191</v>
      </c>
      <c r="N1284">
        <v>22</v>
      </c>
      <c r="O1284" t="s">
        <v>2429</v>
      </c>
      <c r="P1284" s="1" t="b">
        <f>NOT(OR(Table1[[#This Row],[State]]="Other Foreign Countries", Table1[[#This Row],[State]]="Unknown", Table1[[#This Row],[State]]="Puerto Rico all counties"))</f>
        <v>1</v>
      </c>
    </row>
    <row r="1285" spans="1:16" x14ac:dyDescent="0.25">
      <c r="A1285">
        <v>39075</v>
      </c>
      <c r="B1285" t="s">
        <v>1343</v>
      </c>
      <c r="C1285" t="s">
        <v>689</v>
      </c>
      <c r="D1285">
        <v>329</v>
      </c>
      <c r="E1285">
        <v>79</v>
      </c>
      <c r="F1285">
        <v>48</v>
      </c>
      <c r="G1285">
        <v>41</v>
      </c>
      <c r="H1285">
        <v>97</v>
      </c>
      <c r="I1285">
        <v>64</v>
      </c>
      <c r="J1285">
        <v>71</v>
      </c>
      <c r="K1285">
        <v>75</v>
      </c>
      <c r="L1285">
        <v>183</v>
      </c>
      <c r="M1285">
        <v>309</v>
      </c>
      <c r="N1285">
        <v>20</v>
      </c>
      <c r="O1285" t="s">
        <v>3425</v>
      </c>
      <c r="P1285" s="1" t="b">
        <f>NOT(OR(Table1[[#This Row],[State]]="Other Foreign Countries", Table1[[#This Row],[State]]="Unknown", Table1[[#This Row],[State]]="Puerto Rico all counties"))</f>
        <v>1</v>
      </c>
    </row>
    <row r="1286" spans="1:16" x14ac:dyDescent="0.25">
      <c r="A1286">
        <v>29087</v>
      </c>
      <c r="B1286" t="s">
        <v>2510</v>
      </c>
      <c r="C1286" t="s">
        <v>2568</v>
      </c>
      <c r="D1286">
        <v>86</v>
      </c>
      <c r="E1286">
        <v>20</v>
      </c>
      <c r="F1286">
        <v>15</v>
      </c>
      <c r="G1286">
        <v>13</v>
      </c>
      <c r="H1286">
        <v>23</v>
      </c>
      <c r="I1286">
        <v>15</v>
      </c>
      <c r="J1286">
        <v>16</v>
      </c>
      <c r="K1286">
        <v>31</v>
      </c>
      <c r="L1286">
        <v>39</v>
      </c>
      <c r="O1286" t="s">
        <v>2569</v>
      </c>
      <c r="P1286" s="1" t="b">
        <f>NOT(OR(Table1[[#This Row],[State]]="Other Foreign Countries", Table1[[#This Row],[State]]="Unknown", Table1[[#This Row],[State]]="Puerto Rico all counties"))</f>
        <v>1</v>
      </c>
    </row>
    <row r="1287" spans="1:16" x14ac:dyDescent="0.25">
      <c r="A1287">
        <v>31089</v>
      </c>
      <c r="B1287" t="s">
        <v>2758</v>
      </c>
      <c r="C1287" t="s">
        <v>2568</v>
      </c>
      <c r="D1287">
        <v>290</v>
      </c>
      <c r="E1287">
        <v>108</v>
      </c>
      <c r="F1287">
        <v>33</v>
      </c>
      <c r="G1287">
        <v>36</v>
      </c>
      <c r="H1287">
        <v>52</v>
      </c>
      <c r="I1287">
        <v>61</v>
      </c>
      <c r="J1287">
        <v>50</v>
      </c>
      <c r="K1287">
        <v>45</v>
      </c>
      <c r="L1287">
        <v>195</v>
      </c>
      <c r="M1287">
        <v>277</v>
      </c>
      <c r="N1287">
        <v>12</v>
      </c>
      <c r="O1287" t="s">
        <v>2823</v>
      </c>
      <c r="P1287" s="1" t="b">
        <f>NOT(OR(Table1[[#This Row],[State]]="Other Foreign Countries", Table1[[#This Row],[State]]="Unknown", Table1[[#This Row],[State]]="Puerto Rico all counties"))</f>
        <v>1</v>
      </c>
    </row>
    <row r="1288" spans="1:16" x14ac:dyDescent="0.25">
      <c r="A1288">
        <v>15003</v>
      </c>
      <c r="B1288" t="s">
        <v>1022</v>
      </c>
      <c r="C1288" t="s">
        <v>1024</v>
      </c>
      <c r="D1288">
        <v>31679</v>
      </c>
      <c r="E1288" s="1">
        <v>5877</v>
      </c>
      <c r="F1288" s="1">
        <v>3393</v>
      </c>
      <c r="G1288" s="1">
        <v>3857</v>
      </c>
      <c r="H1288" s="1">
        <v>8933</v>
      </c>
      <c r="I1288" s="1">
        <v>9619</v>
      </c>
      <c r="J1288" s="1">
        <v>9968</v>
      </c>
      <c r="K1288" s="1">
        <v>11553</v>
      </c>
      <c r="L1288" s="1">
        <v>10158</v>
      </c>
      <c r="M1288" s="1">
        <v>27028</v>
      </c>
      <c r="N1288" s="1">
        <v>4647</v>
      </c>
      <c r="O1288" t="s">
        <v>1025</v>
      </c>
      <c r="P1288" s="1" t="b">
        <f>NOT(OR(Table1[[#This Row],[State]]="Other Foreign Countries", Table1[[#This Row],[State]]="Unknown", Table1[[#This Row],[State]]="Puerto Rico all counties"))</f>
        <v>1</v>
      </c>
    </row>
    <row r="1289" spans="1:16" x14ac:dyDescent="0.25">
      <c r="A1289">
        <v>48221</v>
      </c>
      <c r="B1289" t="s">
        <v>2654</v>
      </c>
      <c r="C1289" t="s">
        <v>4253</v>
      </c>
      <c r="D1289">
        <v>2048</v>
      </c>
      <c r="E1289">
        <v>396</v>
      </c>
      <c r="F1289">
        <v>217</v>
      </c>
      <c r="G1289">
        <v>240</v>
      </c>
      <c r="H1289">
        <v>601</v>
      </c>
      <c r="I1289">
        <v>594</v>
      </c>
      <c r="J1289">
        <v>568</v>
      </c>
      <c r="K1289">
        <v>617</v>
      </c>
      <c r="L1289">
        <v>863</v>
      </c>
      <c r="M1289" s="1">
        <v>1845</v>
      </c>
      <c r="N1289">
        <v>203</v>
      </c>
      <c r="O1289" t="s">
        <v>4254</v>
      </c>
      <c r="P1289" s="1" t="b">
        <f>NOT(OR(Table1[[#This Row],[State]]="Other Foreign Countries", Table1[[#This Row],[State]]="Unknown", Table1[[#This Row],[State]]="Puerto Rico all counties"))</f>
        <v>1</v>
      </c>
    </row>
    <row r="1290" spans="1:16" x14ac:dyDescent="0.25">
      <c r="A1290">
        <v>41027</v>
      </c>
      <c r="B1290" t="s">
        <v>2607</v>
      </c>
      <c r="C1290" t="s">
        <v>3632</v>
      </c>
      <c r="D1290">
        <v>364</v>
      </c>
      <c r="E1290">
        <v>91</v>
      </c>
      <c r="F1290">
        <v>59</v>
      </c>
      <c r="G1290">
        <v>58</v>
      </c>
      <c r="H1290">
        <v>92</v>
      </c>
      <c r="I1290">
        <v>64</v>
      </c>
      <c r="J1290">
        <v>87</v>
      </c>
      <c r="K1290">
        <v>99</v>
      </c>
      <c r="L1290">
        <v>178</v>
      </c>
      <c r="M1290">
        <v>334</v>
      </c>
      <c r="N1290">
        <v>30</v>
      </c>
      <c r="O1290" t="s">
        <v>3633</v>
      </c>
      <c r="P1290" s="1" t="b">
        <f>NOT(OR(Table1[[#This Row],[State]]="Other Foreign Countries", Table1[[#This Row],[State]]="Unknown", Table1[[#This Row],[State]]="Puerto Rico all counties"))</f>
        <v>1</v>
      </c>
    </row>
    <row r="1291" spans="1:16" x14ac:dyDescent="0.25">
      <c r="A1291">
        <v>31091</v>
      </c>
      <c r="B1291" t="s">
        <v>2758</v>
      </c>
      <c r="C1291" t="s">
        <v>2824</v>
      </c>
      <c r="D1291">
        <v>15</v>
      </c>
      <c r="O1291" t="s">
        <v>2825</v>
      </c>
      <c r="P1291" s="1" t="b">
        <f>NOT(OR(Table1[[#This Row],[State]]="Other Foreign Countries", Table1[[#This Row],[State]]="Unknown", Table1[[#This Row],[State]]="Puerto Rico all counties"))</f>
        <v>1</v>
      </c>
    </row>
    <row r="1292" spans="1:16" x14ac:dyDescent="0.25">
      <c r="A1292">
        <v>2105</v>
      </c>
      <c r="B1292" t="s">
        <v>150</v>
      </c>
      <c r="C1292" t="s">
        <v>173</v>
      </c>
      <c r="D1292">
        <v>34</v>
      </c>
      <c r="E1292">
        <v>15</v>
      </c>
      <c r="L1292">
        <v>23</v>
      </c>
      <c r="O1292" t="s">
        <v>174</v>
      </c>
      <c r="P1292" s="1" t="b">
        <f>NOT(OR(Table1[[#This Row],[State]]="Other Foreign Countries", Table1[[#This Row],[State]]="Unknown", Table1[[#This Row],[State]]="Puerto Rico all counties"))</f>
        <v>1</v>
      </c>
    </row>
    <row r="1293" spans="1:16" x14ac:dyDescent="0.25">
      <c r="A1293">
        <v>51670</v>
      </c>
      <c r="B1293" t="s">
        <v>4555</v>
      </c>
      <c r="C1293" t="s">
        <v>4728</v>
      </c>
      <c r="D1293">
        <v>808</v>
      </c>
      <c r="E1293">
        <v>101</v>
      </c>
      <c r="F1293">
        <v>82</v>
      </c>
      <c r="G1293">
        <v>88</v>
      </c>
      <c r="H1293">
        <v>249</v>
      </c>
      <c r="I1293">
        <v>288</v>
      </c>
      <c r="J1293">
        <v>179</v>
      </c>
      <c r="K1293">
        <v>340</v>
      </c>
      <c r="L1293">
        <v>289</v>
      </c>
      <c r="M1293">
        <v>610</v>
      </c>
      <c r="N1293">
        <v>198</v>
      </c>
      <c r="O1293" t="s">
        <v>4729</v>
      </c>
      <c r="P1293" s="1" t="b">
        <f>NOT(OR(Table1[[#This Row],[State]]="Other Foreign Countries", Table1[[#This Row],[State]]="Unknown", Table1[[#This Row],[State]]="Puerto Rico all counties"))</f>
        <v>1</v>
      </c>
    </row>
    <row r="1294" spans="1:16" x14ac:dyDescent="0.25">
      <c r="A1294">
        <v>21107</v>
      </c>
      <c r="B1294" t="s">
        <v>1716</v>
      </c>
      <c r="C1294" t="s">
        <v>1797</v>
      </c>
      <c r="D1294">
        <v>909</v>
      </c>
      <c r="E1294">
        <v>166</v>
      </c>
      <c r="F1294">
        <v>82</v>
      </c>
      <c r="G1294">
        <v>109</v>
      </c>
      <c r="H1294">
        <v>295</v>
      </c>
      <c r="I1294">
        <v>257</v>
      </c>
      <c r="J1294">
        <v>206</v>
      </c>
      <c r="K1294">
        <v>310</v>
      </c>
      <c r="L1294">
        <v>393</v>
      </c>
      <c r="M1294">
        <v>838</v>
      </c>
      <c r="N1294">
        <v>71</v>
      </c>
      <c r="O1294" t="s">
        <v>1798</v>
      </c>
      <c r="P1294" s="1" t="b">
        <f>NOT(OR(Table1[[#This Row],[State]]="Other Foreign Countries", Table1[[#This Row],[State]]="Unknown", Table1[[#This Row],[State]]="Puerto Rico all counties"))</f>
        <v>1</v>
      </c>
    </row>
    <row r="1295" spans="1:16" x14ac:dyDescent="0.25">
      <c r="A1295">
        <v>48223</v>
      </c>
      <c r="B1295" t="s">
        <v>2654</v>
      </c>
      <c r="C1295" t="s">
        <v>1797</v>
      </c>
      <c r="D1295">
        <v>689</v>
      </c>
      <c r="E1295">
        <v>114</v>
      </c>
      <c r="F1295">
        <v>66</v>
      </c>
      <c r="G1295">
        <v>73</v>
      </c>
      <c r="H1295">
        <v>221</v>
      </c>
      <c r="I1295">
        <v>215</v>
      </c>
      <c r="J1295">
        <v>216</v>
      </c>
      <c r="K1295">
        <v>235</v>
      </c>
      <c r="L1295">
        <v>238</v>
      </c>
      <c r="M1295">
        <v>629</v>
      </c>
      <c r="N1295">
        <v>60</v>
      </c>
      <c r="O1295" t="s">
        <v>4255</v>
      </c>
      <c r="P1295" s="1" t="b">
        <f>NOT(OR(Table1[[#This Row],[State]]="Other Foreign Countries", Table1[[#This Row],[State]]="Unknown", Table1[[#This Row],[State]]="Puerto Rico all counties"))</f>
        <v>1</v>
      </c>
    </row>
    <row r="1296" spans="1:16" x14ac:dyDescent="0.25">
      <c r="A1296">
        <v>45051</v>
      </c>
      <c r="B1296" t="s">
        <v>3772</v>
      </c>
      <c r="C1296" t="s">
        <v>3815</v>
      </c>
      <c r="D1296">
        <v>12060</v>
      </c>
      <c r="E1296" s="1">
        <v>2226</v>
      </c>
      <c r="F1296" s="1">
        <v>1119</v>
      </c>
      <c r="G1296" s="1">
        <v>1318</v>
      </c>
      <c r="H1296" s="1">
        <v>3584</v>
      </c>
      <c r="I1296" s="1">
        <v>3813</v>
      </c>
      <c r="J1296" s="1">
        <v>2230</v>
      </c>
      <c r="K1296" s="1">
        <v>3691</v>
      </c>
      <c r="L1296" s="1">
        <v>6138</v>
      </c>
      <c r="M1296" s="1">
        <v>10806</v>
      </c>
      <c r="N1296" s="1">
        <v>1252</v>
      </c>
      <c r="O1296" t="s">
        <v>3816</v>
      </c>
      <c r="P1296" s="1" t="b">
        <f>NOT(OR(Table1[[#This Row],[State]]="Other Foreign Countries", Table1[[#This Row],[State]]="Unknown", Table1[[#This Row],[State]]="Puerto Rico all counties"))</f>
        <v>1</v>
      </c>
    </row>
    <row r="1297" spans="1:16" x14ac:dyDescent="0.25">
      <c r="A1297">
        <v>5059</v>
      </c>
      <c r="B1297" t="s">
        <v>242</v>
      </c>
      <c r="C1297" t="s">
        <v>294</v>
      </c>
      <c r="D1297">
        <v>688</v>
      </c>
      <c r="E1297">
        <v>101</v>
      </c>
      <c r="F1297">
        <v>69</v>
      </c>
      <c r="G1297">
        <v>84</v>
      </c>
      <c r="H1297">
        <v>243</v>
      </c>
      <c r="I1297">
        <v>191</v>
      </c>
      <c r="J1297">
        <v>146</v>
      </c>
      <c r="K1297">
        <v>248</v>
      </c>
      <c r="L1297">
        <v>294</v>
      </c>
      <c r="M1297">
        <v>635</v>
      </c>
      <c r="N1297">
        <v>53</v>
      </c>
      <c r="O1297" t="s">
        <v>295</v>
      </c>
      <c r="P1297" s="1" t="b">
        <f>NOT(OR(Table1[[#This Row],[State]]="Other Foreign Countries", Table1[[#This Row],[State]]="Unknown", Table1[[#This Row],[State]]="Puerto Rico all counties"))</f>
        <v>1</v>
      </c>
    </row>
    <row r="1298" spans="1:16" x14ac:dyDescent="0.25">
      <c r="A1298">
        <v>56017</v>
      </c>
      <c r="B1298" t="s">
        <v>3117</v>
      </c>
      <c r="C1298" t="s">
        <v>5023</v>
      </c>
      <c r="D1298">
        <v>132</v>
      </c>
      <c r="E1298">
        <v>37</v>
      </c>
      <c r="F1298">
        <v>18</v>
      </c>
      <c r="G1298">
        <v>17</v>
      </c>
      <c r="H1298">
        <v>29</v>
      </c>
      <c r="I1298">
        <v>31</v>
      </c>
      <c r="J1298">
        <v>19</v>
      </c>
      <c r="K1298">
        <v>40</v>
      </c>
      <c r="L1298">
        <v>73</v>
      </c>
      <c r="M1298">
        <v>122</v>
      </c>
      <c r="N1298">
        <v>10</v>
      </c>
      <c r="O1298" t="s">
        <v>5024</v>
      </c>
      <c r="P1298" s="1" t="b">
        <f>NOT(OR(Table1[[#This Row],[State]]="Other Foreign Countries", Table1[[#This Row],[State]]="Unknown", Table1[[#This Row],[State]]="Puerto Rico all counties"))</f>
        <v>1</v>
      </c>
    </row>
    <row r="1299" spans="1:16" x14ac:dyDescent="0.25">
      <c r="A1299">
        <v>26061</v>
      </c>
      <c r="B1299" t="s">
        <v>2099</v>
      </c>
      <c r="C1299" t="s">
        <v>2151</v>
      </c>
      <c r="D1299">
        <v>1235</v>
      </c>
      <c r="E1299">
        <v>416</v>
      </c>
      <c r="F1299">
        <v>147</v>
      </c>
      <c r="G1299">
        <v>127</v>
      </c>
      <c r="H1299">
        <v>278</v>
      </c>
      <c r="I1299">
        <v>267</v>
      </c>
      <c r="J1299">
        <v>173</v>
      </c>
      <c r="K1299">
        <v>324</v>
      </c>
      <c r="L1299">
        <v>738</v>
      </c>
      <c r="M1299" s="1">
        <v>1160</v>
      </c>
      <c r="N1299">
        <v>75</v>
      </c>
      <c r="O1299" t="s">
        <v>2152</v>
      </c>
      <c r="P1299" s="1" t="b">
        <f>NOT(OR(Table1[[#This Row],[State]]="Other Foreign Countries", Table1[[#This Row],[State]]="Unknown", Table1[[#This Row],[State]]="Puerto Rico all counties"))</f>
        <v>1</v>
      </c>
    </row>
    <row r="1300" spans="1:16" x14ac:dyDescent="0.25">
      <c r="A1300">
        <v>1069</v>
      </c>
      <c r="B1300" t="s">
        <v>15</v>
      </c>
      <c r="C1300" t="s">
        <v>84</v>
      </c>
      <c r="D1300">
        <v>3679</v>
      </c>
      <c r="E1300">
        <v>530</v>
      </c>
      <c r="F1300">
        <v>323</v>
      </c>
      <c r="G1300">
        <v>385</v>
      </c>
      <c r="H1300" s="1">
        <v>1086</v>
      </c>
      <c r="I1300" s="1">
        <v>1355</v>
      </c>
      <c r="J1300">
        <v>895</v>
      </c>
      <c r="K1300" s="1">
        <v>1416</v>
      </c>
      <c r="L1300" s="1">
        <v>1368</v>
      </c>
      <c r="M1300" s="1">
        <v>3229</v>
      </c>
      <c r="N1300">
        <v>450</v>
      </c>
      <c r="O1300" t="s">
        <v>85</v>
      </c>
      <c r="P1300" s="1" t="b">
        <f>NOT(OR(Table1[[#This Row],[State]]="Other Foreign Countries", Table1[[#This Row],[State]]="Unknown", Table1[[#This Row],[State]]="Puerto Rico all counties"))</f>
        <v>1</v>
      </c>
    </row>
    <row r="1301" spans="1:16" x14ac:dyDescent="0.25">
      <c r="A1301">
        <v>13153</v>
      </c>
      <c r="B1301" t="s">
        <v>754</v>
      </c>
      <c r="C1301" t="s">
        <v>84</v>
      </c>
      <c r="D1301">
        <v>12356</v>
      </c>
      <c r="E1301" s="1">
        <v>1596</v>
      </c>
      <c r="F1301">
        <v>988</v>
      </c>
      <c r="G1301" s="1">
        <v>1277</v>
      </c>
      <c r="H1301" s="1">
        <v>3729</v>
      </c>
      <c r="I1301" s="1">
        <v>4766</v>
      </c>
      <c r="J1301" s="1">
        <v>3282</v>
      </c>
      <c r="K1301" s="1">
        <v>5571</v>
      </c>
      <c r="L1301" s="1">
        <v>3503</v>
      </c>
      <c r="M1301" s="1">
        <v>9780</v>
      </c>
      <c r="N1301" s="1">
        <v>2576</v>
      </c>
      <c r="O1301" t="s">
        <v>886</v>
      </c>
      <c r="P1301" s="1" t="b">
        <f>NOT(OR(Table1[[#This Row],[State]]="Other Foreign Countries", Table1[[#This Row],[State]]="Unknown", Table1[[#This Row],[State]]="Puerto Rico all counties"))</f>
        <v>1</v>
      </c>
    </row>
    <row r="1302" spans="1:16" x14ac:dyDescent="0.25">
      <c r="A1302">
        <v>27055</v>
      </c>
      <c r="B1302" t="s">
        <v>2245</v>
      </c>
      <c r="C1302" t="s">
        <v>84</v>
      </c>
      <c r="D1302">
        <v>450</v>
      </c>
      <c r="E1302">
        <v>178</v>
      </c>
      <c r="F1302">
        <v>54</v>
      </c>
      <c r="G1302">
        <v>57</v>
      </c>
      <c r="H1302">
        <v>87</v>
      </c>
      <c r="I1302">
        <v>74</v>
      </c>
      <c r="J1302">
        <v>75</v>
      </c>
      <c r="K1302">
        <v>107</v>
      </c>
      <c r="L1302">
        <v>268</v>
      </c>
      <c r="M1302">
        <v>420</v>
      </c>
      <c r="N1302">
        <v>30</v>
      </c>
      <c r="O1302" t="s">
        <v>2290</v>
      </c>
      <c r="P1302" s="1" t="b">
        <f>NOT(OR(Table1[[#This Row],[State]]="Other Foreign Countries", Table1[[#This Row],[State]]="Unknown", Table1[[#This Row],[State]]="Puerto Rico all counties"))</f>
        <v>1</v>
      </c>
    </row>
    <row r="1303" spans="1:16" x14ac:dyDescent="0.25">
      <c r="A1303">
        <v>47083</v>
      </c>
      <c r="B1303" t="s">
        <v>3951</v>
      </c>
      <c r="C1303" t="s">
        <v>84</v>
      </c>
      <c r="D1303">
        <v>334</v>
      </c>
      <c r="E1303">
        <v>53</v>
      </c>
      <c r="F1303">
        <v>24</v>
      </c>
      <c r="G1303">
        <v>30</v>
      </c>
      <c r="H1303">
        <v>117</v>
      </c>
      <c r="I1303">
        <v>110</v>
      </c>
      <c r="J1303">
        <v>93</v>
      </c>
      <c r="K1303">
        <v>116</v>
      </c>
      <c r="L1303">
        <v>125</v>
      </c>
      <c r="M1303">
        <v>292</v>
      </c>
      <c r="N1303">
        <v>42</v>
      </c>
      <c r="O1303" t="s">
        <v>4006</v>
      </c>
      <c r="P1303" s="1" t="b">
        <f>NOT(OR(Table1[[#This Row],[State]]="Other Foreign Countries", Table1[[#This Row],[State]]="Unknown", Table1[[#This Row],[State]]="Puerto Rico all counties"))</f>
        <v>1</v>
      </c>
    </row>
    <row r="1304" spans="1:16" x14ac:dyDescent="0.25">
      <c r="A1304">
        <v>48225</v>
      </c>
      <c r="B1304" t="s">
        <v>2654</v>
      </c>
      <c r="C1304" t="s">
        <v>84</v>
      </c>
      <c r="D1304">
        <v>470</v>
      </c>
      <c r="E1304">
        <v>74</v>
      </c>
      <c r="F1304">
        <v>51</v>
      </c>
      <c r="G1304">
        <v>67</v>
      </c>
      <c r="H1304">
        <v>148</v>
      </c>
      <c r="I1304">
        <v>130</v>
      </c>
      <c r="J1304">
        <v>126</v>
      </c>
      <c r="K1304">
        <v>121</v>
      </c>
      <c r="L1304">
        <v>223</v>
      </c>
      <c r="M1304">
        <v>429</v>
      </c>
      <c r="N1304">
        <v>41</v>
      </c>
      <c r="O1304" t="s">
        <v>4256</v>
      </c>
      <c r="P1304" s="1" t="b">
        <f>NOT(OR(Table1[[#This Row],[State]]="Other Foreign Countries", Table1[[#This Row],[State]]="Unknown", Table1[[#This Row],[State]]="Puerto Rico all counties"))</f>
        <v>1</v>
      </c>
    </row>
    <row r="1305" spans="1:16" x14ac:dyDescent="0.25">
      <c r="A1305">
        <v>5061</v>
      </c>
      <c r="B1305" t="s">
        <v>242</v>
      </c>
      <c r="C1305" t="s">
        <v>296</v>
      </c>
      <c r="D1305">
        <v>178</v>
      </c>
      <c r="E1305">
        <v>38</v>
      </c>
      <c r="F1305">
        <v>28</v>
      </c>
      <c r="G1305">
        <v>16</v>
      </c>
      <c r="H1305">
        <v>49</v>
      </c>
      <c r="I1305">
        <v>47</v>
      </c>
      <c r="J1305">
        <v>30</v>
      </c>
      <c r="K1305">
        <v>64</v>
      </c>
      <c r="L1305">
        <v>84</v>
      </c>
      <c r="M1305">
        <v>158</v>
      </c>
      <c r="N1305">
        <v>20</v>
      </c>
      <c r="O1305" t="s">
        <v>297</v>
      </c>
      <c r="P1305" s="1" t="b">
        <f>NOT(OR(Table1[[#This Row],[State]]="Other Foreign Countries", Table1[[#This Row],[State]]="Unknown", Table1[[#This Row],[State]]="Puerto Rico all counties"))</f>
        <v>1</v>
      </c>
    </row>
    <row r="1306" spans="1:16" x14ac:dyDescent="0.25">
      <c r="A1306">
        <v>18067</v>
      </c>
      <c r="B1306" t="s">
        <v>1266</v>
      </c>
      <c r="C1306" t="s">
        <v>296</v>
      </c>
      <c r="D1306">
        <v>2481</v>
      </c>
      <c r="E1306" s="1">
        <v>1005</v>
      </c>
      <c r="F1306">
        <v>328</v>
      </c>
      <c r="G1306">
        <v>297</v>
      </c>
      <c r="H1306">
        <v>506</v>
      </c>
      <c r="I1306">
        <v>345</v>
      </c>
      <c r="J1306">
        <v>492</v>
      </c>
      <c r="K1306">
        <v>757</v>
      </c>
      <c r="L1306" s="1">
        <v>1232</v>
      </c>
      <c r="M1306" s="1">
        <v>2299</v>
      </c>
      <c r="N1306">
        <v>182</v>
      </c>
      <c r="O1306" t="s">
        <v>1311</v>
      </c>
      <c r="P1306" s="1" t="b">
        <f>NOT(OR(Table1[[#This Row],[State]]="Other Foreign Countries", Table1[[#This Row],[State]]="Unknown", Table1[[#This Row],[State]]="Puerto Rico all counties"))</f>
        <v>1</v>
      </c>
    </row>
    <row r="1307" spans="1:16" x14ac:dyDescent="0.25">
      <c r="A1307">
        <v>19089</v>
      </c>
      <c r="B1307" t="s">
        <v>1399</v>
      </c>
      <c r="C1307" t="s">
        <v>296</v>
      </c>
      <c r="D1307">
        <v>172</v>
      </c>
      <c r="E1307">
        <v>62</v>
      </c>
      <c r="F1307">
        <v>30</v>
      </c>
      <c r="G1307">
        <v>19</v>
      </c>
      <c r="H1307">
        <v>34</v>
      </c>
      <c r="I1307">
        <v>27</v>
      </c>
      <c r="J1307">
        <v>23</v>
      </c>
      <c r="K1307">
        <v>38</v>
      </c>
      <c r="L1307">
        <v>111</v>
      </c>
      <c r="M1307">
        <v>155</v>
      </c>
      <c r="N1307">
        <v>16</v>
      </c>
      <c r="O1307" t="s">
        <v>1461</v>
      </c>
      <c r="P1307" s="1" t="b">
        <f>NOT(OR(Table1[[#This Row],[State]]="Other Foreign Countries", Table1[[#This Row],[State]]="Unknown", Table1[[#This Row],[State]]="Puerto Rico all counties"))</f>
        <v>1</v>
      </c>
    </row>
    <row r="1308" spans="1:16" x14ac:dyDescent="0.25">
      <c r="A1308">
        <v>24027</v>
      </c>
      <c r="B1308" t="s">
        <v>2031</v>
      </c>
      <c r="C1308" t="s">
        <v>296</v>
      </c>
      <c r="D1308">
        <v>5521</v>
      </c>
      <c r="E1308">
        <v>889</v>
      </c>
      <c r="F1308">
        <v>644</v>
      </c>
      <c r="G1308">
        <v>692</v>
      </c>
      <c r="H1308" s="1">
        <v>1560</v>
      </c>
      <c r="I1308" s="1">
        <v>1736</v>
      </c>
      <c r="J1308" s="1">
        <v>1961</v>
      </c>
      <c r="K1308" s="1">
        <v>2367</v>
      </c>
      <c r="L1308" s="1">
        <v>1192</v>
      </c>
      <c r="M1308" s="1">
        <v>4289</v>
      </c>
      <c r="N1308" s="1">
        <v>1231</v>
      </c>
      <c r="O1308" t="s">
        <v>2055</v>
      </c>
      <c r="P1308" s="1" t="b">
        <f>NOT(OR(Table1[[#This Row],[State]]="Other Foreign Countries", Table1[[#This Row],[State]]="Unknown", Table1[[#This Row],[State]]="Puerto Rico all counties"))</f>
        <v>1</v>
      </c>
    </row>
    <row r="1309" spans="1:16" x14ac:dyDescent="0.25">
      <c r="A1309">
        <v>29089</v>
      </c>
      <c r="B1309" t="s">
        <v>2510</v>
      </c>
      <c r="C1309" t="s">
        <v>296</v>
      </c>
      <c r="D1309">
        <v>219</v>
      </c>
      <c r="E1309">
        <v>62</v>
      </c>
      <c r="F1309">
        <v>24</v>
      </c>
      <c r="G1309">
        <v>27</v>
      </c>
      <c r="H1309">
        <v>55</v>
      </c>
      <c r="I1309">
        <v>51</v>
      </c>
      <c r="J1309">
        <v>36</v>
      </c>
      <c r="K1309">
        <v>78</v>
      </c>
      <c r="L1309">
        <v>105</v>
      </c>
      <c r="M1309">
        <v>200</v>
      </c>
      <c r="N1309">
        <v>19</v>
      </c>
      <c r="O1309" t="s">
        <v>2570</v>
      </c>
      <c r="P1309" s="1" t="b">
        <f>NOT(OR(Table1[[#This Row],[State]]="Other Foreign Countries", Table1[[#This Row],[State]]="Unknown", Table1[[#This Row],[State]]="Puerto Rico all counties"))</f>
        <v>1</v>
      </c>
    </row>
    <row r="1310" spans="1:16" x14ac:dyDescent="0.25">
      <c r="A1310">
        <v>31093</v>
      </c>
      <c r="B1310" t="s">
        <v>2758</v>
      </c>
      <c r="C1310" t="s">
        <v>296</v>
      </c>
      <c r="D1310">
        <v>243</v>
      </c>
      <c r="E1310">
        <v>108</v>
      </c>
      <c r="F1310">
        <v>30</v>
      </c>
      <c r="G1310">
        <v>23</v>
      </c>
      <c r="H1310">
        <v>42</v>
      </c>
      <c r="I1310">
        <v>40</v>
      </c>
      <c r="J1310">
        <v>34</v>
      </c>
      <c r="K1310">
        <v>55</v>
      </c>
      <c r="L1310">
        <v>154</v>
      </c>
      <c r="M1310">
        <v>229</v>
      </c>
      <c r="N1310">
        <v>14</v>
      </c>
      <c r="O1310" t="s">
        <v>2826</v>
      </c>
      <c r="P1310" s="1" t="b">
        <f>NOT(OR(Table1[[#This Row],[State]]="Other Foreign Countries", Table1[[#This Row],[State]]="Unknown", Table1[[#This Row],[State]]="Puerto Rico all counties"))</f>
        <v>1</v>
      </c>
    </row>
    <row r="1311" spans="1:16" x14ac:dyDescent="0.25">
      <c r="A1311">
        <v>48227</v>
      </c>
      <c r="B1311" t="s">
        <v>2654</v>
      </c>
      <c r="C1311" t="s">
        <v>296</v>
      </c>
      <c r="D1311">
        <v>865</v>
      </c>
      <c r="E1311">
        <v>167</v>
      </c>
      <c r="F1311">
        <v>95</v>
      </c>
      <c r="G1311">
        <v>110</v>
      </c>
      <c r="H1311">
        <v>268</v>
      </c>
      <c r="I1311">
        <v>225</v>
      </c>
      <c r="J1311">
        <v>203</v>
      </c>
      <c r="K1311">
        <v>283</v>
      </c>
      <c r="L1311">
        <v>379</v>
      </c>
      <c r="M1311">
        <v>794</v>
      </c>
      <c r="N1311">
        <v>71</v>
      </c>
      <c r="O1311" t="s">
        <v>4257</v>
      </c>
      <c r="P1311" s="1" t="b">
        <f>NOT(OR(Table1[[#This Row],[State]]="Other Foreign Countries", Table1[[#This Row],[State]]="Unknown", Table1[[#This Row],[State]]="Puerto Rico all counties"))</f>
        <v>1</v>
      </c>
    </row>
    <row r="1312" spans="1:16" x14ac:dyDescent="0.25">
      <c r="A1312">
        <v>29091</v>
      </c>
      <c r="B1312" t="s">
        <v>2510</v>
      </c>
      <c r="C1312" t="s">
        <v>2571</v>
      </c>
      <c r="D1312">
        <v>1136</v>
      </c>
      <c r="E1312">
        <v>222</v>
      </c>
      <c r="F1312">
        <v>114</v>
      </c>
      <c r="G1312">
        <v>150</v>
      </c>
      <c r="H1312">
        <v>363</v>
      </c>
      <c r="I1312">
        <v>287</v>
      </c>
      <c r="J1312">
        <v>281</v>
      </c>
      <c r="K1312">
        <v>341</v>
      </c>
      <c r="L1312">
        <v>514</v>
      </c>
      <c r="M1312" s="1">
        <v>1025</v>
      </c>
      <c r="N1312">
        <v>111</v>
      </c>
      <c r="O1312" t="s">
        <v>2572</v>
      </c>
      <c r="P1312" s="1" t="b">
        <f>NOT(OR(Table1[[#This Row],[State]]="Other Foreign Countries", Table1[[#This Row],[State]]="Unknown", Table1[[#This Row],[State]]="Puerto Rico all counties"))</f>
        <v>1</v>
      </c>
    </row>
    <row r="1313" spans="1:16" x14ac:dyDescent="0.25">
      <c r="A1313">
        <v>27057</v>
      </c>
      <c r="B1313" t="s">
        <v>2245</v>
      </c>
      <c r="C1313" t="s">
        <v>2291</v>
      </c>
      <c r="D1313">
        <v>769</v>
      </c>
      <c r="E1313">
        <v>241</v>
      </c>
      <c r="F1313">
        <v>81</v>
      </c>
      <c r="G1313">
        <v>87</v>
      </c>
      <c r="H1313">
        <v>199</v>
      </c>
      <c r="I1313">
        <v>161</v>
      </c>
      <c r="J1313">
        <v>108</v>
      </c>
      <c r="K1313">
        <v>180</v>
      </c>
      <c r="L1313">
        <v>481</v>
      </c>
      <c r="M1313">
        <v>705</v>
      </c>
      <c r="N1313">
        <v>64</v>
      </c>
      <c r="O1313" t="s">
        <v>2292</v>
      </c>
      <c r="P1313" s="1" t="b">
        <f>NOT(OR(Table1[[#This Row],[State]]="Other Foreign Countries", Table1[[#This Row],[State]]="Unknown", Table1[[#This Row],[State]]="Puerto Rico all counties"))</f>
        <v>1</v>
      </c>
    </row>
    <row r="1314" spans="1:16" x14ac:dyDescent="0.25">
      <c r="A1314">
        <v>34017</v>
      </c>
      <c r="B1314" t="s">
        <v>2938</v>
      </c>
      <c r="C1314" t="s">
        <v>2952</v>
      </c>
      <c r="D1314">
        <v>2529</v>
      </c>
      <c r="E1314">
        <v>496</v>
      </c>
      <c r="F1314">
        <v>238</v>
      </c>
      <c r="G1314">
        <v>272</v>
      </c>
      <c r="H1314">
        <v>786</v>
      </c>
      <c r="I1314">
        <v>737</v>
      </c>
      <c r="J1314" s="1">
        <v>1316</v>
      </c>
      <c r="K1314">
        <v>600</v>
      </c>
      <c r="L1314">
        <v>613</v>
      </c>
      <c r="M1314" s="1">
        <v>2207</v>
      </c>
      <c r="N1314">
        <v>322</v>
      </c>
      <c r="O1314" t="s">
        <v>2953</v>
      </c>
      <c r="P1314" s="1" t="b">
        <f>NOT(OR(Table1[[#This Row],[State]]="Other Foreign Countries", Table1[[#This Row],[State]]="Unknown", Table1[[#This Row],[State]]="Puerto Rico all counties"))</f>
        <v>1</v>
      </c>
    </row>
    <row r="1315" spans="1:16" x14ac:dyDescent="0.25">
      <c r="A1315">
        <v>48229</v>
      </c>
      <c r="B1315" t="s">
        <v>2654</v>
      </c>
      <c r="C1315" t="s">
        <v>4258</v>
      </c>
      <c r="D1315">
        <v>90</v>
      </c>
      <c r="G1315">
        <v>12</v>
      </c>
      <c r="H1315">
        <v>40</v>
      </c>
      <c r="I1315">
        <v>19</v>
      </c>
      <c r="J1315">
        <v>18</v>
      </c>
      <c r="K1315">
        <v>33</v>
      </c>
      <c r="L1315">
        <v>39</v>
      </c>
      <c r="M1315">
        <v>77</v>
      </c>
      <c r="N1315">
        <v>13</v>
      </c>
      <c r="O1315" t="s">
        <v>4259</v>
      </c>
      <c r="P1315" s="1" t="b">
        <f>NOT(OR(Table1[[#This Row],[State]]="Other Foreign Countries", Table1[[#This Row],[State]]="Unknown", Table1[[#This Row],[State]]="Puerto Rico all counties"))</f>
        <v>1</v>
      </c>
    </row>
    <row r="1316" spans="1:16" x14ac:dyDescent="0.25">
      <c r="A1316">
        <v>8055</v>
      </c>
      <c r="B1316" t="s">
        <v>489</v>
      </c>
      <c r="C1316" t="s">
        <v>546</v>
      </c>
      <c r="D1316">
        <v>248</v>
      </c>
      <c r="E1316">
        <v>44</v>
      </c>
      <c r="F1316">
        <v>24</v>
      </c>
      <c r="G1316">
        <v>25</v>
      </c>
      <c r="H1316">
        <v>81</v>
      </c>
      <c r="I1316">
        <v>74</v>
      </c>
      <c r="J1316">
        <v>32</v>
      </c>
      <c r="K1316">
        <v>69</v>
      </c>
      <c r="L1316">
        <v>147</v>
      </c>
      <c r="M1316">
        <v>223</v>
      </c>
      <c r="N1316">
        <v>25</v>
      </c>
      <c r="O1316" t="s">
        <v>547</v>
      </c>
      <c r="P1316" s="1" t="b">
        <f>NOT(OR(Table1[[#This Row],[State]]="Other Foreign Countries", Table1[[#This Row],[State]]="Unknown", Table1[[#This Row],[State]]="Puerto Rico all counties"))</f>
        <v>1</v>
      </c>
    </row>
    <row r="1317" spans="1:16" x14ac:dyDescent="0.25">
      <c r="A1317">
        <v>40063</v>
      </c>
      <c r="B1317" t="s">
        <v>3495</v>
      </c>
      <c r="C1317" t="s">
        <v>3541</v>
      </c>
      <c r="D1317">
        <v>396</v>
      </c>
      <c r="E1317">
        <v>61</v>
      </c>
      <c r="F1317">
        <v>29</v>
      </c>
      <c r="G1317">
        <v>56</v>
      </c>
      <c r="H1317">
        <v>135</v>
      </c>
      <c r="I1317">
        <v>115</v>
      </c>
      <c r="J1317">
        <v>68</v>
      </c>
      <c r="K1317">
        <v>122</v>
      </c>
      <c r="L1317">
        <v>206</v>
      </c>
      <c r="M1317">
        <v>365</v>
      </c>
      <c r="N1317">
        <v>31</v>
      </c>
      <c r="O1317" t="s">
        <v>3542</v>
      </c>
      <c r="P1317" s="1" t="b">
        <f>NOT(OR(Table1[[#This Row],[State]]="Other Foreign Countries", Table1[[#This Row],[State]]="Unknown", Table1[[#This Row],[State]]="Puerto Rico all counties"))</f>
        <v>1</v>
      </c>
    </row>
    <row r="1318" spans="1:16" x14ac:dyDescent="0.25">
      <c r="A1318">
        <v>46065</v>
      </c>
      <c r="B1318" t="s">
        <v>3846</v>
      </c>
      <c r="C1318" t="s">
        <v>3541</v>
      </c>
      <c r="D1318">
        <v>340</v>
      </c>
      <c r="E1318">
        <v>81</v>
      </c>
      <c r="F1318">
        <v>53</v>
      </c>
      <c r="G1318">
        <v>52</v>
      </c>
      <c r="H1318">
        <v>100</v>
      </c>
      <c r="I1318">
        <v>54</v>
      </c>
      <c r="J1318">
        <v>75</v>
      </c>
      <c r="K1318">
        <v>131</v>
      </c>
      <c r="L1318">
        <v>134</v>
      </c>
      <c r="M1318">
        <v>301</v>
      </c>
      <c r="N1318">
        <v>39</v>
      </c>
      <c r="O1318" t="s">
        <v>3897</v>
      </c>
      <c r="P1318" s="1" t="b">
        <f>NOT(OR(Table1[[#This Row],[State]]="Other Foreign Countries", Table1[[#This Row],[State]]="Unknown", Table1[[#This Row],[State]]="Puerto Rico all counties"))</f>
        <v>1</v>
      </c>
    </row>
    <row r="1319" spans="1:16" x14ac:dyDescent="0.25">
      <c r="A1319">
        <v>6023</v>
      </c>
      <c r="B1319" t="s">
        <v>374</v>
      </c>
      <c r="C1319" t="s">
        <v>397</v>
      </c>
      <c r="D1319">
        <v>2032</v>
      </c>
      <c r="E1319">
        <v>489</v>
      </c>
      <c r="F1319">
        <v>214</v>
      </c>
      <c r="G1319">
        <v>196</v>
      </c>
      <c r="H1319">
        <v>640</v>
      </c>
      <c r="I1319">
        <v>493</v>
      </c>
      <c r="J1319">
        <v>495</v>
      </c>
      <c r="K1319">
        <v>480</v>
      </c>
      <c r="L1319" s="1">
        <v>1057</v>
      </c>
      <c r="M1319" s="1">
        <v>1845</v>
      </c>
      <c r="N1319">
        <v>187</v>
      </c>
      <c r="O1319" t="s">
        <v>398</v>
      </c>
      <c r="P1319" s="1" t="b">
        <f>NOT(OR(Table1[[#This Row],[State]]="Other Foreign Countries", Table1[[#This Row],[State]]="Unknown", Table1[[#This Row],[State]]="Puerto Rico all counties"))</f>
        <v>1</v>
      </c>
    </row>
    <row r="1320" spans="1:16" x14ac:dyDescent="0.25">
      <c r="A1320">
        <v>19091</v>
      </c>
      <c r="B1320" t="s">
        <v>1399</v>
      </c>
      <c r="C1320" t="s">
        <v>397</v>
      </c>
      <c r="D1320">
        <v>169</v>
      </c>
      <c r="E1320">
        <v>55</v>
      </c>
      <c r="F1320">
        <v>21</v>
      </c>
      <c r="G1320">
        <v>19</v>
      </c>
      <c r="H1320">
        <v>42</v>
      </c>
      <c r="I1320">
        <v>32</v>
      </c>
      <c r="J1320">
        <v>40</v>
      </c>
      <c r="K1320">
        <v>40</v>
      </c>
      <c r="L1320">
        <v>89</v>
      </c>
      <c r="O1320" t="s">
        <v>1462</v>
      </c>
      <c r="P1320" s="1" t="b">
        <f>NOT(OR(Table1[[#This Row],[State]]="Other Foreign Countries", Table1[[#This Row],[State]]="Unknown", Table1[[#This Row],[State]]="Puerto Rico all counties"))</f>
        <v>1</v>
      </c>
    </row>
    <row r="1321" spans="1:16" x14ac:dyDescent="0.25">
      <c r="A1321">
        <v>32013</v>
      </c>
      <c r="B1321" t="s">
        <v>326</v>
      </c>
      <c r="C1321" t="s">
        <v>397</v>
      </c>
      <c r="D1321">
        <v>285</v>
      </c>
      <c r="E1321">
        <v>65</v>
      </c>
      <c r="F1321">
        <v>36</v>
      </c>
      <c r="G1321">
        <v>38</v>
      </c>
      <c r="H1321">
        <v>82</v>
      </c>
      <c r="I1321">
        <v>64</v>
      </c>
      <c r="J1321">
        <v>68</v>
      </c>
      <c r="K1321">
        <v>93</v>
      </c>
      <c r="L1321">
        <v>124</v>
      </c>
      <c r="M1321">
        <v>260</v>
      </c>
      <c r="N1321">
        <v>25</v>
      </c>
      <c r="O1321" t="s">
        <v>2902</v>
      </c>
      <c r="P1321" s="1" t="b">
        <f>NOT(OR(Table1[[#This Row],[State]]="Other Foreign Countries", Table1[[#This Row],[State]]="Unknown", Table1[[#This Row],[State]]="Puerto Rico all counties"))</f>
        <v>1</v>
      </c>
    </row>
    <row r="1322" spans="1:16" x14ac:dyDescent="0.25">
      <c r="A1322">
        <v>28053</v>
      </c>
      <c r="B1322" t="s">
        <v>322</v>
      </c>
      <c r="C1322" t="s">
        <v>2430</v>
      </c>
      <c r="D1322">
        <v>94</v>
      </c>
      <c r="E1322">
        <v>16</v>
      </c>
      <c r="H1322">
        <v>31</v>
      </c>
      <c r="I1322">
        <v>32</v>
      </c>
      <c r="J1322">
        <v>25</v>
      </c>
      <c r="K1322">
        <v>31</v>
      </c>
      <c r="L1322">
        <v>38</v>
      </c>
      <c r="M1322">
        <v>82</v>
      </c>
      <c r="N1322">
        <v>12</v>
      </c>
      <c r="O1322" t="s">
        <v>2431</v>
      </c>
      <c r="P1322" s="1" t="b">
        <f>NOT(OR(Table1[[#This Row],[State]]="Other Foreign Countries", Table1[[#This Row],[State]]="Unknown", Table1[[#This Row],[State]]="Puerto Rico all counties"))</f>
        <v>1</v>
      </c>
    </row>
    <row r="1323" spans="1:16" x14ac:dyDescent="0.25">
      <c r="A1323">
        <v>47085</v>
      </c>
      <c r="B1323" t="s">
        <v>3951</v>
      </c>
      <c r="C1323" t="s">
        <v>2430</v>
      </c>
      <c r="D1323">
        <v>528</v>
      </c>
      <c r="E1323">
        <v>110</v>
      </c>
      <c r="F1323">
        <v>56</v>
      </c>
      <c r="G1323">
        <v>68</v>
      </c>
      <c r="H1323">
        <v>141</v>
      </c>
      <c r="I1323">
        <v>153</v>
      </c>
      <c r="J1323">
        <v>131</v>
      </c>
      <c r="K1323">
        <v>167</v>
      </c>
      <c r="L1323">
        <v>230</v>
      </c>
      <c r="M1323">
        <v>480</v>
      </c>
      <c r="N1323">
        <v>48</v>
      </c>
      <c r="O1323" t="s">
        <v>4007</v>
      </c>
      <c r="P1323" s="1" t="b">
        <f>NOT(OR(Table1[[#This Row],[State]]="Other Foreign Countries", Table1[[#This Row],[State]]="Unknown", Table1[[#This Row],[State]]="Puerto Rico all counties"))</f>
        <v>1</v>
      </c>
    </row>
    <row r="1324" spans="1:16" x14ac:dyDescent="0.25">
      <c r="A1324">
        <v>48231</v>
      </c>
      <c r="B1324" t="s">
        <v>2654</v>
      </c>
      <c r="C1324" t="s">
        <v>4260</v>
      </c>
      <c r="D1324">
        <v>3033</v>
      </c>
      <c r="E1324">
        <v>478</v>
      </c>
      <c r="F1324">
        <v>312</v>
      </c>
      <c r="G1324">
        <v>346</v>
      </c>
      <c r="H1324">
        <v>913</v>
      </c>
      <c r="I1324">
        <v>984</v>
      </c>
      <c r="J1324" s="1">
        <v>1193</v>
      </c>
      <c r="K1324">
        <v>946</v>
      </c>
      <c r="L1324">
        <v>894</v>
      </c>
      <c r="M1324" s="1">
        <v>2654</v>
      </c>
      <c r="N1324">
        <v>379</v>
      </c>
      <c r="O1324" t="s">
        <v>4261</v>
      </c>
      <c r="P1324" s="1" t="b">
        <f>NOT(OR(Table1[[#This Row],[State]]="Other Foreign Countries", Table1[[#This Row],[State]]="Unknown", Table1[[#This Row],[State]]="Puerto Rico all counties"))</f>
        <v>1</v>
      </c>
    </row>
    <row r="1325" spans="1:16" x14ac:dyDescent="0.25">
      <c r="A1325">
        <v>34019</v>
      </c>
      <c r="B1325" t="s">
        <v>2938</v>
      </c>
      <c r="C1325" t="s">
        <v>2954</v>
      </c>
      <c r="D1325">
        <v>1103</v>
      </c>
      <c r="E1325">
        <v>257</v>
      </c>
      <c r="F1325">
        <v>123</v>
      </c>
      <c r="G1325">
        <v>104</v>
      </c>
      <c r="H1325">
        <v>271</v>
      </c>
      <c r="I1325">
        <v>348</v>
      </c>
      <c r="J1325">
        <v>303</v>
      </c>
      <c r="K1325">
        <v>319</v>
      </c>
      <c r="L1325">
        <v>481</v>
      </c>
      <c r="M1325" s="1">
        <v>1041</v>
      </c>
      <c r="N1325">
        <v>62</v>
      </c>
      <c r="O1325" t="s">
        <v>2955</v>
      </c>
      <c r="P1325" s="1" t="b">
        <f>NOT(OR(Table1[[#This Row],[State]]="Other Foreign Countries", Table1[[#This Row],[State]]="Unknown", Table1[[#This Row],[State]]="Puerto Rico all counties"))</f>
        <v>1</v>
      </c>
    </row>
    <row r="1326" spans="1:16" x14ac:dyDescent="0.25">
      <c r="A1326">
        <v>42061</v>
      </c>
      <c r="B1326" t="s">
        <v>3665</v>
      </c>
      <c r="C1326" t="s">
        <v>3709</v>
      </c>
      <c r="D1326">
        <v>957</v>
      </c>
      <c r="E1326">
        <v>269</v>
      </c>
      <c r="F1326">
        <v>127</v>
      </c>
      <c r="G1326">
        <v>143</v>
      </c>
      <c r="H1326">
        <v>243</v>
      </c>
      <c r="I1326">
        <v>175</v>
      </c>
      <c r="J1326">
        <v>188</v>
      </c>
      <c r="K1326">
        <v>297</v>
      </c>
      <c r="L1326">
        <v>472</v>
      </c>
      <c r="M1326">
        <v>892</v>
      </c>
      <c r="N1326">
        <v>63</v>
      </c>
      <c r="O1326" t="s">
        <v>3710</v>
      </c>
      <c r="P1326" s="1" t="b">
        <f>NOT(OR(Table1[[#This Row],[State]]="Other Foreign Countries", Table1[[#This Row],[State]]="Unknown", Table1[[#This Row],[State]]="Puerto Rico all counties"))</f>
        <v>1</v>
      </c>
    </row>
    <row r="1327" spans="1:16" x14ac:dyDescent="0.25">
      <c r="A1327">
        <v>18069</v>
      </c>
      <c r="B1327" t="s">
        <v>1266</v>
      </c>
      <c r="C1327" t="s">
        <v>1312</v>
      </c>
      <c r="D1327">
        <v>885</v>
      </c>
      <c r="E1327">
        <v>323</v>
      </c>
      <c r="F1327">
        <v>123</v>
      </c>
      <c r="G1327">
        <v>119</v>
      </c>
      <c r="H1327">
        <v>190</v>
      </c>
      <c r="I1327">
        <v>130</v>
      </c>
      <c r="J1327">
        <v>210</v>
      </c>
      <c r="K1327">
        <v>257</v>
      </c>
      <c r="L1327">
        <v>418</v>
      </c>
      <c r="M1327">
        <v>825</v>
      </c>
      <c r="N1327">
        <v>60</v>
      </c>
      <c r="O1327" t="s">
        <v>1313</v>
      </c>
      <c r="P1327" s="1" t="b">
        <f>NOT(OR(Table1[[#This Row],[State]]="Other Foreign Countries", Table1[[#This Row],[State]]="Unknown", Table1[[#This Row],[State]]="Puerto Rico all counties"))</f>
        <v>1</v>
      </c>
    </row>
    <row r="1328" spans="1:16" x14ac:dyDescent="0.25">
      <c r="A1328">
        <v>26063</v>
      </c>
      <c r="B1328" t="s">
        <v>2099</v>
      </c>
      <c r="C1328" t="s">
        <v>2153</v>
      </c>
      <c r="D1328">
        <v>605</v>
      </c>
      <c r="E1328">
        <v>176</v>
      </c>
      <c r="F1328">
        <v>70</v>
      </c>
      <c r="G1328">
        <v>73</v>
      </c>
      <c r="H1328">
        <v>163</v>
      </c>
      <c r="I1328">
        <v>123</v>
      </c>
      <c r="J1328">
        <v>89</v>
      </c>
      <c r="K1328">
        <v>154</v>
      </c>
      <c r="L1328">
        <v>362</v>
      </c>
      <c r="M1328">
        <v>579</v>
      </c>
      <c r="N1328">
        <v>26</v>
      </c>
      <c r="O1328" t="s">
        <v>2154</v>
      </c>
      <c r="P1328" s="1" t="b">
        <f>NOT(OR(Table1[[#This Row],[State]]="Other Foreign Countries", Table1[[#This Row],[State]]="Unknown", Table1[[#This Row],[State]]="Puerto Rico all counties"))</f>
        <v>1</v>
      </c>
    </row>
    <row r="1329" spans="1:16" x14ac:dyDescent="0.25">
      <c r="A1329">
        <v>39077</v>
      </c>
      <c r="B1329" t="s">
        <v>1343</v>
      </c>
      <c r="C1329" t="s">
        <v>2153</v>
      </c>
      <c r="D1329">
        <v>961</v>
      </c>
      <c r="E1329">
        <v>230</v>
      </c>
      <c r="F1329">
        <v>127</v>
      </c>
      <c r="G1329">
        <v>100</v>
      </c>
      <c r="H1329">
        <v>286</v>
      </c>
      <c r="I1329">
        <v>218</v>
      </c>
      <c r="J1329">
        <v>287</v>
      </c>
      <c r="K1329">
        <v>272</v>
      </c>
      <c r="L1329">
        <v>402</v>
      </c>
      <c r="M1329">
        <v>886</v>
      </c>
      <c r="N1329">
        <v>75</v>
      </c>
      <c r="O1329" t="s">
        <v>3426</v>
      </c>
      <c r="P1329" s="1" t="b">
        <f>NOT(OR(Table1[[#This Row],[State]]="Other Foreign Countries", Table1[[#This Row],[State]]="Unknown", Table1[[#This Row],[State]]="Puerto Rico all counties"))</f>
        <v>1</v>
      </c>
    </row>
    <row r="1330" spans="1:16" x14ac:dyDescent="0.25">
      <c r="A1330">
        <v>46067</v>
      </c>
      <c r="B1330" t="s">
        <v>3846</v>
      </c>
      <c r="C1330" t="s">
        <v>3898</v>
      </c>
      <c r="D1330">
        <v>163</v>
      </c>
      <c r="E1330">
        <v>42</v>
      </c>
      <c r="F1330">
        <v>26</v>
      </c>
      <c r="G1330">
        <v>22</v>
      </c>
      <c r="H1330">
        <v>42</v>
      </c>
      <c r="I1330">
        <v>31</v>
      </c>
      <c r="J1330">
        <v>31</v>
      </c>
      <c r="K1330">
        <v>52</v>
      </c>
      <c r="L1330">
        <v>80</v>
      </c>
      <c r="M1330">
        <v>150</v>
      </c>
      <c r="N1330">
        <v>13</v>
      </c>
      <c r="O1330" t="s">
        <v>3899</v>
      </c>
      <c r="P1330" s="1" t="b">
        <f>NOT(OR(Table1[[#This Row],[State]]="Other Foreign Countries", Table1[[#This Row],[State]]="Unknown", Table1[[#This Row],[State]]="Puerto Rico all counties"))</f>
        <v>1</v>
      </c>
    </row>
    <row r="1331" spans="1:16" x14ac:dyDescent="0.25">
      <c r="A1331">
        <v>48233</v>
      </c>
      <c r="B1331" t="s">
        <v>2654</v>
      </c>
      <c r="C1331" t="s">
        <v>3898</v>
      </c>
      <c r="D1331">
        <v>398</v>
      </c>
      <c r="E1331">
        <v>77</v>
      </c>
      <c r="F1331">
        <v>51</v>
      </c>
      <c r="G1331">
        <v>45</v>
      </c>
      <c r="H1331">
        <v>130</v>
      </c>
      <c r="I1331">
        <v>95</v>
      </c>
      <c r="J1331">
        <v>126</v>
      </c>
      <c r="K1331">
        <v>113</v>
      </c>
      <c r="L1331">
        <v>159</v>
      </c>
      <c r="M1331">
        <v>365</v>
      </c>
      <c r="N1331">
        <v>33</v>
      </c>
      <c r="O1331" t="s">
        <v>4262</v>
      </c>
      <c r="P1331" s="1" t="b">
        <f>NOT(OR(Table1[[#This Row],[State]]="Other Foreign Countries", Table1[[#This Row],[State]]="Unknown", Table1[[#This Row],[State]]="Puerto Rico all counties"))</f>
        <v>1</v>
      </c>
    </row>
    <row r="1332" spans="1:16" x14ac:dyDescent="0.25">
      <c r="A1332">
        <v>37095</v>
      </c>
      <c r="B1332" t="s">
        <v>3121</v>
      </c>
      <c r="C1332" t="s">
        <v>3202</v>
      </c>
      <c r="D1332">
        <v>103</v>
      </c>
      <c r="E1332">
        <v>19</v>
      </c>
      <c r="F1332">
        <v>17</v>
      </c>
      <c r="G1332">
        <v>15</v>
      </c>
      <c r="H1332">
        <v>33</v>
      </c>
      <c r="I1332">
        <v>19</v>
      </c>
      <c r="J1332">
        <v>16</v>
      </c>
      <c r="K1332">
        <v>33</v>
      </c>
      <c r="L1332">
        <v>54</v>
      </c>
      <c r="O1332" t="s">
        <v>3203</v>
      </c>
      <c r="P1332" s="1" t="b">
        <f>NOT(OR(Table1[[#This Row],[State]]="Other Foreign Countries", Table1[[#This Row],[State]]="Unknown", Table1[[#This Row],[State]]="Puerto Rico all counties"))</f>
        <v>1</v>
      </c>
    </row>
    <row r="1333" spans="1:16" x14ac:dyDescent="0.25">
      <c r="A1333">
        <v>46069</v>
      </c>
      <c r="B1333" t="s">
        <v>3846</v>
      </c>
      <c r="C1333" t="s">
        <v>3202</v>
      </c>
      <c r="D1333">
        <v>20</v>
      </c>
      <c r="O1333" t="s">
        <v>3900</v>
      </c>
      <c r="P1333" s="1" t="b">
        <f>NOT(OR(Table1[[#This Row],[State]]="Other Foreign Countries", Table1[[#This Row],[State]]="Unknown", Table1[[#This Row],[State]]="Puerto Rico all counties"))</f>
        <v>1</v>
      </c>
    </row>
    <row r="1334" spans="1:16" x14ac:dyDescent="0.25">
      <c r="A1334">
        <v>22045</v>
      </c>
      <c r="B1334" t="s">
        <v>1892</v>
      </c>
      <c r="C1334" t="s">
        <v>1933</v>
      </c>
      <c r="D1334">
        <v>1080</v>
      </c>
      <c r="E1334">
        <v>230</v>
      </c>
      <c r="F1334">
        <v>121</v>
      </c>
      <c r="G1334">
        <v>115</v>
      </c>
      <c r="H1334">
        <v>333</v>
      </c>
      <c r="I1334">
        <v>281</v>
      </c>
      <c r="J1334">
        <v>190</v>
      </c>
      <c r="K1334">
        <v>350</v>
      </c>
      <c r="L1334">
        <v>540</v>
      </c>
      <c r="M1334">
        <v>967</v>
      </c>
      <c r="N1334">
        <v>113</v>
      </c>
      <c r="O1334" t="s">
        <v>1934</v>
      </c>
      <c r="P1334" s="1" t="b">
        <f>NOT(OR(Table1[[#This Row],[State]]="Other Foreign Countries", Table1[[#This Row],[State]]="Unknown", Table1[[#This Row],[State]]="Puerto Rico all counties"))</f>
        <v>1</v>
      </c>
    </row>
    <row r="1335" spans="1:16" x14ac:dyDescent="0.25">
      <c r="A1335">
        <v>22047</v>
      </c>
      <c r="B1335" t="s">
        <v>1892</v>
      </c>
      <c r="C1335" t="s">
        <v>1935</v>
      </c>
      <c r="D1335">
        <v>405</v>
      </c>
      <c r="E1335">
        <v>86</v>
      </c>
      <c r="F1335">
        <v>40</v>
      </c>
      <c r="G1335">
        <v>51</v>
      </c>
      <c r="H1335">
        <v>143</v>
      </c>
      <c r="I1335">
        <v>85</v>
      </c>
      <c r="J1335">
        <v>76</v>
      </c>
      <c r="K1335">
        <v>146</v>
      </c>
      <c r="L1335">
        <v>183</v>
      </c>
      <c r="M1335">
        <v>363</v>
      </c>
      <c r="N1335">
        <v>42</v>
      </c>
      <c r="O1335" t="s">
        <v>1936</v>
      </c>
      <c r="P1335" s="1" t="b">
        <f>NOT(OR(Table1[[#This Row],[State]]="Other Foreign Countries", Table1[[#This Row],[State]]="Unknown", Table1[[#This Row],[State]]="Puerto Rico all counties"))</f>
        <v>1</v>
      </c>
    </row>
    <row r="1336" spans="1:16" x14ac:dyDescent="0.25">
      <c r="A1336">
        <v>19093</v>
      </c>
      <c r="B1336" t="s">
        <v>1399</v>
      </c>
      <c r="C1336" t="s">
        <v>1463</v>
      </c>
      <c r="D1336">
        <v>123</v>
      </c>
      <c r="E1336">
        <v>30</v>
      </c>
      <c r="F1336">
        <v>18</v>
      </c>
      <c r="G1336">
        <v>16</v>
      </c>
      <c r="H1336">
        <v>35</v>
      </c>
      <c r="I1336">
        <v>24</v>
      </c>
      <c r="J1336">
        <v>27</v>
      </c>
      <c r="K1336">
        <v>31</v>
      </c>
      <c r="L1336">
        <v>65</v>
      </c>
      <c r="O1336" t="s">
        <v>1464</v>
      </c>
      <c r="P1336" s="1" t="b">
        <f>NOT(OR(Table1[[#This Row],[State]]="Other Foreign Countries", Table1[[#This Row],[State]]="Unknown", Table1[[#This Row],[State]]="Puerto Rico all counties"))</f>
        <v>1</v>
      </c>
    </row>
    <row r="1337" spans="1:16" x14ac:dyDescent="0.25">
      <c r="A1337">
        <v>16049</v>
      </c>
      <c r="B1337" t="s">
        <v>1032</v>
      </c>
      <c r="C1337" t="s">
        <v>1032</v>
      </c>
      <c r="D1337">
        <v>613</v>
      </c>
      <c r="E1337">
        <v>138</v>
      </c>
      <c r="F1337">
        <v>63</v>
      </c>
      <c r="G1337">
        <v>74</v>
      </c>
      <c r="H1337">
        <v>198</v>
      </c>
      <c r="I1337">
        <v>140</v>
      </c>
      <c r="J1337">
        <v>71</v>
      </c>
      <c r="K1337">
        <v>146</v>
      </c>
      <c r="L1337">
        <v>396</v>
      </c>
      <c r="M1337">
        <v>573</v>
      </c>
      <c r="N1337">
        <v>40</v>
      </c>
      <c r="O1337" t="s">
        <v>1074</v>
      </c>
      <c r="P1337" s="1" t="b">
        <f>NOT(OR(Table1[[#This Row],[State]]="Other Foreign Countries", Table1[[#This Row],[State]]="Unknown", Table1[[#This Row],[State]]="Puerto Rico all counties"))</f>
        <v>1</v>
      </c>
    </row>
    <row r="1338" spans="1:16" x14ac:dyDescent="0.25">
      <c r="A1338">
        <v>6025</v>
      </c>
      <c r="B1338" t="s">
        <v>374</v>
      </c>
      <c r="C1338" t="s">
        <v>399</v>
      </c>
      <c r="D1338">
        <v>2544</v>
      </c>
      <c r="E1338">
        <v>495</v>
      </c>
      <c r="F1338">
        <v>243</v>
      </c>
      <c r="G1338">
        <v>279</v>
      </c>
      <c r="H1338">
        <v>780</v>
      </c>
      <c r="I1338">
        <v>747</v>
      </c>
      <c r="J1338">
        <v>930</v>
      </c>
      <c r="K1338">
        <v>917</v>
      </c>
      <c r="L1338">
        <v>697</v>
      </c>
      <c r="M1338" s="1">
        <v>2379</v>
      </c>
      <c r="N1338">
        <v>165</v>
      </c>
      <c r="O1338" t="s">
        <v>400</v>
      </c>
      <c r="P1338" s="1" t="b">
        <f>NOT(OR(Table1[[#This Row],[State]]="Other Foreign Countries", Table1[[#This Row],[State]]="Unknown", Table1[[#This Row],[State]]="Puerto Rico all counties"))</f>
        <v>1</v>
      </c>
    </row>
    <row r="1339" spans="1:16" x14ac:dyDescent="0.25">
      <c r="A1339">
        <v>5063</v>
      </c>
      <c r="B1339" t="s">
        <v>242</v>
      </c>
      <c r="C1339" t="s">
        <v>298</v>
      </c>
      <c r="D1339">
        <v>755</v>
      </c>
      <c r="E1339">
        <v>118</v>
      </c>
      <c r="F1339">
        <v>82</v>
      </c>
      <c r="G1339">
        <v>89</v>
      </c>
      <c r="H1339">
        <v>236</v>
      </c>
      <c r="I1339">
        <v>230</v>
      </c>
      <c r="J1339">
        <v>166</v>
      </c>
      <c r="K1339">
        <v>236</v>
      </c>
      <c r="L1339">
        <v>353</v>
      </c>
      <c r="M1339">
        <v>701</v>
      </c>
      <c r="N1339">
        <v>54</v>
      </c>
      <c r="O1339" t="s">
        <v>299</v>
      </c>
      <c r="P1339" s="1" t="b">
        <f>NOT(OR(Table1[[#This Row],[State]]="Other Foreign Countries", Table1[[#This Row],[State]]="Unknown", Table1[[#This Row],[State]]="Puerto Rico all counties"))</f>
        <v>1</v>
      </c>
    </row>
    <row r="1340" spans="1:16" x14ac:dyDescent="0.25">
      <c r="A1340">
        <v>12061</v>
      </c>
      <c r="B1340" t="s">
        <v>637</v>
      </c>
      <c r="C1340" t="s">
        <v>691</v>
      </c>
      <c r="D1340">
        <v>4382</v>
      </c>
      <c r="E1340">
        <v>973</v>
      </c>
      <c r="F1340">
        <v>447</v>
      </c>
      <c r="G1340">
        <v>523</v>
      </c>
      <c r="H1340" s="1">
        <v>1270</v>
      </c>
      <c r="I1340" s="1">
        <v>1169</v>
      </c>
      <c r="J1340">
        <v>671</v>
      </c>
      <c r="K1340" s="1">
        <v>1080</v>
      </c>
      <c r="L1340" s="1">
        <v>2631</v>
      </c>
      <c r="M1340" s="1">
        <v>3987</v>
      </c>
      <c r="N1340">
        <v>392</v>
      </c>
      <c r="O1340" t="s">
        <v>692</v>
      </c>
      <c r="P1340" s="1" t="b">
        <f>NOT(OR(Table1[[#This Row],[State]]="Other Foreign Countries", Table1[[#This Row],[State]]="Unknown", Table1[[#This Row],[State]]="Puerto Rico all counties"))</f>
        <v>1</v>
      </c>
    </row>
    <row r="1341" spans="1:16" x14ac:dyDescent="0.25">
      <c r="A1341">
        <v>42063</v>
      </c>
      <c r="B1341" t="s">
        <v>3665</v>
      </c>
      <c r="C1341" t="s">
        <v>1266</v>
      </c>
      <c r="D1341">
        <v>1235</v>
      </c>
      <c r="E1341">
        <v>271</v>
      </c>
      <c r="F1341">
        <v>166</v>
      </c>
      <c r="G1341">
        <v>164</v>
      </c>
      <c r="H1341">
        <v>362</v>
      </c>
      <c r="I1341">
        <v>272</v>
      </c>
      <c r="J1341">
        <v>318</v>
      </c>
      <c r="K1341">
        <v>351</v>
      </c>
      <c r="L1341">
        <v>566</v>
      </c>
      <c r="M1341" s="1">
        <v>1134</v>
      </c>
      <c r="N1341">
        <v>101</v>
      </c>
      <c r="O1341" t="s">
        <v>3711</v>
      </c>
      <c r="P1341" s="1" t="b">
        <f>NOT(OR(Table1[[#This Row],[State]]="Other Foreign Countries", Table1[[#This Row],[State]]="Unknown", Table1[[#This Row],[State]]="Puerto Rico all counties"))</f>
        <v>1</v>
      </c>
    </row>
    <row r="1342" spans="1:16" x14ac:dyDescent="0.25">
      <c r="A1342">
        <v>26065</v>
      </c>
      <c r="B1342" t="s">
        <v>2099</v>
      </c>
      <c r="C1342" t="s">
        <v>2155</v>
      </c>
      <c r="D1342">
        <v>2985</v>
      </c>
      <c r="E1342">
        <v>573</v>
      </c>
      <c r="F1342">
        <v>364</v>
      </c>
      <c r="G1342">
        <v>356</v>
      </c>
      <c r="H1342">
        <v>961</v>
      </c>
      <c r="I1342">
        <v>731</v>
      </c>
      <c r="J1342">
        <v>958</v>
      </c>
      <c r="K1342">
        <v>878</v>
      </c>
      <c r="L1342" s="1">
        <v>1149</v>
      </c>
      <c r="M1342" s="1">
        <v>2621</v>
      </c>
      <c r="N1342">
        <v>364</v>
      </c>
      <c r="O1342" t="s">
        <v>2156</v>
      </c>
      <c r="P1342" s="1" t="b">
        <f>NOT(OR(Table1[[#This Row],[State]]="Other Foreign Countries", Table1[[#This Row],[State]]="Unknown", Table1[[#This Row],[State]]="Puerto Rico all counties"))</f>
        <v>1</v>
      </c>
    </row>
    <row r="1343" spans="1:16" x14ac:dyDescent="0.25">
      <c r="A1343">
        <v>6027</v>
      </c>
      <c r="B1343" t="s">
        <v>374</v>
      </c>
      <c r="C1343" t="s">
        <v>401</v>
      </c>
      <c r="D1343">
        <v>294</v>
      </c>
      <c r="E1343">
        <v>67</v>
      </c>
      <c r="F1343">
        <v>38</v>
      </c>
      <c r="G1343">
        <v>38</v>
      </c>
      <c r="H1343">
        <v>82</v>
      </c>
      <c r="I1343">
        <v>69</v>
      </c>
      <c r="J1343">
        <v>69</v>
      </c>
      <c r="K1343">
        <v>63</v>
      </c>
      <c r="L1343">
        <v>162</v>
      </c>
      <c r="M1343">
        <v>271</v>
      </c>
      <c r="N1343">
        <v>23</v>
      </c>
      <c r="O1343" t="s">
        <v>402</v>
      </c>
      <c r="P1343" s="1" t="b">
        <f>NOT(OR(Table1[[#This Row],[State]]="Other Foreign Countries", Table1[[#This Row],[State]]="Unknown", Table1[[#This Row],[State]]="Puerto Rico all counties"))</f>
        <v>1</v>
      </c>
    </row>
    <row r="1344" spans="1:16" x14ac:dyDescent="0.25">
      <c r="A1344">
        <v>26067</v>
      </c>
      <c r="B1344" t="s">
        <v>2099</v>
      </c>
      <c r="C1344" t="s">
        <v>2157</v>
      </c>
      <c r="D1344">
        <v>911</v>
      </c>
      <c r="E1344">
        <v>155</v>
      </c>
      <c r="F1344">
        <v>100</v>
      </c>
      <c r="G1344">
        <v>126</v>
      </c>
      <c r="H1344">
        <v>285</v>
      </c>
      <c r="I1344">
        <v>245</v>
      </c>
      <c r="J1344">
        <v>288</v>
      </c>
      <c r="K1344">
        <v>246</v>
      </c>
      <c r="L1344">
        <v>377</v>
      </c>
      <c r="M1344">
        <v>833</v>
      </c>
      <c r="N1344">
        <v>78</v>
      </c>
      <c r="O1344" t="s">
        <v>2158</v>
      </c>
      <c r="P1344" s="1" t="b">
        <f>NOT(OR(Table1[[#This Row],[State]]="Other Foreign Countries", Table1[[#This Row],[State]]="Unknown", Table1[[#This Row],[State]]="Puerto Rico all counties"))</f>
        <v>1</v>
      </c>
    </row>
    <row r="1345" spans="1:16" x14ac:dyDescent="0.25">
      <c r="A1345">
        <v>26069</v>
      </c>
      <c r="B1345" t="s">
        <v>2099</v>
      </c>
      <c r="C1345" t="s">
        <v>2159</v>
      </c>
      <c r="D1345">
        <v>828</v>
      </c>
      <c r="E1345">
        <v>231</v>
      </c>
      <c r="F1345">
        <v>98</v>
      </c>
      <c r="G1345">
        <v>103</v>
      </c>
      <c r="H1345">
        <v>227</v>
      </c>
      <c r="I1345">
        <v>169</v>
      </c>
      <c r="J1345">
        <v>145</v>
      </c>
      <c r="K1345">
        <v>234</v>
      </c>
      <c r="L1345">
        <v>449</v>
      </c>
      <c r="M1345">
        <v>771</v>
      </c>
      <c r="N1345">
        <v>57</v>
      </c>
      <c r="O1345" t="s">
        <v>2160</v>
      </c>
      <c r="P1345" s="1" t="b">
        <f>NOT(OR(Table1[[#This Row],[State]]="Other Foreign Countries", Table1[[#This Row],[State]]="Unknown", Table1[[#This Row],[State]]="Puerto Rico all counties"))</f>
        <v>1</v>
      </c>
    </row>
    <row r="1346" spans="1:16" x14ac:dyDescent="0.25">
      <c r="A1346">
        <v>19095</v>
      </c>
      <c r="B1346" t="s">
        <v>1399</v>
      </c>
      <c r="C1346" t="s">
        <v>1399</v>
      </c>
      <c r="D1346">
        <v>259</v>
      </c>
      <c r="E1346">
        <v>53</v>
      </c>
      <c r="F1346">
        <v>26</v>
      </c>
      <c r="G1346">
        <v>40</v>
      </c>
      <c r="H1346">
        <v>75</v>
      </c>
      <c r="I1346">
        <v>65</v>
      </c>
      <c r="J1346">
        <v>72</v>
      </c>
      <c r="K1346">
        <v>73</v>
      </c>
      <c r="L1346">
        <v>114</v>
      </c>
      <c r="M1346">
        <v>238</v>
      </c>
      <c r="N1346">
        <v>21</v>
      </c>
      <c r="O1346" t="s">
        <v>1465</v>
      </c>
      <c r="P1346" s="1" t="b">
        <f>NOT(OR(Table1[[#This Row],[State]]="Other Foreign Countries", Table1[[#This Row],[State]]="Unknown", Table1[[#This Row],[State]]="Puerto Rico all counties"))</f>
        <v>1</v>
      </c>
    </row>
    <row r="1347" spans="1:16" x14ac:dyDescent="0.25">
      <c r="A1347">
        <v>55049</v>
      </c>
      <c r="B1347" t="s">
        <v>4906</v>
      </c>
      <c r="C1347" t="s">
        <v>1399</v>
      </c>
      <c r="D1347">
        <v>313</v>
      </c>
      <c r="E1347">
        <v>73</v>
      </c>
      <c r="F1347">
        <v>58</v>
      </c>
      <c r="G1347">
        <v>37</v>
      </c>
      <c r="H1347">
        <v>80</v>
      </c>
      <c r="I1347">
        <v>65</v>
      </c>
      <c r="J1347">
        <v>91</v>
      </c>
      <c r="K1347">
        <v>82</v>
      </c>
      <c r="L1347">
        <v>140</v>
      </c>
      <c r="M1347">
        <v>287</v>
      </c>
      <c r="N1347">
        <v>26</v>
      </c>
      <c r="O1347" t="s">
        <v>4940</v>
      </c>
      <c r="P1347" s="1" t="b">
        <f>NOT(OR(Table1[[#This Row],[State]]="Other Foreign Countries", Table1[[#This Row],[State]]="Unknown", Table1[[#This Row],[State]]="Puerto Rico all counties"))</f>
        <v>1</v>
      </c>
    </row>
    <row r="1348" spans="1:16" x14ac:dyDescent="0.25">
      <c r="A1348">
        <v>37097</v>
      </c>
      <c r="B1348" t="s">
        <v>3121</v>
      </c>
      <c r="C1348" t="s">
        <v>3204</v>
      </c>
      <c r="D1348">
        <v>3955</v>
      </c>
      <c r="E1348">
        <v>652</v>
      </c>
      <c r="F1348">
        <v>460</v>
      </c>
      <c r="G1348">
        <v>480</v>
      </c>
      <c r="H1348" s="1">
        <v>1207</v>
      </c>
      <c r="I1348" s="1">
        <v>1156</v>
      </c>
      <c r="J1348" s="1">
        <v>1350</v>
      </c>
      <c r="K1348" s="1">
        <v>1162</v>
      </c>
      <c r="L1348" s="1">
        <v>1443</v>
      </c>
      <c r="M1348" s="1">
        <v>3500</v>
      </c>
      <c r="N1348">
        <v>455</v>
      </c>
      <c r="O1348" t="s">
        <v>3205</v>
      </c>
      <c r="P1348" s="1" t="b">
        <f>NOT(OR(Table1[[#This Row],[State]]="Other Foreign Countries", Table1[[#This Row],[State]]="Unknown", Table1[[#This Row],[State]]="Puerto Rico all counties"))</f>
        <v>1</v>
      </c>
    </row>
    <row r="1349" spans="1:16" x14ac:dyDescent="0.25">
      <c r="A1349">
        <v>48235</v>
      </c>
      <c r="B1349" t="s">
        <v>2654</v>
      </c>
      <c r="C1349" t="s">
        <v>4263</v>
      </c>
      <c r="D1349">
        <v>20</v>
      </c>
      <c r="L1349">
        <v>10</v>
      </c>
      <c r="O1349" t="s">
        <v>4264</v>
      </c>
      <c r="P1349" s="1" t="b">
        <f>NOT(OR(Table1[[#This Row],[State]]="Other Foreign Countries", Table1[[#This Row],[State]]="Unknown", Table1[[#This Row],[State]]="Puerto Rico all counties"))</f>
        <v>1</v>
      </c>
    </row>
    <row r="1350" spans="1:16" x14ac:dyDescent="0.25">
      <c r="A1350">
        <v>26071</v>
      </c>
      <c r="B1350" t="s">
        <v>2099</v>
      </c>
      <c r="C1350" t="s">
        <v>2161</v>
      </c>
      <c r="D1350">
        <v>486</v>
      </c>
      <c r="E1350">
        <v>120</v>
      </c>
      <c r="F1350">
        <v>52</v>
      </c>
      <c r="G1350">
        <v>57</v>
      </c>
      <c r="H1350">
        <v>155</v>
      </c>
      <c r="I1350">
        <v>102</v>
      </c>
      <c r="J1350">
        <v>61</v>
      </c>
      <c r="K1350">
        <v>135</v>
      </c>
      <c r="L1350">
        <v>290</v>
      </c>
      <c r="M1350">
        <v>441</v>
      </c>
      <c r="N1350">
        <v>45</v>
      </c>
      <c r="O1350" t="s">
        <v>2162</v>
      </c>
      <c r="P1350" s="1" t="b">
        <f>NOT(OR(Table1[[#This Row],[State]]="Other Foreign Countries", Table1[[#This Row],[State]]="Unknown", Table1[[#This Row],[State]]="Puerto Rico all counties"))</f>
        <v>1</v>
      </c>
    </row>
    <row r="1351" spans="1:16" x14ac:dyDescent="0.25">
      <c r="A1351">
        <v>29093</v>
      </c>
      <c r="B1351" t="s">
        <v>2510</v>
      </c>
      <c r="C1351" t="s">
        <v>2161</v>
      </c>
      <c r="D1351">
        <v>305</v>
      </c>
      <c r="E1351">
        <v>86</v>
      </c>
      <c r="F1351">
        <v>28</v>
      </c>
      <c r="G1351">
        <v>40</v>
      </c>
      <c r="H1351">
        <v>78</v>
      </c>
      <c r="I1351">
        <v>73</v>
      </c>
      <c r="J1351">
        <v>60</v>
      </c>
      <c r="K1351">
        <v>86</v>
      </c>
      <c r="L1351">
        <v>159</v>
      </c>
      <c r="M1351">
        <v>284</v>
      </c>
      <c r="N1351">
        <v>21</v>
      </c>
      <c r="O1351" t="s">
        <v>2573</v>
      </c>
      <c r="P1351" s="1" t="b">
        <f>NOT(OR(Table1[[#This Row],[State]]="Other Foreign Countries", Table1[[#This Row],[State]]="Unknown", Table1[[#This Row],[State]]="Puerto Rico all counties"))</f>
        <v>1</v>
      </c>
    </row>
    <row r="1352" spans="1:16" x14ac:dyDescent="0.25">
      <c r="A1352">
        <v>49021</v>
      </c>
      <c r="B1352" t="s">
        <v>4486</v>
      </c>
      <c r="C1352" t="s">
        <v>2161</v>
      </c>
      <c r="D1352">
        <v>1393</v>
      </c>
      <c r="E1352">
        <v>258</v>
      </c>
      <c r="F1352">
        <v>161</v>
      </c>
      <c r="G1352">
        <v>157</v>
      </c>
      <c r="H1352">
        <v>435</v>
      </c>
      <c r="I1352">
        <v>382</v>
      </c>
      <c r="J1352">
        <v>562</v>
      </c>
      <c r="K1352">
        <v>311</v>
      </c>
      <c r="L1352">
        <v>520</v>
      </c>
      <c r="M1352" s="1">
        <v>1287</v>
      </c>
      <c r="N1352">
        <v>106</v>
      </c>
      <c r="O1352" t="s">
        <v>4502</v>
      </c>
      <c r="P1352" s="1" t="b">
        <f>NOT(OR(Table1[[#This Row],[State]]="Other Foreign Countries", Table1[[#This Row],[State]]="Unknown", Table1[[#This Row],[State]]="Puerto Rico all counties"))</f>
        <v>1</v>
      </c>
    </row>
    <row r="1353" spans="1:16" x14ac:dyDescent="0.25">
      <c r="A1353">
        <v>55051</v>
      </c>
      <c r="B1353" t="s">
        <v>4906</v>
      </c>
      <c r="C1353" t="s">
        <v>2161</v>
      </c>
      <c r="D1353">
        <v>156</v>
      </c>
      <c r="E1353">
        <v>37</v>
      </c>
      <c r="F1353">
        <v>25</v>
      </c>
      <c r="G1353">
        <v>24</v>
      </c>
      <c r="H1353">
        <v>39</v>
      </c>
      <c r="I1353">
        <v>31</v>
      </c>
      <c r="J1353">
        <v>20</v>
      </c>
      <c r="K1353">
        <v>44</v>
      </c>
      <c r="L1353">
        <v>92</v>
      </c>
      <c r="M1353">
        <v>145</v>
      </c>
      <c r="N1353">
        <v>11</v>
      </c>
      <c r="O1353" t="s">
        <v>4941</v>
      </c>
      <c r="P1353" s="1" t="b">
        <f>NOT(OR(Table1[[#This Row],[State]]="Other Foreign Countries", Table1[[#This Row],[State]]="Unknown", Table1[[#This Row],[State]]="Puerto Rico all counties"))</f>
        <v>1</v>
      </c>
    </row>
    <row r="1354" spans="1:16" x14ac:dyDescent="0.25">
      <c r="A1354">
        <v>17075</v>
      </c>
      <c r="B1354" t="s">
        <v>1109</v>
      </c>
      <c r="C1354" t="s">
        <v>1166</v>
      </c>
      <c r="D1354">
        <v>433</v>
      </c>
      <c r="E1354">
        <v>83</v>
      </c>
      <c r="F1354">
        <v>50</v>
      </c>
      <c r="G1354">
        <v>57</v>
      </c>
      <c r="H1354">
        <v>152</v>
      </c>
      <c r="I1354">
        <v>91</v>
      </c>
      <c r="J1354">
        <v>128</v>
      </c>
      <c r="K1354">
        <v>97</v>
      </c>
      <c r="L1354">
        <v>208</v>
      </c>
      <c r="M1354">
        <v>400</v>
      </c>
      <c r="N1354">
        <v>33</v>
      </c>
      <c r="O1354" t="s">
        <v>1167</v>
      </c>
      <c r="P1354" s="1" t="b">
        <f>NOT(OR(Table1[[#This Row],[State]]="Other Foreign Countries", Table1[[#This Row],[State]]="Unknown", Table1[[#This Row],[State]]="Puerto Rico all counties"))</f>
        <v>1</v>
      </c>
    </row>
    <row r="1355" spans="1:16" x14ac:dyDescent="0.25">
      <c r="A1355">
        <v>13155</v>
      </c>
      <c r="B1355" t="s">
        <v>754</v>
      </c>
      <c r="C1355" t="s">
        <v>887</v>
      </c>
      <c r="D1355">
        <v>175</v>
      </c>
      <c r="E1355">
        <v>36</v>
      </c>
      <c r="F1355">
        <v>16</v>
      </c>
      <c r="G1355">
        <v>15</v>
      </c>
      <c r="H1355">
        <v>64</v>
      </c>
      <c r="I1355">
        <v>44</v>
      </c>
      <c r="J1355">
        <v>39</v>
      </c>
      <c r="K1355">
        <v>66</v>
      </c>
      <c r="L1355">
        <v>70</v>
      </c>
      <c r="M1355">
        <v>158</v>
      </c>
      <c r="N1355">
        <v>17</v>
      </c>
      <c r="O1355" t="s">
        <v>888</v>
      </c>
      <c r="P1355" s="1" t="b">
        <f>NOT(OR(Table1[[#This Row],[State]]="Other Foreign Countries", Table1[[#This Row],[State]]="Unknown", Table1[[#This Row],[State]]="Puerto Rico all counties"))</f>
        <v>1</v>
      </c>
    </row>
    <row r="1356" spans="1:16" x14ac:dyDescent="0.25">
      <c r="A1356">
        <v>26073</v>
      </c>
      <c r="B1356" t="s">
        <v>2099</v>
      </c>
      <c r="C1356" t="s">
        <v>2163</v>
      </c>
      <c r="D1356">
        <v>962</v>
      </c>
      <c r="E1356">
        <v>204</v>
      </c>
      <c r="F1356">
        <v>105</v>
      </c>
      <c r="G1356">
        <v>134</v>
      </c>
      <c r="H1356">
        <v>293</v>
      </c>
      <c r="I1356">
        <v>226</v>
      </c>
      <c r="J1356">
        <v>298</v>
      </c>
      <c r="K1356">
        <v>248</v>
      </c>
      <c r="L1356">
        <v>416</v>
      </c>
      <c r="M1356">
        <v>874</v>
      </c>
      <c r="N1356">
        <v>88</v>
      </c>
      <c r="O1356" t="s">
        <v>2164</v>
      </c>
      <c r="P1356" s="1" t="b">
        <f>NOT(OR(Table1[[#This Row],[State]]="Other Foreign Countries", Table1[[#This Row],[State]]="Unknown", Table1[[#This Row],[State]]="Puerto Rico all counties"))</f>
        <v>1</v>
      </c>
    </row>
    <row r="1357" spans="1:16" x14ac:dyDescent="0.25">
      <c r="A1357">
        <v>27059</v>
      </c>
      <c r="B1357" t="s">
        <v>2245</v>
      </c>
      <c r="C1357" t="s">
        <v>2293</v>
      </c>
      <c r="D1357">
        <v>1209</v>
      </c>
      <c r="E1357">
        <v>502</v>
      </c>
      <c r="F1357">
        <v>147</v>
      </c>
      <c r="G1357">
        <v>105</v>
      </c>
      <c r="H1357">
        <v>238</v>
      </c>
      <c r="I1357">
        <v>217</v>
      </c>
      <c r="J1357">
        <v>279</v>
      </c>
      <c r="K1357">
        <v>277</v>
      </c>
      <c r="L1357">
        <v>653</v>
      </c>
      <c r="M1357" s="1">
        <v>1120</v>
      </c>
      <c r="N1357">
        <v>86</v>
      </c>
      <c r="O1357" t="s">
        <v>2294</v>
      </c>
      <c r="P1357" s="1" t="b">
        <f>NOT(OR(Table1[[#This Row],[State]]="Other Foreign Countries", Table1[[#This Row],[State]]="Unknown", Table1[[#This Row],[State]]="Puerto Rico all counties"))</f>
        <v>1</v>
      </c>
    </row>
    <row r="1358" spans="1:16" x14ac:dyDescent="0.25">
      <c r="A1358">
        <v>53029</v>
      </c>
      <c r="B1358" t="s">
        <v>144</v>
      </c>
      <c r="C1358" t="s">
        <v>4792</v>
      </c>
      <c r="D1358">
        <v>5387</v>
      </c>
      <c r="E1358">
        <v>914</v>
      </c>
      <c r="F1358">
        <v>685</v>
      </c>
      <c r="G1358">
        <v>726</v>
      </c>
      <c r="H1358" s="1">
        <v>1647</v>
      </c>
      <c r="I1358" s="1">
        <v>1415</v>
      </c>
      <c r="J1358" s="1">
        <v>1512</v>
      </c>
      <c r="K1358" s="1">
        <v>2110</v>
      </c>
      <c r="L1358" s="1">
        <v>1765</v>
      </c>
      <c r="M1358" s="1">
        <v>4486</v>
      </c>
      <c r="N1358">
        <v>899</v>
      </c>
      <c r="O1358" t="s">
        <v>4793</v>
      </c>
      <c r="P1358" s="1" t="b">
        <f>NOT(OR(Table1[[#This Row],[State]]="Other Foreign Countries", Table1[[#This Row],[State]]="Unknown", Table1[[#This Row],[State]]="Puerto Rico all counties"))</f>
        <v>1</v>
      </c>
    </row>
    <row r="1359" spans="1:16" x14ac:dyDescent="0.25">
      <c r="A1359">
        <v>51093</v>
      </c>
      <c r="B1359" t="s">
        <v>4555</v>
      </c>
      <c r="C1359" t="s">
        <v>4622</v>
      </c>
      <c r="D1359">
        <v>2412</v>
      </c>
      <c r="E1359">
        <v>337</v>
      </c>
      <c r="F1359">
        <v>231</v>
      </c>
      <c r="G1359">
        <v>264</v>
      </c>
      <c r="H1359">
        <v>696</v>
      </c>
      <c r="I1359">
        <v>884</v>
      </c>
      <c r="J1359">
        <v>572</v>
      </c>
      <c r="K1359" s="1">
        <v>1201</v>
      </c>
      <c r="L1359">
        <v>639</v>
      </c>
      <c r="M1359" s="1">
        <v>1916</v>
      </c>
      <c r="N1359">
        <v>496</v>
      </c>
      <c r="O1359" t="s">
        <v>4623</v>
      </c>
      <c r="P1359" s="1" t="b">
        <f>NOT(OR(Table1[[#This Row],[State]]="Other Foreign Countries", Table1[[#This Row],[State]]="Unknown", Table1[[#This Row],[State]]="Puerto Rico all counties"))</f>
        <v>1</v>
      </c>
    </row>
    <row r="1360" spans="1:16" x14ac:dyDescent="0.25">
      <c r="A1360">
        <v>28055</v>
      </c>
      <c r="B1360" t="s">
        <v>322</v>
      </c>
      <c r="C1360" t="s">
        <v>2432</v>
      </c>
      <c r="D1360">
        <v>18</v>
      </c>
      <c r="O1360" t="s">
        <v>2433</v>
      </c>
      <c r="P1360" s="1" t="b">
        <f>NOT(OR(Table1[[#This Row],[State]]="Other Foreign Countries", Table1[[#This Row],[State]]="Unknown", Table1[[#This Row],[State]]="Puerto Rico all counties"))</f>
        <v>1</v>
      </c>
    </row>
    <row r="1361" spans="1:16" x14ac:dyDescent="0.25">
      <c r="A1361">
        <v>27061</v>
      </c>
      <c r="B1361" t="s">
        <v>2245</v>
      </c>
      <c r="C1361" t="s">
        <v>2295</v>
      </c>
      <c r="D1361">
        <v>1724</v>
      </c>
      <c r="E1361">
        <v>629</v>
      </c>
      <c r="F1361">
        <v>175</v>
      </c>
      <c r="G1361">
        <v>195</v>
      </c>
      <c r="H1361">
        <v>344</v>
      </c>
      <c r="I1361">
        <v>381</v>
      </c>
      <c r="J1361">
        <v>194</v>
      </c>
      <c r="K1361">
        <v>390</v>
      </c>
      <c r="L1361" s="1">
        <v>1140</v>
      </c>
      <c r="M1361" s="1">
        <v>1635</v>
      </c>
      <c r="N1361">
        <v>79</v>
      </c>
      <c r="O1361" t="s">
        <v>2296</v>
      </c>
      <c r="P1361" s="1" t="b">
        <f>NOT(OR(Table1[[#This Row],[State]]="Other Foreign Countries", Table1[[#This Row],[State]]="Unknown", Table1[[#This Row],[State]]="Puerto Rico all counties"))</f>
        <v>1</v>
      </c>
    </row>
    <row r="1362" spans="1:16" x14ac:dyDescent="0.25">
      <c r="A1362">
        <v>28057</v>
      </c>
      <c r="B1362" t="s">
        <v>322</v>
      </c>
      <c r="C1362" t="s">
        <v>2434</v>
      </c>
      <c r="D1362">
        <v>366</v>
      </c>
      <c r="E1362">
        <v>54</v>
      </c>
      <c r="F1362">
        <v>33</v>
      </c>
      <c r="G1362">
        <v>45</v>
      </c>
      <c r="H1362">
        <v>115</v>
      </c>
      <c r="I1362">
        <v>119</v>
      </c>
      <c r="J1362">
        <v>110</v>
      </c>
      <c r="K1362">
        <v>109</v>
      </c>
      <c r="L1362">
        <v>147</v>
      </c>
      <c r="M1362">
        <v>340</v>
      </c>
      <c r="N1362">
        <v>26</v>
      </c>
      <c r="O1362" t="s">
        <v>2435</v>
      </c>
      <c r="P1362" s="1" t="b">
        <f>NOT(OR(Table1[[#This Row],[State]]="Other Foreign Countries", Table1[[#This Row],[State]]="Unknown", Table1[[#This Row],[State]]="Puerto Rico all counties"))</f>
        <v>1</v>
      </c>
    </row>
    <row r="1363" spans="1:16" x14ac:dyDescent="0.25">
      <c r="A1363">
        <v>5065</v>
      </c>
      <c r="B1363" t="s">
        <v>242</v>
      </c>
      <c r="C1363" t="s">
        <v>300</v>
      </c>
      <c r="D1363">
        <v>430</v>
      </c>
      <c r="E1363">
        <v>70</v>
      </c>
      <c r="F1363">
        <v>39</v>
      </c>
      <c r="G1363">
        <v>56</v>
      </c>
      <c r="H1363">
        <v>134</v>
      </c>
      <c r="I1363">
        <v>131</v>
      </c>
      <c r="J1363">
        <v>88</v>
      </c>
      <c r="K1363">
        <v>135</v>
      </c>
      <c r="L1363">
        <v>207</v>
      </c>
      <c r="M1363">
        <v>395</v>
      </c>
      <c r="N1363">
        <v>35</v>
      </c>
      <c r="O1363" t="s">
        <v>301</v>
      </c>
      <c r="P1363" s="1" t="b">
        <f>NOT(OR(Table1[[#This Row],[State]]="Other Foreign Countries", Table1[[#This Row],[State]]="Unknown", Table1[[#This Row],[State]]="Puerto Rico all counties"))</f>
        <v>1</v>
      </c>
    </row>
    <row r="1364" spans="1:16" x14ac:dyDescent="0.25">
      <c r="A1364">
        <v>48237</v>
      </c>
      <c r="B1364" t="s">
        <v>2654</v>
      </c>
      <c r="C1364" t="s">
        <v>4265</v>
      </c>
      <c r="D1364">
        <v>152</v>
      </c>
      <c r="E1364">
        <v>25</v>
      </c>
      <c r="F1364">
        <v>15</v>
      </c>
      <c r="G1364">
        <v>24</v>
      </c>
      <c r="H1364">
        <v>47</v>
      </c>
      <c r="I1364">
        <v>41</v>
      </c>
      <c r="J1364">
        <v>51</v>
      </c>
      <c r="K1364">
        <v>51</v>
      </c>
      <c r="L1364">
        <v>50</v>
      </c>
      <c r="M1364">
        <v>138</v>
      </c>
      <c r="N1364">
        <v>14</v>
      </c>
      <c r="O1364" t="s">
        <v>4266</v>
      </c>
      <c r="P1364" s="1" t="b">
        <f>NOT(OR(Table1[[#This Row],[State]]="Other Foreign Countries", Table1[[#This Row],[State]]="Unknown", Table1[[#This Row],[State]]="Puerto Rico all counties"))</f>
        <v>1</v>
      </c>
    </row>
    <row r="1365" spans="1:16" x14ac:dyDescent="0.25">
      <c r="A1365">
        <v>1071</v>
      </c>
      <c r="B1365" t="s">
        <v>15</v>
      </c>
      <c r="C1365" t="s">
        <v>86</v>
      </c>
      <c r="D1365">
        <v>989</v>
      </c>
      <c r="E1365">
        <v>168</v>
      </c>
      <c r="F1365">
        <v>104</v>
      </c>
      <c r="G1365">
        <v>119</v>
      </c>
      <c r="H1365">
        <v>294</v>
      </c>
      <c r="I1365">
        <v>304</v>
      </c>
      <c r="J1365">
        <v>229</v>
      </c>
      <c r="K1365">
        <v>315</v>
      </c>
      <c r="L1365">
        <v>445</v>
      </c>
      <c r="M1365">
        <v>905</v>
      </c>
      <c r="N1365">
        <v>84</v>
      </c>
      <c r="O1365" t="s">
        <v>87</v>
      </c>
      <c r="P1365" s="1" t="b">
        <f>NOT(OR(Table1[[#This Row],[State]]="Other Foreign Countries", Table1[[#This Row],[State]]="Unknown", Table1[[#This Row],[State]]="Puerto Rico all counties"))</f>
        <v>1</v>
      </c>
    </row>
    <row r="1366" spans="1:16" x14ac:dyDescent="0.25">
      <c r="A1366">
        <v>5067</v>
      </c>
      <c r="B1366" t="s">
        <v>242</v>
      </c>
      <c r="C1366" t="s">
        <v>86</v>
      </c>
      <c r="D1366">
        <v>202</v>
      </c>
      <c r="E1366">
        <v>38</v>
      </c>
      <c r="F1366">
        <v>11</v>
      </c>
      <c r="G1366">
        <v>25</v>
      </c>
      <c r="H1366">
        <v>65</v>
      </c>
      <c r="I1366">
        <v>63</v>
      </c>
      <c r="J1366">
        <v>45</v>
      </c>
      <c r="K1366">
        <v>63</v>
      </c>
      <c r="L1366">
        <v>94</v>
      </c>
      <c r="O1366" t="s">
        <v>302</v>
      </c>
      <c r="P1366" s="1" t="b">
        <f>NOT(OR(Table1[[#This Row],[State]]="Other Foreign Countries", Table1[[#This Row],[State]]="Unknown", Table1[[#This Row],[State]]="Puerto Rico all counties"))</f>
        <v>1</v>
      </c>
    </row>
    <row r="1367" spans="1:16" x14ac:dyDescent="0.25">
      <c r="A1367">
        <v>8057</v>
      </c>
      <c r="B1367" t="s">
        <v>489</v>
      </c>
      <c r="C1367" t="s">
        <v>86</v>
      </c>
      <c r="D1367">
        <v>22</v>
      </c>
      <c r="O1367" t="s">
        <v>548</v>
      </c>
      <c r="P1367" s="1" t="b">
        <f>NOT(OR(Table1[[#This Row],[State]]="Other Foreign Countries", Table1[[#This Row],[State]]="Unknown", Table1[[#This Row],[State]]="Puerto Rico all counties"))</f>
        <v>1</v>
      </c>
    </row>
    <row r="1368" spans="1:16" x14ac:dyDescent="0.25">
      <c r="A1368">
        <v>12063</v>
      </c>
      <c r="B1368" t="s">
        <v>637</v>
      </c>
      <c r="C1368" t="s">
        <v>86</v>
      </c>
      <c r="D1368">
        <v>1489</v>
      </c>
      <c r="E1368">
        <v>217</v>
      </c>
      <c r="F1368">
        <v>158</v>
      </c>
      <c r="G1368">
        <v>193</v>
      </c>
      <c r="H1368">
        <v>471</v>
      </c>
      <c r="I1368">
        <v>450</v>
      </c>
      <c r="J1368">
        <v>289</v>
      </c>
      <c r="K1368">
        <v>498</v>
      </c>
      <c r="L1368">
        <v>702</v>
      </c>
      <c r="M1368" s="1">
        <v>1329</v>
      </c>
      <c r="N1368">
        <v>160</v>
      </c>
      <c r="O1368" t="s">
        <v>693</v>
      </c>
      <c r="P1368" s="1" t="b">
        <f>NOT(OR(Table1[[#This Row],[State]]="Other Foreign Countries", Table1[[#This Row],[State]]="Unknown", Table1[[#This Row],[State]]="Puerto Rico all counties"))</f>
        <v>1</v>
      </c>
    </row>
    <row r="1369" spans="1:16" x14ac:dyDescent="0.25">
      <c r="A1369">
        <v>13157</v>
      </c>
      <c r="B1369" t="s">
        <v>754</v>
      </c>
      <c r="C1369" t="s">
        <v>86</v>
      </c>
      <c r="D1369">
        <v>1742</v>
      </c>
      <c r="E1369">
        <v>336</v>
      </c>
      <c r="F1369">
        <v>187</v>
      </c>
      <c r="G1369">
        <v>181</v>
      </c>
      <c r="H1369">
        <v>514</v>
      </c>
      <c r="I1369">
        <v>524</v>
      </c>
      <c r="J1369">
        <v>611</v>
      </c>
      <c r="K1369">
        <v>543</v>
      </c>
      <c r="L1369">
        <v>588</v>
      </c>
      <c r="M1369" s="1">
        <v>1554</v>
      </c>
      <c r="N1369">
        <v>188</v>
      </c>
      <c r="O1369" t="s">
        <v>889</v>
      </c>
      <c r="P1369" s="1" t="b">
        <f>NOT(OR(Table1[[#This Row],[State]]="Other Foreign Countries", Table1[[#This Row],[State]]="Unknown", Table1[[#This Row],[State]]="Puerto Rico all counties"))</f>
        <v>1</v>
      </c>
    </row>
    <row r="1370" spans="1:16" x14ac:dyDescent="0.25">
      <c r="A1370">
        <v>17077</v>
      </c>
      <c r="B1370" t="s">
        <v>1109</v>
      </c>
      <c r="C1370" t="s">
        <v>86</v>
      </c>
      <c r="D1370">
        <v>1021</v>
      </c>
      <c r="E1370">
        <v>220</v>
      </c>
      <c r="F1370">
        <v>107</v>
      </c>
      <c r="G1370">
        <v>130</v>
      </c>
      <c r="H1370">
        <v>340</v>
      </c>
      <c r="I1370">
        <v>224</v>
      </c>
      <c r="J1370">
        <v>305</v>
      </c>
      <c r="K1370">
        <v>330</v>
      </c>
      <c r="L1370">
        <v>386</v>
      </c>
      <c r="M1370">
        <v>898</v>
      </c>
      <c r="N1370">
        <v>123</v>
      </c>
      <c r="O1370" t="s">
        <v>1168</v>
      </c>
      <c r="P1370" s="1" t="b">
        <f>NOT(OR(Table1[[#This Row],[State]]="Other Foreign Countries", Table1[[#This Row],[State]]="Unknown", Table1[[#This Row],[State]]="Puerto Rico all counties"))</f>
        <v>1</v>
      </c>
    </row>
    <row r="1371" spans="1:16" x14ac:dyDescent="0.25">
      <c r="A1371">
        <v>18071</v>
      </c>
      <c r="B1371" t="s">
        <v>1266</v>
      </c>
      <c r="C1371" t="s">
        <v>86</v>
      </c>
      <c r="D1371">
        <v>631</v>
      </c>
      <c r="E1371">
        <v>189</v>
      </c>
      <c r="F1371">
        <v>89</v>
      </c>
      <c r="G1371">
        <v>86</v>
      </c>
      <c r="H1371">
        <v>167</v>
      </c>
      <c r="I1371">
        <v>100</v>
      </c>
      <c r="J1371">
        <v>145</v>
      </c>
      <c r="K1371">
        <v>217</v>
      </c>
      <c r="L1371">
        <v>269</v>
      </c>
      <c r="M1371">
        <v>597</v>
      </c>
      <c r="N1371">
        <v>34</v>
      </c>
      <c r="O1371" t="s">
        <v>1314</v>
      </c>
      <c r="P1371" s="1" t="b">
        <f>NOT(OR(Table1[[#This Row],[State]]="Other Foreign Countries", Table1[[#This Row],[State]]="Unknown", Table1[[#This Row],[State]]="Puerto Rico all counties"))</f>
        <v>1</v>
      </c>
    </row>
    <row r="1372" spans="1:16" x14ac:dyDescent="0.25">
      <c r="A1372">
        <v>19097</v>
      </c>
      <c r="B1372" t="s">
        <v>1399</v>
      </c>
      <c r="C1372" t="s">
        <v>86</v>
      </c>
      <c r="D1372">
        <v>372</v>
      </c>
      <c r="E1372">
        <v>89</v>
      </c>
      <c r="F1372">
        <v>48</v>
      </c>
      <c r="G1372">
        <v>56</v>
      </c>
      <c r="H1372">
        <v>92</v>
      </c>
      <c r="I1372">
        <v>87</v>
      </c>
      <c r="J1372">
        <v>68</v>
      </c>
      <c r="K1372">
        <v>116</v>
      </c>
      <c r="L1372">
        <v>188</v>
      </c>
      <c r="M1372">
        <v>352</v>
      </c>
      <c r="N1372">
        <v>20</v>
      </c>
      <c r="O1372" t="s">
        <v>1466</v>
      </c>
      <c r="P1372" s="1" t="b">
        <f>NOT(OR(Table1[[#This Row],[State]]="Other Foreign Countries", Table1[[#This Row],[State]]="Unknown", Table1[[#This Row],[State]]="Puerto Rico all counties"))</f>
        <v>1</v>
      </c>
    </row>
    <row r="1373" spans="1:16" x14ac:dyDescent="0.25">
      <c r="A1373">
        <v>20085</v>
      </c>
      <c r="B1373" t="s">
        <v>1543</v>
      </c>
      <c r="C1373" t="s">
        <v>86</v>
      </c>
      <c r="D1373">
        <v>324</v>
      </c>
      <c r="E1373">
        <v>59</v>
      </c>
      <c r="F1373">
        <v>42</v>
      </c>
      <c r="G1373">
        <v>42</v>
      </c>
      <c r="H1373">
        <v>100</v>
      </c>
      <c r="I1373">
        <v>81</v>
      </c>
      <c r="J1373">
        <v>74</v>
      </c>
      <c r="K1373">
        <v>97</v>
      </c>
      <c r="L1373">
        <v>153</v>
      </c>
      <c r="M1373">
        <v>293</v>
      </c>
      <c r="N1373">
        <v>31</v>
      </c>
      <c r="O1373" t="s">
        <v>1611</v>
      </c>
      <c r="P1373" s="1" t="b">
        <f>NOT(OR(Table1[[#This Row],[State]]="Other Foreign Countries", Table1[[#This Row],[State]]="Unknown", Table1[[#This Row],[State]]="Puerto Rico all counties"))</f>
        <v>1</v>
      </c>
    </row>
    <row r="1374" spans="1:16" x14ac:dyDescent="0.25">
      <c r="A1374">
        <v>21109</v>
      </c>
      <c r="B1374" t="s">
        <v>1716</v>
      </c>
      <c r="C1374" t="s">
        <v>86</v>
      </c>
      <c r="D1374">
        <v>193</v>
      </c>
      <c r="E1374">
        <v>25</v>
      </c>
      <c r="F1374">
        <v>21</v>
      </c>
      <c r="G1374">
        <v>35</v>
      </c>
      <c r="H1374">
        <v>52</v>
      </c>
      <c r="I1374">
        <v>60</v>
      </c>
      <c r="J1374">
        <v>49</v>
      </c>
      <c r="K1374">
        <v>62</v>
      </c>
      <c r="L1374">
        <v>82</v>
      </c>
      <c r="M1374">
        <v>175</v>
      </c>
      <c r="N1374">
        <v>18</v>
      </c>
      <c r="O1374" t="s">
        <v>1799</v>
      </c>
      <c r="P1374" s="1" t="b">
        <f>NOT(OR(Table1[[#This Row],[State]]="Other Foreign Countries", Table1[[#This Row],[State]]="Unknown", Table1[[#This Row],[State]]="Puerto Rico all counties"))</f>
        <v>1</v>
      </c>
    </row>
    <row r="1375" spans="1:16" x14ac:dyDescent="0.25">
      <c r="A1375">
        <v>22049</v>
      </c>
      <c r="B1375" t="s">
        <v>1892</v>
      </c>
      <c r="C1375" t="s">
        <v>86</v>
      </c>
      <c r="D1375">
        <v>255</v>
      </c>
      <c r="E1375">
        <v>38</v>
      </c>
      <c r="F1375">
        <v>36</v>
      </c>
      <c r="G1375">
        <v>25</v>
      </c>
      <c r="H1375">
        <v>78</v>
      </c>
      <c r="I1375">
        <v>78</v>
      </c>
      <c r="J1375">
        <v>43</v>
      </c>
      <c r="K1375">
        <v>99</v>
      </c>
      <c r="L1375">
        <v>113</v>
      </c>
      <c r="M1375">
        <v>230</v>
      </c>
      <c r="N1375">
        <v>25</v>
      </c>
      <c r="O1375" t="s">
        <v>1937</v>
      </c>
      <c r="P1375" s="1" t="b">
        <f>NOT(OR(Table1[[#This Row],[State]]="Other Foreign Countries", Table1[[#This Row],[State]]="Unknown", Table1[[#This Row],[State]]="Puerto Rico all counties"))</f>
        <v>1</v>
      </c>
    </row>
    <row r="1376" spans="1:16" x14ac:dyDescent="0.25">
      <c r="A1376">
        <v>26075</v>
      </c>
      <c r="B1376" t="s">
        <v>2099</v>
      </c>
      <c r="C1376" t="s">
        <v>86</v>
      </c>
      <c r="D1376">
        <v>2406</v>
      </c>
      <c r="E1376">
        <v>573</v>
      </c>
      <c r="F1376">
        <v>289</v>
      </c>
      <c r="G1376">
        <v>302</v>
      </c>
      <c r="H1376">
        <v>721</v>
      </c>
      <c r="I1376">
        <v>521</v>
      </c>
      <c r="J1376">
        <v>660</v>
      </c>
      <c r="K1376">
        <v>728</v>
      </c>
      <c r="L1376" s="1">
        <v>1018</v>
      </c>
      <c r="M1376" s="1">
        <v>2178</v>
      </c>
      <c r="N1376">
        <v>228</v>
      </c>
      <c r="O1376" t="s">
        <v>2165</v>
      </c>
      <c r="P1376" s="1" t="b">
        <f>NOT(OR(Table1[[#This Row],[State]]="Other Foreign Countries", Table1[[#This Row],[State]]="Unknown", Table1[[#This Row],[State]]="Puerto Rico all counties"))</f>
        <v>1</v>
      </c>
    </row>
    <row r="1377" spans="1:16" x14ac:dyDescent="0.25">
      <c r="A1377">
        <v>27063</v>
      </c>
      <c r="B1377" t="s">
        <v>2245</v>
      </c>
      <c r="C1377" t="s">
        <v>86</v>
      </c>
      <c r="D1377">
        <v>163</v>
      </c>
      <c r="E1377">
        <v>55</v>
      </c>
      <c r="F1377">
        <v>19</v>
      </c>
      <c r="G1377">
        <v>18</v>
      </c>
      <c r="H1377">
        <v>35</v>
      </c>
      <c r="I1377">
        <v>36</v>
      </c>
      <c r="J1377">
        <v>26</v>
      </c>
      <c r="K1377">
        <v>44</v>
      </c>
      <c r="L1377">
        <v>93</v>
      </c>
      <c r="M1377">
        <v>150</v>
      </c>
      <c r="N1377">
        <v>13</v>
      </c>
      <c r="O1377" t="s">
        <v>2297</v>
      </c>
      <c r="P1377" s="1" t="b">
        <f>NOT(OR(Table1[[#This Row],[State]]="Other Foreign Countries", Table1[[#This Row],[State]]="Unknown", Table1[[#This Row],[State]]="Puerto Rico all counties"))</f>
        <v>1</v>
      </c>
    </row>
    <row r="1378" spans="1:16" x14ac:dyDescent="0.25">
      <c r="A1378">
        <v>28059</v>
      </c>
      <c r="B1378" t="s">
        <v>322</v>
      </c>
      <c r="C1378" t="s">
        <v>86</v>
      </c>
      <c r="D1378">
        <v>5418</v>
      </c>
      <c r="E1378">
        <v>883</v>
      </c>
      <c r="F1378">
        <v>555</v>
      </c>
      <c r="G1378">
        <v>637</v>
      </c>
      <c r="H1378" s="1">
        <v>1699</v>
      </c>
      <c r="I1378" s="1">
        <v>1644</v>
      </c>
      <c r="J1378" s="1">
        <v>1343</v>
      </c>
      <c r="K1378" s="1">
        <v>2242</v>
      </c>
      <c r="L1378" s="1">
        <v>1833</v>
      </c>
      <c r="M1378" s="1">
        <v>4563</v>
      </c>
      <c r="N1378">
        <v>855</v>
      </c>
      <c r="O1378" t="s">
        <v>2436</v>
      </c>
      <c r="P1378" s="1" t="b">
        <f>NOT(OR(Table1[[#This Row],[State]]="Other Foreign Countries", Table1[[#This Row],[State]]="Unknown", Table1[[#This Row],[State]]="Puerto Rico all counties"))</f>
        <v>1</v>
      </c>
    </row>
    <row r="1379" spans="1:16" x14ac:dyDescent="0.25">
      <c r="A1379">
        <v>29095</v>
      </c>
      <c r="B1379" t="s">
        <v>2510</v>
      </c>
      <c r="C1379" t="s">
        <v>86</v>
      </c>
      <c r="D1379">
        <v>11274</v>
      </c>
      <c r="E1379" s="1">
        <v>2382</v>
      </c>
      <c r="F1379" s="1">
        <v>1277</v>
      </c>
      <c r="G1379" s="1">
        <v>1351</v>
      </c>
      <c r="H1379" s="1">
        <v>3609</v>
      </c>
      <c r="I1379" s="1">
        <v>2655</v>
      </c>
      <c r="J1379" s="1">
        <v>3488</v>
      </c>
      <c r="K1379" s="1">
        <v>3345</v>
      </c>
      <c r="L1379" s="1">
        <v>4440</v>
      </c>
      <c r="M1379" s="1">
        <v>9925</v>
      </c>
      <c r="N1379" s="1">
        <v>1347</v>
      </c>
      <c r="O1379" t="s">
        <v>2574</v>
      </c>
      <c r="P1379" s="1" t="b">
        <f>NOT(OR(Table1[[#This Row],[State]]="Other Foreign Countries", Table1[[#This Row],[State]]="Unknown", Table1[[#This Row],[State]]="Puerto Rico all counties"))</f>
        <v>1</v>
      </c>
    </row>
    <row r="1380" spans="1:16" x14ac:dyDescent="0.25">
      <c r="A1380">
        <v>37099</v>
      </c>
      <c r="B1380" t="s">
        <v>3121</v>
      </c>
      <c r="C1380" t="s">
        <v>86</v>
      </c>
      <c r="D1380">
        <v>830</v>
      </c>
      <c r="E1380">
        <v>220</v>
      </c>
      <c r="F1380">
        <v>96</v>
      </c>
      <c r="G1380">
        <v>115</v>
      </c>
      <c r="H1380">
        <v>243</v>
      </c>
      <c r="I1380">
        <v>156</v>
      </c>
      <c r="J1380">
        <v>170</v>
      </c>
      <c r="K1380">
        <v>223</v>
      </c>
      <c r="L1380">
        <v>437</v>
      </c>
      <c r="M1380">
        <v>751</v>
      </c>
      <c r="N1380">
        <v>79</v>
      </c>
      <c r="O1380" t="s">
        <v>3206</v>
      </c>
      <c r="P1380" s="1" t="b">
        <f>NOT(OR(Table1[[#This Row],[State]]="Other Foreign Countries", Table1[[#This Row],[State]]="Unknown", Table1[[#This Row],[State]]="Puerto Rico all counties"))</f>
        <v>1</v>
      </c>
    </row>
    <row r="1381" spans="1:16" x14ac:dyDescent="0.25">
      <c r="A1381">
        <v>39079</v>
      </c>
      <c r="B1381" t="s">
        <v>1343</v>
      </c>
      <c r="C1381" t="s">
        <v>86</v>
      </c>
      <c r="D1381">
        <v>811</v>
      </c>
      <c r="E1381">
        <v>185</v>
      </c>
      <c r="F1381">
        <v>86</v>
      </c>
      <c r="G1381">
        <v>115</v>
      </c>
      <c r="H1381">
        <v>234</v>
      </c>
      <c r="I1381">
        <v>191</v>
      </c>
      <c r="J1381">
        <v>183</v>
      </c>
      <c r="K1381">
        <v>241</v>
      </c>
      <c r="L1381">
        <v>387</v>
      </c>
      <c r="M1381">
        <v>755</v>
      </c>
      <c r="N1381">
        <v>55</v>
      </c>
      <c r="O1381" t="s">
        <v>3427</v>
      </c>
      <c r="P1381" s="1" t="b">
        <f>NOT(OR(Table1[[#This Row],[State]]="Other Foreign Countries", Table1[[#This Row],[State]]="Unknown", Table1[[#This Row],[State]]="Puerto Rico all counties"))</f>
        <v>1</v>
      </c>
    </row>
    <row r="1382" spans="1:16" x14ac:dyDescent="0.25">
      <c r="A1382">
        <v>40065</v>
      </c>
      <c r="B1382" t="s">
        <v>3495</v>
      </c>
      <c r="C1382" t="s">
        <v>86</v>
      </c>
      <c r="D1382">
        <v>1559</v>
      </c>
      <c r="E1382">
        <v>238</v>
      </c>
      <c r="F1382">
        <v>175</v>
      </c>
      <c r="G1382">
        <v>207</v>
      </c>
      <c r="H1382">
        <v>475</v>
      </c>
      <c r="I1382">
        <v>464</v>
      </c>
      <c r="J1382">
        <v>461</v>
      </c>
      <c r="K1382">
        <v>559</v>
      </c>
      <c r="L1382">
        <v>539</v>
      </c>
      <c r="M1382" s="1">
        <v>1356</v>
      </c>
      <c r="N1382">
        <v>203</v>
      </c>
      <c r="O1382" t="s">
        <v>3543</v>
      </c>
      <c r="P1382" s="1" t="b">
        <f>NOT(OR(Table1[[#This Row],[State]]="Other Foreign Countries", Table1[[#This Row],[State]]="Unknown", Table1[[#This Row],[State]]="Puerto Rico all counties"))</f>
        <v>1</v>
      </c>
    </row>
    <row r="1383" spans="1:16" x14ac:dyDescent="0.25">
      <c r="A1383">
        <v>41029</v>
      </c>
      <c r="B1383" t="s">
        <v>2607</v>
      </c>
      <c r="C1383" t="s">
        <v>86</v>
      </c>
      <c r="D1383">
        <v>6350</v>
      </c>
      <c r="E1383" s="1">
        <v>1435</v>
      </c>
      <c r="F1383">
        <v>744</v>
      </c>
      <c r="G1383">
        <v>785</v>
      </c>
      <c r="H1383" s="1">
        <v>1910</v>
      </c>
      <c r="I1383" s="1">
        <v>1476</v>
      </c>
      <c r="J1383" s="1">
        <v>1427</v>
      </c>
      <c r="K1383" s="1">
        <v>1817</v>
      </c>
      <c r="L1383" s="1">
        <v>3106</v>
      </c>
      <c r="M1383" s="1">
        <v>5750</v>
      </c>
      <c r="N1383">
        <v>600</v>
      </c>
      <c r="O1383" t="s">
        <v>3634</v>
      </c>
      <c r="P1383" s="1" t="b">
        <f>NOT(OR(Table1[[#This Row],[State]]="Other Foreign Countries", Table1[[#This Row],[State]]="Unknown", Table1[[#This Row],[State]]="Puerto Rico all counties"))</f>
        <v>1</v>
      </c>
    </row>
    <row r="1384" spans="1:16" x14ac:dyDescent="0.25">
      <c r="A1384">
        <v>46071</v>
      </c>
      <c r="B1384" t="s">
        <v>3846</v>
      </c>
      <c r="C1384" t="s">
        <v>86</v>
      </c>
      <c r="D1384">
        <v>21</v>
      </c>
      <c r="O1384" t="s">
        <v>3901</v>
      </c>
      <c r="P1384" s="1" t="b">
        <f>NOT(OR(Table1[[#This Row],[State]]="Other Foreign Countries", Table1[[#This Row],[State]]="Unknown", Table1[[#This Row],[State]]="Puerto Rico all counties"))</f>
        <v>1</v>
      </c>
    </row>
    <row r="1385" spans="1:16" x14ac:dyDescent="0.25">
      <c r="A1385">
        <v>47087</v>
      </c>
      <c r="B1385" t="s">
        <v>3951</v>
      </c>
      <c r="C1385" t="s">
        <v>86</v>
      </c>
      <c r="D1385">
        <v>345</v>
      </c>
      <c r="E1385">
        <v>62</v>
      </c>
      <c r="F1385">
        <v>39</v>
      </c>
      <c r="G1385">
        <v>35</v>
      </c>
      <c r="H1385">
        <v>115</v>
      </c>
      <c r="I1385">
        <v>94</v>
      </c>
      <c r="J1385">
        <v>80</v>
      </c>
      <c r="K1385">
        <v>120</v>
      </c>
      <c r="L1385">
        <v>145</v>
      </c>
      <c r="M1385">
        <v>309</v>
      </c>
      <c r="N1385">
        <v>36</v>
      </c>
      <c r="O1385" t="s">
        <v>4008</v>
      </c>
      <c r="P1385" s="1" t="b">
        <f>NOT(OR(Table1[[#This Row],[State]]="Other Foreign Countries", Table1[[#This Row],[State]]="Unknown", Table1[[#This Row],[State]]="Puerto Rico all counties"))</f>
        <v>1</v>
      </c>
    </row>
    <row r="1386" spans="1:16" x14ac:dyDescent="0.25">
      <c r="A1386">
        <v>48239</v>
      </c>
      <c r="B1386" t="s">
        <v>2654</v>
      </c>
      <c r="C1386" t="s">
        <v>86</v>
      </c>
      <c r="D1386">
        <v>317</v>
      </c>
      <c r="E1386">
        <v>67</v>
      </c>
      <c r="F1386">
        <v>29</v>
      </c>
      <c r="G1386">
        <v>40</v>
      </c>
      <c r="H1386">
        <v>112</v>
      </c>
      <c r="I1386">
        <v>69</v>
      </c>
      <c r="J1386">
        <v>91</v>
      </c>
      <c r="K1386">
        <v>88</v>
      </c>
      <c r="L1386">
        <v>138</v>
      </c>
      <c r="M1386">
        <v>291</v>
      </c>
      <c r="N1386">
        <v>26</v>
      </c>
      <c r="O1386" t="s">
        <v>4267</v>
      </c>
      <c r="P1386" s="1" t="b">
        <f>NOT(OR(Table1[[#This Row],[State]]="Other Foreign Countries", Table1[[#This Row],[State]]="Unknown", Table1[[#This Row],[State]]="Puerto Rico all counties"))</f>
        <v>1</v>
      </c>
    </row>
    <row r="1387" spans="1:16" x14ac:dyDescent="0.25">
      <c r="A1387">
        <v>54035</v>
      </c>
      <c r="B1387" t="s">
        <v>4833</v>
      </c>
      <c r="C1387" t="s">
        <v>86</v>
      </c>
      <c r="D1387">
        <v>657</v>
      </c>
      <c r="E1387">
        <v>120</v>
      </c>
      <c r="F1387">
        <v>56</v>
      </c>
      <c r="G1387">
        <v>75</v>
      </c>
      <c r="H1387">
        <v>227</v>
      </c>
      <c r="I1387">
        <v>179</v>
      </c>
      <c r="J1387">
        <v>125</v>
      </c>
      <c r="K1387">
        <v>224</v>
      </c>
      <c r="L1387">
        <v>308</v>
      </c>
      <c r="M1387">
        <v>609</v>
      </c>
      <c r="N1387">
        <v>48</v>
      </c>
      <c r="O1387" t="s">
        <v>4857</v>
      </c>
      <c r="P1387" s="1" t="b">
        <f>NOT(OR(Table1[[#This Row],[State]]="Other Foreign Countries", Table1[[#This Row],[State]]="Unknown", Table1[[#This Row],[State]]="Puerto Rico all counties"))</f>
        <v>1</v>
      </c>
    </row>
    <row r="1388" spans="1:16" x14ac:dyDescent="0.25">
      <c r="A1388">
        <v>55053</v>
      </c>
      <c r="B1388" t="s">
        <v>4906</v>
      </c>
      <c r="C1388" t="s">
        <v>86</v>
      </c>
      <c r="D1388">
        <v>652</v>
      </c>
      <c r="E1388">
        <v>175</v>
      </c>
      <c r="F1388">
        <v>74</v>
      </c>
      <c r="G1388">
        <v>85</v>
      </c>
      <c r="H1388">
        <v>180</v>
      </c>
      <c r="I1388">
        <v>138</v>
      </c>
      <c r="J1388">
        <v>122</v>
      </c>
      <c r="K1388">
        <v>227</v>
      </c>
      <c r="L1388">
        <v>303</v>
      </c>
      <c r="M1388">
        <v>582</v>
      </c>
      <c r="N1388">
        <v>70</v>
      </c>
      <c r="O1388" t="s">
        <v>4942</v>
      </c>
      <c r="P1388" s="1" t="b">
        <f>NOT(OR(Table1[[#This Row],[State]]="Other Foreign Countries", Table1[[#This Row],[State]]="Unknown", Table1[[#This Row],[State]]="Puerto Rico all counties"))</f>
        <v>1</v>
      </c>
    </row>
    <row r="1389" spans="1:16" x14ac:dyDescent="0.25">
      <c r="A1389">
        <v>51095</v>
      </c>
      <c r="B1389" t="s">
        <v>4555</v>
      </c>
      <c r="C1389" t="s">
        <v>4624</v>
      </c>
      <c r="D1389">
        <v>3998</v>
      </c>
      <c r="E1389">
        <v>613</v>
      </c>
      <c r="F1389">
        <v>441</v>
      </c>
      <c r="G1389">
        <v>473</v>
      </c>
      <c r="H1389" s="1">
        <v>1043</v>
      </c>
      <c r="I1389" s="1">
        <v>1428</v>
      </c>
      <c r="J1389">
        <v>805</v>
      </c>
      <c r="K1389" s="1">
        <v>1735</v>
      </c>
      <c r="L1389" s="1">
        <v>1458</v>
      </c>
      <c r="M1389" s="1">
        <v>3396</v>
      </c>
      <c r="N1389">
        <v>602</v>
      </c>
      <c r="O1389" t="s">
        <v>4625</v>
      </c>
      <c r="P1389" s="1" t="b">
        <f>NOT(OR(Table1[[#This Row],[State]]="Other Foreign Countries", Table1[[#This Row],[State]]="Unknown", Table1[[#This Row],[State]]="Puerto Rico all counties"))</f>
        <v>1</v>
      </c>
    </row>
    <row r="1390" spans="1:16" x14ac:dyDescent="0.25">
      <c r="A1390">
        <v>13159</v>
      </c>
      <c r="B1390" t="s">
        <v>754</v>
      </c>
      <c r="C1390" t="s">
        <v>890</v>
      </c>
      <c r="D1390">
        <v>311</v>
      </c>
      <c r="E1390">
        <v>70</v>
      </c>
      <c r="F1390">
        <v>24</v>
      </c>
      <c r="G1390">
        <v>29</v>
      </c>
      <c r="H1390">
        <v>107</v>
      </c>
      <c r="I1390">
        <v>81</v>
      </c>
      <c r="J1390">
        <v>77</v>
      </c>
      <c r="K1390">
        <v>95</v>
      </c>
      <c r="L1390">
        <v>139</v>
      </c>
      <c r="M1390">
        <v>278</v>
      </c>
      <c r="N1390">
        <v>33</v>
      </c>
      <c r="O1390" t="s">
        <v>891</v>
      </c>
      <c r="P1390" s="1" t="b">
        <f>NOT(OR(Table1[[#This Row],[State]]="Other Foreign Countries", Table1[[#This Row],[State]]="Unknown", Table1[[#This Row],[State]]="Puerto Rico all counties"))</f>
        <v>1</v>
      </c>
    </row>
    <row r="1391" spans="1:16" x14ac:dyDescent="0.25">
      <c r="A1391">
        <v>17079</v>
      </c>
      <c r="B1391" t="s">
        <v>1109</v>
      </c>
      <c r="C1391" t="s">
        <v>890</v>
      </c>
      <c r="D1391">
        <v>112</v>
      </c>
      <c r="E1391">
        <v>22</v>
      </c>
      <c r="F1391">
        <v>13</v>
      </c>
      <c r="G1391">
        <v>16</v>
      </c>
      <c r="H1391">
        <v>40</v>
      </c>
      <c r="I1391">
        <v>21</v>
      </c>
      <c r="J1391">
        <v>33</v>
      </c>
      <c r="K1391">
        <v>26</v>
      </c>
      <c r="L1391">
        <v>53</v>
      </c>
      <c r="O1391" t="s">
        <v>1169</v>
      </c>
      <c r="P1391" s="1" t="b">
        <f>NOT(OR(Table1[[#This Row],[State]]="Other Foreign Countries", Table1[[#This Row],[State]]="Unknown", Table1[[#This Row],[State]]="Puerto Rico all counties"))</f>
        <v>1</v>
      </c>
    </row>
    <row r="1392" spans="1:16" x14ac:dyDescent="0.25">
      <c r="A1392">
        <v>18073</v>
      </c>
      <c r="B1392" t="s">
        <v>1266</v>
      </c>
      <c r="C1392" t="s">
        <v>890</v>
      </c>
      <c r="D1392">
        <v>579</v>
      </c>
      <c r="E1392">
        <v>169</v>
      </c>
      <c r="F1392">
        <v>67</v>
      </c>
      <c r="G1392">
        <v>75</v>
      </c>
      <c r="H1392">
        <v>153</v>
      </c>
      <c r="I1392">
        <v>115</v>
      </c>
      <c r="J1392">
        <v>142</v>
      </c>
      <c r="K1392">
        <v>163</v>
      </c>
      <c r="L1392">
        <v>274</v>
      </c>
      <c r="M1392">
        <v>545</v>
      </c>
      <c r="N1392">
        <v>34</v>
      </c>
      <c r="O1392" t="s">
        <v>1315</v>
      </c>
      <c r="P1392" s="1" t="b">
        <f>NOT(OR(Table1[[#This Row],[State]]="Other Foreign Countries", Table1[[#This Row],[State]]="Unknown", Table1[[#This Row],[State]]="Puerto Rico all counties"))</f>
        <v>1</v>
      </c>
    </row>
    <row r="1393" spans="1:16" x14ac:dyDescent="0.25">
      <c r="A1393">
        <v>19099</v>
      </c>
      <c r="B1393" t="s">
        <v>1399</v>
      </c>
      <c r="C1393" t="s">
        <v>890</v>
      </c>
      <c r="D1393">
        <v>750</v>
      </c>
      <c r="E1393">
        <v>221</v>
      </c>
      <c r="F1393">
        <v>85</v>
      </c>
      <c r="G1393">
        <v>118</v>
      </c>
      <c r="H1393">
        <v>194</v>
      </c>
      <c r="I1393">
        <v>132</v>
      </c>
      <c r="J1393">
        <v>162</v>
      </c>
      <c r="K1393">
        <v>231</v>
      </c>
      <c r="L1393">
        <v>357</v>
      </c>
      <c r="M1393">
        <v>685</v>
      </c>
      <c r="N1393">
        <v>65</v>
      </c>
      <c r="O1393" t="s">
        <v>1467</v>
      </c>
      <c r="P1393" s="1" t="b">
        <f>NOT(OR(Table1[[#This Row],[State]]="Other Foreign Countries", Table1[[#This Row],[State]]="Unknown", Table1[[#This Row],[State]]="Puerto Rico all counties"))</f>
        <v>1</v>
      </c>
    </row>
    <row r="1394" spans="1:16" x14ac:dyDescent="0.25">
      <c r="A1394">
        <v>28061</v>
      </c>
      <c r="B1394" t="s">
        <v>322</v>
      </c>
      <c r="C1394" t="s">
        <v>890</v>
      </c>
      <c r="D1394">
        <v>345</v>
      </c>
      <c r="E1394">
        <v>54</v>
      </c>
      <c r="F1394">
        <v>31</v>
      </c>
      <c r="G1394">
        <v>40</v>
      </c>
      <c r="H1394">
        <v>117</v>
      </c>
      <c r="I1394">
        <v>103</v>
      </c>
      <c r="J1394">
        <v>55</v>
      </c>
      <c r="K1394">
        <v>125</v>
      </c>
      <c r="L1394">
        <v>165</v>
      </c>
      <c r="M1394">
        <v>309</v>
      </c>
      <c r="N1394">
        <v>36</v>
      </c>
      <c r="O1394" t="s">
        <v>2437</v>
      </c>
      <c r="P1394" s="1" t="b">
        <f>NOT(OR(Table1[[#This Row],[State]]="Other Foreign Countries", Table1[[#This Row],[State]]="Unknown", Table1[[#This Row],[State]]="Puerto Rico all counties"))</f>
        <v>1</v>
      </c>
    </row>
    <row r="1395" spans="1:16" x14ac:dyDescent="0.25">
      <c r="A1395">
        <v>29097</v>
      </c>
      <c r="B1395" t="s">
        <v>2510</v>
      </c>
      <c r="C1395" t="s">
        <v>890</v>
      </c>
      <c r="D1395">
        <v>2175</v>
      </c>
      <c r="E1395">
        <v>461</v>
      </c>
      <c r="F1395">
        <v>278</v>
      </c>
      <c r="G1395">
        <v>282</v>
      </c>
      <c r="H1395">
        <v>670</v>
      </c>
      <c r="I1395">
        <v>484</v>
      </c>
      <c r="J1395">
        <v>629</v>
      </c>
      <c r="K1395">
        <v>685</v>
      </c>
      <c r="L1395">
        <v>861</v>
      </c>
      <c r="M1395" s="1">
        <v>1996</v>
      </c>
      <c r="N1395">
        <v>179</v>
      </c>
      <c r="O1395" t="s">
        <v>2575</v>
      </c>
      <c r="P1395" s="1" t="b">
        <f>NOT(OR(Table1[[#This Row],[State]]="Other Foreign Countries", Table1[[#This Row],[State]]="Unknown", Table1[[#This Row],[State]]="Puerto Rico all counties"))</f>
        <v>1</v>
      </c>
    </row>
    <row r="1396" spans="1:16" x14ac:dyDescent="0.25">
      <c r="A1396">
        <v>45053</v>
      </c>
      <c r="B1396" t="s">
        <v>3772</v>
      </c>
      <c r="C1396" t="s">
        <v>890</v>
      </c>
      <c r="D1396">
        <v>1051</v>
      </c>
      <c r="E1396">
        <v>160</v>
      </c>
      <c r="F1396">
        <v>104</v>
      </c>
      <c r="G1396">
        <v>126</v>
      </c>
      <c r="H1396">
        <v>333</v>
      </c>
      <c r="I1396">
        <v>328</v>
      </c>
      <c r="J1396">
        <v>224</v>
      </c>
      <c r="K1396">
        <v>338</v>
      </c>
      <c r="L1396">
        <v>489</v>
      </c>
      <c r="M1396">
        <v>910</v>
      </c>
      <c r="N1396">
        <v>141</v>
      </c>
      <c r="O1396" t="s">
        <v>3817</v>
      </c>
      <c r="P1396" s="1" t="b">
        <f>NOT(OR(Table1[[#This Row],[State]]="Other Foreign Countries", Table1[[#This Row],[State]]="Unknown", Table1[[#This Row],[State]]="Puerto Rico all counties"))</f>
        <v>1</v>
      </c>
    </row>
    <row r="1397" spans="1:16" x14ac:dyDescent="0.25">
      <c r="A1397">
        <v>48241</v>
      </c>
      <c r="B1397" t="s">
        <v>2654</v>
      </c>
      <c r="C1397" t="s">
        <v>890</v>
      </c>
      <c r="D1397">
        <v>788</v>
      </c>
      <c r="E1397">
        <v>124</v>
      </c>
      <c r="F1397">
        <v>82</v>
      </c>
      <c r="G1397">
        <v>101</v>
      </c>
      <c r="H1397">
        <v>259</v>
      </c>
      <c r="I1397">
        <v>222</v>
      </c>
      <c r="J1397">
        <v>190</v>
      </c>
      <c r="K1397">
        <v>253</v>
      </c>
      <c r="L1397">
        <v>345</v>
      </c>
      <c r="M1397">
        <v>710</v>
      </c>
      <c r="N1397">
        <v>78</v>
      </c>
      <c r="O1397" t="s">
        <v>4268</v>
      </c>
      <c r="P1397" s="1" t="b">
        <f>NOT(OR(Table1[[#This Row],[State]]="Other Foreign Countries", Table1[[#This Row],[State]]="Unknown", Table1[[#This Row],[State]]="Puerto Rico all counties"))</f>
        <v>1</v>
      </c>
    </row>
    <row r="1398" spans="1:16" x14ac:dyDescent="0.25">
      <c r="A1398">
        <v>18075</v>
      </c>
      <c r="B1398" t="s">
        <v>1266</v>
      </c>
      <c r="C1398" t="s">
        <v>1316</v>
      </c>
      <c r="D1398">
        <v>412</v>
      </c>
      <c r="E1398">
        <v>176</v>
      </c>
      <c r="F1398">
        <v>63</v>
      </c>
      <c r="G1398">
        <v>50</v>
      </c>
      <c r="H1398">
        <v>79</v>
      </c>
      <c r="I1398">
        <v>44</v>
      </c>
      <c r="J1398">
        <v>70</v>
      </c>
      <c r="K1398">
        <v>106</v>
      </c>
      <c r="L1398">
        <v>236</v>
      </c>
      <c r="M1398">
        <v>386</v>
      </c>
      <c r="N1398">
        <v>26</v>
      </c>
      <c r="O1398" t="s">
        <v>1317</v>
      </c>
      <c r="P1398" s="1" t="b">
        <f>NOT(OR(Table1[[#This Row],[State]]="Other Foreign Countries", Table1[[#This Row],[State]]="Unknown", Table1[[#This Row],[State]]="Puerto Rico all counties"))</f>
        <v>1</v>
      </c>
    </row>
    <row r="1399" spans="1:16" x14ac:dyDescent="0.25">
      <c r="A1399">
        <v>13161</v>
      </c>
      <c r="B1399" t="s">
        <v>754</v>
      </c>
      <c r="C1399" t="s">
        <v>892</v>
      </c>
      <c r="D1399">
        <v>221</v>
      </c>
      <c r="E1399">
        <v>39</v>
      </c>
      <c r="F1399">
        <v>24</v>
      </c>
      <c r="G1399">
        <v>26</v>
      </c>
      <c r="H1399">
        <v>70</v>
      </c>
      <c r="I1399">
        <v>62</v>
      </c>
      <c r="J1399">
        <v>50</v>
      </c>
      <c r="K1399">
        <v>82</v>
      </c>
      <c r="L1399">
        <v>89</v>
      </c>
      <c r="M1399">
        <v>201</v>
      </c>
      <c r="N1399">
        <v>20</v>
      </c>
      <c r="O1399" t="s">
        <v>893</v>
      </c>
      <c r="P1399" s="1" t="b">
        <f>NOT(OR(Table1[[#This Row],[State]]="Other Foreign Countries", Table1[[#This Row],[State]]="Unknown", Table1[[#This Row],[State]]="Puerto Rico all counties"))</f>
        <v>1</v>
      </c>
    </row>
    <row r="1400" spans="1:16" x14ac:dyDescent="0.25">
      <c r="A1400">
        <v>48243</v>
      </c>
      <c r="B1400" t="s">
        <v>2654</v>
      </c>
      <c r="C1400" t="s">
        <v>892</v>
      </c>
      <c r="D1400">
        <v>47</v>
      </c>
      <c r="E1400">
        <v>12</v>
      </c>
      <c r="H1400">
        <v>15</v>
      </c>
      <c r="L1400">
        <v>22</v>
      </c>
      <c r="O1400" t="s">
        <v>4269</v>
      </c>
      <c r="P1400" s="1" t="b">
        <f>NOT(OR(Table1[[#This Row],[State]]="Other Foreign Countries", Table1[[#This Row],[State]]="Unknown", Table1[[#This Row],[State]]="Puerto Rico all counties"))</f>
        <v>1</v>
      </c>
    </row>
    <row r="1401" spans="1:16" x14ac:dyDescent="0.25">
      <c r="A1401">
        <v>1073</v>
      </c>
      <c r="B1401" t="s">
        <v>15</v>
      </c>
      <c r="C1401" t="s">
        <v>88</v>
      </c>
      <c r="D1401">
        <v>11464</v>
      </c>
      <c r="E1401" s="1">
        <v>1966</v>
      </c>
      <c r="F1401" s="1">
        <v>1169</v>
      </c>
      <c r="G1401" s="1">
        <v>1352</v>
      </c>
      <c r="H1401" s="1">
        <v>3466</v>
      </c>
      <c r="I1401" s="1">
        <v>3511</v>
      </c>
      <c r="J1401" s="1">
        <v>2490</v>
      </c>
      <c r="K1401" s="1">
        <v>4007</v>
      </c>
      <c r="L1401" s="1">
        <v>4967</v>
      </c>
      <c r="M1401" s="1">
        <v>9711</v>
      </c>
      <c r="N1401" s="1">
        <v>1751</v>
      </c>
      <c r="O1401" t="s">
        <v>89</v>
      </c>
      <c r="P1401" s="1" t="b">
        <f>NOT(OR(Table1[[#This Row],[State]]="Other Foreign Countries", Table1[[#This Row],[State]]="Unknown", Table1[[#This Row],[State]]="Puerto Rico all counties"))</f>
        <v>1</v>
      </c>
    </row>
    <row r="1402" spans="1:16" x14ac:dyDescent="0.25">
      <c r="A1402">
        <v>5069</v>
      </c>
      <c r="B1402" t="s">
        <v>242</v>
      </c>
      <c r="C1402" t="s">
        <v>88</v>
      </c>
      <c r="D1402">
        <v>1550</v>
      </c>
      <c r="E1402">
        <v>213</v>
      </c>
      <c r="F1402">
        <v>120</v>
      </c>
      <c r="G1402">
        <v>166</v>
      </c>
      <c r="H1402">
        <v>537</v>
      </c>
      <c r="I1402">
        <v>514</v>
      </c>
      <c r="J1402">
        <v>237</v>
      </c>
      <c r="K1402">
        <v>579</v>
      </c>
      <c r="L1402">
        <v>734</v>
      </c>
      <c r="M1402" s="1">
        <v>1361</v>
      </c>
      <c r="N1402">
        <v>189</v>
      </c>
      <c r="O1402" t="s">
        <v>303</v>
      </c>
      <c r="P1402" s="1" t="b">
        <f>NOT(OR(Table1[[#This Row],[State]]="Other Foreign Countries", Table1[[#This Row],[State]]="Unknown", Table1[[#This Row],[State]]="Puerto Rico all counties"))</f>
        <v>1</v>
      </c>
    </row>
    <row r="1403" spans="1:16" x14ac:dyDescent="0.25">
      <c r="A1403">
        <v>8059</v>
      </c>
      <c r="B1403" t="s">
        <v>489</v>
      </c>
      <c r="C1403" t="s">
        <v>88</v>
      </c>
      <c r="D1403">
        <v>8678</v>
      </c>
      <c r="E1403" s="1">
        <v>2081</v>
      </c>
      <c r="F1403" s="1">
        <v>1245</v>
      </c>
      <c r="G1403" s="1">
        <v>1176</v>
      </c>
      <c r="H1403" s="1">
        <v>2365</v>
      </c>
      <c r="I1403" s="1">
        <v>1811</v>
      </c>
      <c r="J1403" s="1">
        <v>3001</v>
      </c>
      <c r="K1403" s="1">
        <v>2410</v>
      </c>
      <c r="L1403" s="1">
        <v>3267</v>
      </c>
      <c r="M1403" s="1">
        <v>7642</v>
      </c>
      <c r="N1403" s="1">
        <v>1034</v>
      </c>
      <c r="O1403" t="s">
        <v>549</v>
      </c>
      <c r="P1403" s="1" t="b">
        <f>NOT(OR(Table1[[#This Row],[State]]="Other Foreign Countries", Table1[[#This Row],[State]]="Unknown", Table1[[#This Row],[State]]="Puerto Rico all counties"))</f>
        <v>1</v>
      </c>
    </row>
    <row r="1404" spans="1:16" x14ac:dyDescent="0.25">
      <c r="A1404">
        <v>12065</v>
      </c>
      <c r="B1404" t="s">
        <v>637</v>
      </c>
      <c r="C1404" t="s">
        <v>88</v>
      </c>
      <c r="D1404">
        <v>396</v>
      </c>
      <c r="E1404">
        <v>73</v>
      </c>
      <c r="F1404">
        <v>48</v>
      </c>
      <c r="G1404">
        <v>42</v>
      </c>
      <c r="H1404">
        <v>129</v>
      </c>
      <c r="I1404">
        <v>104</v>
      </c>
      <c r="J1404">
        <v>80</v>
      </c>
      <c r="K1404">
        <v>132</v>
      </c>
      <c r="L1404">
        <v>184</v>
      </c>
      <c r="M1404">
        <v>349</v>
      </c>
      <c r="N1404">
        <v>47</v>
      </c>
      <c r="O1404" t="s">
        <v>694</v>
      </c>
      <c r="P1404" s="1" t="b">
        <f>NOT(OR(Table1[[#This Row],[State]]="Other Foreign Countries", Table1[[#This Row],[State]]="Unknown", Table1[[#This Row],[State]]="Puerto Rico all counties"))</f>
        <v>1</v>
      </c>
    </row>
    <row r="1405" spans="1:16" x14ac:dyDescent="0.25">
      <c r="A1405">
        <v>13163</v>
      </c>
      <c r="B1405" t="s">
        <v>754</v>
      </c>
      <c r="C1405" t="s">
        <v>88</v>
      </c>
      <c r="D1405">
        <v>394</v>
      </c>
      <c r="E1405">
        <v>59</v>
      </c>
      <c r="F1405">
        <v>29</v>
      </c>
      <c r="G1405">
        <v>46</v>
      </c>
      <c r="H1405">
        <v>138</v>
      </c>
      <c r="I1405">
        <v>122</v>
      </c>
      <c r="J1405">
        <v>83</v>
      </c>
      <c r="K1405">
        <v>153</v>
      </c>
      <c r="L1405">
        <v>158</v>
      </c>
      <c r="M1405">
        <v>332</v>
      </c>
      <c r="N1405">
        <v>62</v>
      </c>
      <c r="O1405" t="s">
        <v>894</v>
      </c>
      <c r="P1405" s="1" t="b">
        <f>NOT(OR(Table1[[#This Row],[State]]="Other Foreign Countries", Table1[[#This Row],[State]]="Unknown", Table1[[#This Row],[State]]="Puerto Rico all counties"))</f>
        <v>1</v>
      </c>
    </row>
    <row r="1406" spans="1:16" x14ac:dyDescent="0.25">
      <c r="A1406">
        <v>16051</v>
      </c>
      <c r="B1406" t="s">
        <v>1032</v>
      </c>
      <c r="C1406" t="s">
        <v>88</v>
      </c>
      <c r="D1406">
        <v>537</v>
      </c>
      <c r="E1406">
        <v>120</v>
      </c>
      <c r="F1406">
        <v>63</v>
      </c>
      <c r="G1406">
        <v>64</v>
      </c>
      <c r="H1406">
        <v>146</v>
      </c>
      <c r="I1406">
        <v>144</v>
      </c>
      <c r="J1406">
        <v>146</v>
      </c>
      <c r="K1406">
        <v>186</v>
      </c>
      <c r="L1406">
        <v>205</v>
      </c>
      <c r="M1406">
        <v>489</v>
      </c>
      <c r="N1406">
        <v>48</v>
      </c>
      <c r="O1406" t="s">
        <v>1075</v>
      </c>
      <c r="P1406" s="1" t="b">
        <f>NOT(OR(Table1[[#This Row],[State]]="Other Foreign Countries", Table1[[#This Row],[State]]="Unknown", Table1[[#This Row],[State]]="Puerto Rico all counties"))</f>
        <v>1</v>
      </c>
    </row>
    <row r="1407" spans="1:16" x14ac:dyDescent="0.25">
      <c r="A1407">
        <v>17081</v>
      </c>
      <c r="B1407" t="s">
        <v>1109</v>
      </c>
      <c r="C1407" t="s">
        <v>88</v>
      </c>
      <c r="D1407">
        <v>718</v>
      </c>
      <c r="E1407">
        <v>146</v>
      </c>
      <c r="F1407">
        <v>75</v>
      </c>
      <c r="G1407">
        <v>91</v>
      </c>
      <c r="H1407">
        <v>219</v>
      </c>
      <c r="I1407">
        <v>187</v>
      </c>
      <c r="J1407">
        <v>173</v>
      </c>
      <c r="K1407">
        <v>218</v>
      </c>
      <c r="L1407">
        <v>327</v>
      </c>
      <c r="M1407">
        <v>655</v>
      </c>
      <c r="N1407">
        <v>63</v>
      </c>
      <c r="O1407" t="s">
        <v>1170</v>
      </c>
      <c r="P1407" s="1" t="b">
        <f>NOT(OR(Table1[[#This Row],[State]]="Other Foreign Countries", Table1[[#This Row],[State]]="Unknown", Table1[[#This Row],[State]]="Puerto Rico all counties"))</f>
        <v>1</v>
      </c>
    </row>
    <row r="1408" spans="1:16" x14ac:dyDescent="0.25">
      <c r="A1408">
        <v>18077</v>
      </c>
      <c r="B1408" t="s">
        <v>1266</v>
      </c>
      <c r="C1408" t="s">
        <v>88</v>
      </c>
      <c r="D1408">
        <v>676</v>
      </c>
      <c r="E1408">
        <v>276</v>
      </c>
      <c r="F1408">
        <v>79</v>
      </c>
      <c r="G1408">
        <v>67</v>
      </c>
      <c r="H1408">
        <v>149</v>
      </c>
      <c r="I1408">
        <v>105</v>
      </c>
      <c r="J1408">
        <v>127</v>
      </c>
      <c r="K1408">
        <v>215</v>
      </c>
      <c r="L1408">
        <v>334</v>
      </c>
      <c r="M1408">
        <v>616</v>
      </c>
      <c r="N1408">
        <v>60</v>
      </c>
      <c r="O1408" t="s">
        <v>1318</v>
      </c>
      <c r="P1408" s="1" t="b">
        <f>NOT(OR(Table1[[#This Row],[State]]="Other Foreign Countries", Table1[[#This Row],[State]]="Unknown", Table1[[#This Row],[State]]="Puerto Rico all counties"))</f>
        <v>1</v>
      </c>
    </row>
    <row r="1409" spans="1:16" x14ac:dyDescent="0.25">
      <c r="A1409">
        <v>19101</v>
      </c>
      <c r="B1409" t="s">
        <v>1399</v>
      </c>
      <c r="C1409" t="s">
        <v>88</v>
      </c>
      <c r="D1409">
        <v>178</v>
      </c>
      <c r="E1409">
        <v>33</v>
      </c>
      <c r="F1409">
        <v>21</v>
      </c>
      <c r="G1409">
        <v>23</v>
      </c>
      <c r="H1409">
        <v>51</v>
      </c>
      <c r="I1409">
        <v>50</v>
      </c>
      <c r="J1409">
        <v>44</v>
      </c>
      <c r="K1409">
        <v>50</v>
      </c>
      <c r="L1409">
        <v>84</v>
      </c>
      <c r="M1409">
        <v>163</v>
      </c>
      <c r="N1409">
        <v>15</v>
      </c>
      <c r="O1409" t="s">
        <v>1468</v>
      </c>
      <c r="P1409" s="1" t="b">
        <f>NOT(OR(Table1[[#This Row],[State]]="Other Foreign Countries", Table1[[#This Row],[State]]="Unknown", Table1[[#This Row],[State]]="Puerto Rico all counties"))</f>
        <v>1</v>
      </c>
    </row>
    <row r="1410" spans="1:16" x14ac:dyDescent="0.25">
      <c r="A1410">
        <v>20087</v>
      </c>
      <c r="B1410" t="s">
        <v>1543</v>
      </c>
      <c r="C1410" t="s">
        <v>88</v>
      </c>
      <c r="D1410">
        <v>484</v>
      </c>
      <c r="E1410">
        <v>70</v>
      </c>
      <c r="F1410">
        <v>54</v>
      </c>
      <c r="G1410">
        <v>54</v>
      </c>
      <c r="H1410">
        <v>160</v>
      </c>
      <c r="I1410">
        <v>146</v>
      </c>
      <c r="J1410">
        <v>110</v>
      </c>
      <c r="K1410">
        <v>168</v>
      </c>
      <c r="L1410">
        <v>206</v>
      </c>
      <c r="M1410">
        <v>438</v>
      </c>
      <c r="N1410">
        <v>46</v>
      </c>
      <c r="O1410" t="s">
        <v>1612</v>
      </c>
      <c r="P1410" s="1" t="b">
        <f>NOT(OR(Table1[[#This Row],[State]]="Other Foreign Countries", Table1[[#This Row],[State]]="Unknown", Table1[[#This Row],[State]]="Puerto Rico all counties"))</f>
        <v>1</v>
      </c>
    </row>
    <row r="1411" spans="1:16" x14ac:dyDescent="0.25">
      <c r="A1411">
        <v>21111</v>
      </c>
      <c r="B1411" t="s">
        <v>1716</v>
      </c>
      <c r="C1411" t="s">
        <v>88</v>
      </c>
      <c r="D1411">
        <v>10868</v>
      </c>
      <c r="E1411" s="1">
        <v>2810</v>
      </c>
      <c r="F1411" s="1">
        <v>1527</v>
      </c>
      <c r="G1411" s="1">
        <v>1471</v>
      </c>
      <c r="H1411" s="1">
        <v>2859</v>
      </c>
      <c r="I1411" s="1">
        <v>2201</v>
      </c>
      <c r="J1411" s="1">
        <v>2503</v>
      </c>
      <c r="K1411" s="1">
        <v>3778</v>
      </c>
      <c r="L1411" s="1">
        <v>4587</v>
      </c>
      <c r="M1411" s="1">
        <v>9517</v>
      </c>
      <c r="N1411" s="1">
        <v>1350</v>
      </c>
      <c r="O1411" t="s">
        <v>1800</v>
      </c>
      <c r="P1411" s="1" t="b">
        <f>NOT(OR(Table1[[#This Row],[State]]="Other Foreign Countries", Table1[[#This Row],[State]]="Unknown", Table1[[#This Row],[State]]="Puerto Rico all counties"))</f>
        <v>1</v>
      </c>
    </row>
    <row r="1412" spans="1:16" x14ac:dyDescent="0.25">
      <c r="A1412">
        <v>22051</v>
      </c>
      <c r="B1412" t="s">
        <v>1892</v>
      </c>
      <c r="C1412" t="s">
        <v>88</v>
      </c>
      <c r="D1412">
        <v>5900</v>
      </c>
      <c r="E1412" s="1">
        <v>1212</v>
      </c>
      <c r="F1412">
        <v>627</v>
      </c>
      <c r="G1412">
        <v>722</v>
      </c>
      <c r="H1412" s="1">
        <v>1778</v>
      </c>
      <c r="I1412" s="1">
        <v>1561</v>
      </c>
      <c r="J1412" s="1">
        <v>1351</v>
      </c>
      <c r="K1412" s="1">
        <v>2099</v>
      </c>
      <c r="L1412" s="1">
        <v>2450</v>
      </c>
      <c r="M1412" s="1">
        <v>5073</v>
      </c>
      <c r="N1412">
        <v>827</v>
      </c>
      <c r="O1412" t="s">
        <v>1938</v>
      </c>
      <c r="P1412" s="1" t="b">
        <f>NOT(OR(Table1[[#This Row],[State]]="Other Foreign Countries", Table1[[#This Row],[State]]="Unknown", Table1[[#This Row],[State]]="Puerto Rico all counties"))</f>
        <v>1</v>
      </c>
    </row>
    <row r="1413" spans="1:16" x14ac:dyDescent="0.25">
      <c r="A1413">
        <v>28063</v>
      </c>
      <c r="B1413" t="s">
        <v>322</v>
      </c>
      <c r="C1413" t="s">
        <v>88</v>
      </c>
      <c r="D1413">
        <v>78</v>
      </c>
      <c r="G1413">
        <v>11</v>
      </c>
      <c r="H1413">
        <v>26</v>
      </c>
      <c r="I1413">
        <v>28</v>
      </c>
      <c r="L1413">
        <v>40</v>
      </c>
      <c r="O1413" t="s">
        <v>2438</v>
      </c>
      <c r="P1413" s="1" t="b">
        <f>NOT(OR(Table1[[#This Row],[State]]="Other Foreign Countries", Table1[[#This Row],[State]]="Unknown", Table1[[#This Row],[State]]="Puerto Rico all counties"))</f>
        <v>1</v>
      </c>
    </row>
    <row r="1414" spans="1:16" x14ac:dyDescent="0.25">
      <c r="A1414">
        <v>29099</v>
      </c>
      <c r="B1414" t="s">
        <v>2510</v>
      </c>
      <c r="C1414" t="s">
        <v>88</v>
      </c>
      <c r="D1414">
        <v>4697</v>
      </c>
      <c r="E1414">
        <v>976</v>
      </c>
      <c r="F1414">
        <v>560</v>
      </c>
      <c r="G1414">
        <v>612</v>
      </c>
      <c r="H1414" s="1">
        <v>1433</v>
      </c>
      <c r="I1414" s="1">
        <v>1116</v>
      </c>
      <c r="J1414" s="1">
        <v>1492</v>
      </c>
      <c r="K1414" s="1">
        <v>1429</v>
      </c>
      <c r="L1414" s="1">
        <v>1776</v>
      </c>
      <c r="M1414" s="1">
        <v>4260</v>
      </c>
      <c r="N1414">
        <v>437</v>
      </c>
      <c r="O1414" t="s">
        <v>2576</v>
      </c>
      <c r="P1414" s="1" t="b">
        <f>NOT(OR(Table1[[#This Row],[State]]="Other Foreign Countries", Table1[[#This Row],[State]]="Unknown", Table1[[#This Row],[State]]="Puerto Rico all counties"))</f>
        <v>1</v>
      </c>
    </row>
    <row r="1415" spans="1:16" x14ac:dyDescent="0.25">
      <c r="A1415">
        <v>30043</v>
      </c>
      <c r="B1415" t="s">
        <v>2665</v>
      </c>
      <c r="C1415" t="s">
        <v>88</v>
      </c>
      <c r="D1415">
        <v>574</v>
      </c>
      <c r="E1415">
        <v>123</v>
      </c>
      <c r="F1415">
        <v>63</v>
      </c>
      <c r="G1415">
        <v>63</v>
      </c>
      <c r="H1415">
        <v>166</v>
      </c>
      <c r="I1415">
        <v>159</v>
      </c>
      <c r="J1415">
        <v>115</v>
      </c>
      <c r="K1415">
        <v>213</v>
      </c>
      <c r="L1415">
        <v>246</v>
      </c>
      <c r="M1415">
        <v>515</v>
      </c>
      <c r="N1415">
        <v>59</v>
      </c>
      <c r="O1415" t="s">
        <v>2702</v>
      </c>
      <c r="P1415" s="1" t="b">
        <f>NOT(OR(Table1[[#This Row],[State]]="Other Foreign Countries", Table1[[#This Row],[State]]="Unknown", Table1[[#This Row],[State]]="Puerto Rico all counties"))</f>
        <v>1</v>
      </c>
    </row>
    <row r="1416" spans="1:16" x14ac:dyDescent="0.25">
      <c r="A1416">
        <v>31095</v>
      </c>
      <c r="B1416" t="s">
        <v>2758</v>
      </c>
      <c r="C1416" t="s">
        <v>88</v>
      </c>
      <c r="D1416">
        <v>160</v>
      </c>
      <c r="E1416">
        <v>62</v>
      </c>
      <c r="F1416">
        <v>22</v>
      </c>
      <c r="G1416">
        <v>18</v>
      </c>
      <c r="H1416">
        <v>33</v>
      </c>
      <c r="I1416">
        <v>25</v>
      </c>
      <c r="J1416">
        <v>21</v>
      </c>
      <c r="K1416">
        <v>44</v>
      </c>
      <c r="L1416">
        <v>95</v>
      </c>
      <c r="O1416" t="s">
        <v>2827</v>
      </c>
      <c r="P1416" s="1" t="b">
        <f>NOT(OR(Table1[[#This Row],[State]]="Other Foreign Countries", Table1[[#This Row],[State]]="Unknown", Table1[[#This Row],[State]]="Puerto Rico all counties"))</f>
        <v>1</v>
      </c>
    </row>
    <row r="1417" spans="1:16" x14ac:dyDescent="0.25">
      <c r="A1417">
        <v>36045</v>
      </c>
      <c r="B1417" t="s">
        <v>3029</v>
      </c>
      <c r="C1417" t="s">
        <v>88</v>
      </c>
      <c r="D1417">
        <v>5275</v>
      </c>
      <c r="E1417">
        <v>623</v>
      </c>
      <c r="F1417">
        <v>519</v>
      </c>
      <c r="G1417">
        <v>660</v>
      </c>
      <c r="H1417" s="1">
        <v>1796</v>
      </c>
      <c r="I1417" s="1">
        <v>1677</v>
      </c>
      <c r="J1417" s="1">
        <v>2292</v>
      </c>
      <c r="K1417" s="1">
        <v>1975</v>
      </c>
      <c r="L1417" s="1">
        <v>1008</v>
      </c>
      <c r="M1417" s="1">
        <v>4433</v>
      </c>
      <c r="N1417">
        <v>840</v>
      </c>
      <c r="O1417" t="s">
        <v>3063</v>
      </c>
      <c r="P1417" s="1" t="b">
        <f>NOT(OR(Table1[[#This Row],[State]]="Other Foreign Countries", Table1[[#This Row],[State]]="Unknown", Table1[[#This Row],[State]]="Puerto Rico all counties"))</f>
        <v>1</v>
      </c>
    </row>
    <row r="1418" spans="1:16" x14ac:dyDescent="0.25">
      <c r="A1418">
        <v>39081</v>
      </c>
      <c r="B1418" t="s">
        <v>1343</v>
      </c>
      <c r="C1418" t="s">
        <v>88</v>
      </c>
      <c r="D1418">
        <v>1338</v>
      </c>
      <c r="E1418">
        <v>343</v>
      </c>
      <c r="F1418">
        <v>148</v>
      </c>
      <c r="G1418">
        <v>196</v>
      </c>
      <c r="H1418">
        <v>344</v>
      </c>
      <c r="I1418">
        <v>307</v>
      </c>
      <c r="J1418">
        <v>243</v>
      </c>
      <c r="K1418">
        <v>415</v>
      </c>
      <c r="L1418">
        <v>680</v>
      </c>
      <c r="M1418" s="1">
        <v>1245</v>
      </c>
      <c r="N1418">
        <v>93</v>
      </c>
      <c r="O1418" t="s">
        <v>3428</v>
      </c>
      <c r="P1418" s="1" t="b">
        <f>NOT(OR(Table1[[#This Row],[State]]="Other Foreign Countries", Table1[[#This Row],[State]]="Unknown", Table1[[#This Row],[State]]="Puerto Rico all counties"))</f>
        <v>1</v>
      </c>
    </row>
    <row r="1419" spans="1:16" x14ac:dyDescent="0.25">
      <c r="A1419">
        <v>40067</v>
      </c>
      <c r="B1419" t="s">
        <v>3495</v>
      </c>
      <c r="C1419" t="s">
        <v>88</v>
      </c>
      <c r="D1419">
        <v>126</v>
      </c>
      <c r="E1419">
        <v>17</v>
      </c>
      <c r="H1419">
        <v>48</v>
      </c>
      <c r="I1419">
        <v>41</v>
      </c>
      <c r="J1419">
        <v>23</v>
      </c>
      <c r="K1419">
        <v>33</v>
      </c>
      <c r="L1419">
        <v>70</v>
      </c>
      <c r="M1419">
        <v>116</v>
      </c>
      <c r="N1419">
        <v>10</v>
      </c>
      <c r="O1419" t="s">
        <v>3544</v>
      </c>
      <c r="P1419" s="1" t="b">
        <f>NOT(OR(Table1[[#This Row],[State]]="Other Foreign Countries", Table1[[#This Row],[State]]="Unknown", Table1[[#This Row],[State]]="Puerto Rico all counties"))</f>
        <v>1</v>
      </c>
    </row>
    <row r="1420" spans="1:16" x14ac:dyDescent="0.25">
      <c r="A1420">
        <v>41031</v>
      </c>
      <c r="B1420" t="s">
        <v>2607</v>
      </c>
      <c r="C1420" t="s">
        <v>88</v>
      </c>
      <c r="D1420">
        <v>691</v>
      </c>
      <c r="E1420">
        <v>156</v>
      </c>
      <c r="F1420">
        <v>78</v>
      </c>
      <c r="G1420">
        <v>100</v>
      </c>
      <c r="H1420">
        <v>203</v>
      </c>
      <c r="I1420">
        <v>154</v>
      </c>
      <c r="J1420">
        <v>147</v>
      </c>
      <c r="K1420">
        <v>154</v>
      </c>
      <c r="L1420">
        <v>390</v>
      </c>
      <c r="M1420">
        <v>643</v>
      </c>
      <c r="N1420">
        <v>48</v>
      </c>
      <c r="O1420" t="s">
        <v>3635</v>
      </c>
      <c r="P1420" s="1" t="b">
        <f>NOT(OR(Table1[[#This Row],[State]]="Other Foreign Countries", Table1[[#This Row],[State]]="Unknown", Table1[[#This Row],[State]]="Puerto Rico all counties"))</f>
        <v>1</v>
      </c>
    </row>
    <row r="1421" spans="1:16" x14ac:dyDescent="0.25">
      <c r="A1421">
        <v>42065</v>
      </c>
      <c r="B1421" t="s">
        <v>3665</v>
      </c>
      <c r="C1421" t="s">
        <v>88</v>
      </c>
      <c r="D1421">
        <v>775</v>
      </c>
      <c r="E1421">
        <v>205</v>
      </c>
      <c r="F1421">
        <v>95</v>
      </c>
      <c r="G1421">
        <v>88</v>
      </c>
      <c r="H1421">
        <v>218</v>
      </c>
      <c r="I1421">
        <v>169</v>
      </c>
      <c r="J1421">
        <v>172</v>
      </c>
      <c r="K1421">
        <v>232</v>
      </c>
      <c r="L1421">
        <v>371</v>
      </c>
      <c r="M1421">
        <v>718</v>
      </c>
      <c r="N1421">
        <v>57</v>
      </c>
      <c r="O1421" t="s">
        <v>3712</v>
      </c>
      <c r="P1421" s="1" t="b">
        <f>NOT(OR(Table1[[#This Row],[State]]="Other Foreign Countries", Table1[[#This Row],[State]]="Unknown", Table1[[#This Row],[State]]="Puerto Rico all counties"))</f>
        <v>1</v>
      </c>
    </row>
    <row r="1422" spans="1:16" x14ac:dyDescent="0.25">
      <c r="A1422">
        <v>47089</v>
      </c>
      <c r="B1422" t="s">
        <v>3951</v>
      </c>
      <c r="C1422" t="s">
        <v>88</v>
      </c>
      <c r="D1422">
        <v>1684</v>
      </c>
      <c r="E1422">
        <v>378</v>
      </c>
      <c r="F1422">
        <v>176</v>
      </c>
      <c r="G1422">
        <v>194</v>
      </c>
      <c r="H1422">
        <v>473</v>
      </c>
      <c r="I1422">
        <v>463</v>
      </c>
      <c r="J1422">
        <v>393</v>
      </c>
      <c r="K1422">
        <v>491</v>
      </c>
      <c r="L1422">
        <v>800</v>
      </c>
      <c r="M1422" s="1">
        <v>1543</v>
      </c>
      <c r="N1422">
        <v>141</v>
      </c>
      <c r="O1422" t="s">
        <v>4009</v>
      </c>
      <c r="P1422" s="1" t="b">
        <f>NOT(OR(Table1[[#This Row],[State]]="Other Foreign Countries", Table1[[#This Row],[State]]="Unknown", Table1[[#This Row],[State]]="Puerto Rico all counties"))</f>
        <v>1</v>
      </c>
    </row>
    <row r="1423" spans="1:16" x14ac:dyDescent="0.25">
      <c r="A1423">
        <v>48245</v>
      </c>
      <c r="B1423" t="s">
        <v>2654</v>
      </c>
      <c r="C1423" t="s">
        <v>88</v>
      </c>
      <c r="D1423">
        <v>4361</v>
      </c>
      <c r="E1423">
        <v>884</v>
      </c>
      <c r="F1423">
        <v>478</v>
      </c>
      <c r="G1423">
        <v>509</v>
      </c>
      <c r="H1423" s="1">
        <v>1371</v>
      </c>
      <c r="I1423" s="1">
        <v>1119</v>
      </c>
      <c r="J1423" s="1">
        <v>1107</v>
      </c>
      <c r="K1423" s="1">
        <v>1515</v>
      </c>
      <c r="L1423" s="1">
        <v>1739</v>
      </c>
      <c r="M1423" s="1">
        <v>3855</v>
      </c>
      <c r="N1423">
        <v>505</v>
      </c>
      <c r="O1423" t="s">
        <v>4270</v>
      </c>
      <c r="P1423" s="1" t="b">
        <f>NOT(OR(Table1[[#This Row],[State]]="Other Foreign Countries", Table1[[#This Row],[State]]="Unknown", Table1[[#This Row],[State]]="Puerto Rico all counties"))</f>
        <v>1</v>
      </c>
    </row>
    <row r="1424" spans="1:16" x14ac:dyDescent="0.25">
      <c r="A1424">
        <v>53031</v>
      </c>
      <c r="B1424" t="s">
        <v>144</v>
      </c>
      <c r="C1424" t="s">
        <v>88</v>
      </c>
      <c r="D1424">
        <v>933</v>
      </c>
      <c r="E1424">
        <v>221</v>
      </c>
      <c r="F1424">
        <v>124</v>
      </c>
      <c r="G1424">
        <v>135</v>
      </c>
      <c r="H1424">
        <v>258</v>
      </c>
      <c r="I1424">
        <v>195</v>
      </c>
      <c r="J1424">
        <v>134</v>
      </c>
      <c r="K1424">
        <v>225</v>
      </c>
      <c r="L1424">
        <v>574</v>
      </c>
      <c r="M1424">
        <v>825</v>
      </c>
      <c r="N1424">
        <v>107</v>
      </c>
      <c r="O1424" t="s">
        <v>4794</v>
      </c>
      <c r="P1424" s="1" t="b">
        <f>NOT(OR(Table1[[#This Row],[State]]="Other Foreign Countries", Table1[[#This Row],[State]]="Unknown", Table1[[#This Row],[State]]="Puerto Rico all counties"))</f>
        <v>1</v>
      </c>
    </row>
    <row r="1425" spans="1:16" x14ac:dyDescent="0.25">
      <c r="A1425">
        <v>54037</v>
      </c>
      <c r="B1425" t="s">
        <v>4833</v>
      </c>
      <c r="C1425" t="s">
        <v>88</v>
      </c>
      <c r="D1425">
        <v>1959</v>
      </c>
      <c r="E1425">
        <v>311</v>
      </c>
      <c r="F1425">
        <v>228</v>
      </c>
      <c r="G1425">
        <v>250</v>
      </c>
      <c r="H1425">
        <v>587</v>
      </c>
      <c r="I1425">
        <v>583</v>
      </c>
      <c r="J1425">
        <v>650</v>
      </c>
      <c r="K1425">
        <v>795</v>
      </c>
      <c r="L1425">
        <v>514</v>
      </c>
      <c r="M1425" s="1">
        <v>1691</v>
      </c>
      <c r="N1425">
        <v>268</v>
      </c>
      <c r="O1425" t="s">
        <v>4858</v>
      </c>
      <c r="P1425" s="1" t="b">
        <f>NOT(OR(Table1[[#This Row],[State]]="Other Foreign Countries", Table1[[#This Row],[State]]="Unknown", Table1[[#This Row],[State]]="Puerto Rico all counties"))</f>
        <v>1</v>
      </c>
    </row>
    <row r="1426" spans="1:16" x14ac:dyDescent="0.25">
      <c r="A1426">
        <v>55055</v>
      </c>
      <c r="B1426" t="s">
        <v>4906</v>
      </c>
      <c r="C1426" t="s">
        <v>88</v>
      </c>
      <c r="D1426">
        <v>1424</v>
      </c>
      <c r="E1426">
        <v>377</v>
      </c>
      <c r="F1426">
        <v>212</v>
      </c>
      <c r="G1426">
        <v>194</v>
      </c>
      <c r="H1426">
        <v>399</v>
      </c>
      <c r="I1426">
        <v>242</v>
      </c>
      <c r="J1426">
        <v>393</v>
      </c>
      <c r="K1426">
        <v>427</v>
      </c>
      <c r="L1426">
        <v>604</v>
      </c>
      <c r="M1426" s="1">
        <v>1283</v>
      </c>
      <c r="N1426">
        <v>141</v>
      </c>
      <c r="O1426" t="s">
        <v>4943</v>
      </c>
      <c r="P1426" s="1" t="b">
        <f>NOT(OR(Table1[[#This Row],[State]]="Other Foreign Countries", Table1[[#This Row],[State]]="Unknown", Table1[[#This Row],[State]]="Puerto Rico all counties"))</f>
        <v>1</v>
      </c>
    </row>
    <row r="1427" spans="1:16" x14ac:dyDescent="0.25">
      <c r="A1427">
        <v>22053</v>
      </c>
      <c r="B1427" t="s">
        <v>1892</v>
      </c>
      <c r="C1427" t="s">
        <v>1939</v>
      </c>
      <c r="D1427">
        <v>493</v>
      </c>
      <c r="E1427">
        <v>96</v>
      </c>
      <c r="F1427">
        <v>51</v>
      </c>
      <c r="G1427">
        <v>50</v>
      </c>
      <c r="H1427">
        <v>155</v>
      </c>
      <c r="I1427">
        <v>141</v>
      </c>
      <c r="J1427">
        <v>127</v>
      </c>
      <c r="K1427">
        <v>157</v>
      </c>
      <c r="L1427">
        <v>209</v>
      </c>
      <c r="M1427">
        <v>449</v>
      </c>
      <c r="N1427">
        <v>44</v>
      </c>
      <c r="O1427" t="s">
        <v>1940</v>
      </c>
      <c r="P1427" s="1" t="b">
        <f>NOT(OR(Table1[[#This Row],[State]]="Other Foreign Countries", Table1[[#This Row],[State]]="Unknown", Table1[[#This Row],[State]]="Puerto Rico all counties"))</f>
        <v>1</v>
      </c>
    </row>
    <row r="1428" spans="1:16" x14ac:dyDescent="0.25">
      <c r="A1428">
        <v>28065</v>
      </c>
      <c r="B1428" t="s">
        <v>322</v>
      </c>
      <c r="C1428" t="s">
        <v>1939</v>
      </c>
      <c r="D1428">
        <v>243</v>
      </c>
      <c r="E1428">
        <v>29</v>
      </c>
      <c r="F1428">
        <v>15</v>
      </c>
      <c r="G1428">
        <v>26</v>
      </c>
      <c r="H1428">
        <v>74</v>
      </c>
      <c r="I1428">
        <v>99</v>
      </c>
      <c r="J1428">
        <v>39</v>
      </c>
      <c r="K1428">
        <v>100</v>
      </c>
      <c r="L1428">
        <v>104</v>
      </c>
      <c r="M1428">
        <v>204</v>
      </c>
      <c r="N1428">
        <v>39</v>
      </c>
      <c r="O1428" t="s">
        <v>2439</v>
      </c>
      <c r="P1428" s="1" t="b">
        <f>NOT(OR(Table1[[#This Row],[State]]="Other Foreign Countries", Table1[[#This Row],[State]]="Unknown", Table1[[#This Row],[State]]="Puerto Rico all counties"))</f>
        <v>1</v>
      </c>
    </row>
    <row r="1429" spans="1:16" x14ac:dyDescent="0.25">
      <c r="A1429">
        <v>13165</v>
      </c>
      <c r="B1429" t="s">
        <v>754</v>
      </c>
      <c r="C1429" t="s">
        <v>895</v>
      </c>
      <c r="D1429">
        <v>150</v>
      </c>
      <c r="E1429">
        <v>23</v>
      </c>
      <c r="F1429">
        <v>15</v>
      </c>
      <c r="G1429">
        <v>16</v>
      </c>
      <c r="H1429">
        <v>49</v>
      </c>
      <c r="I1429">
        <v>47</v>
      </c>
      <c r="J1429">
        <v>38</v>
      </c>
      <c r="K1429">
        <v>48</v>
      </c>
      <c r="L1429">
        <v>64</v>
      </c>
      <c r="M1429">
        <v>131</v>
      </c>
      <c r="N1429">
        <v>19</v>
      </c>
      <c r="O1429" t="s">
        <v>896</v>
      </c>
      <c r="P1429" s="1" t="b">
        <f>NOT(OR(Table1[[#This Row],[State]]="Other Foreign Countries", Table1[[#This Row],[State]]="Unknown", Table1[[#This Row],[State]]="Puerto Rico all counties"))</f>
        <v>1</v>
      </c>
    </row>
    <row r="1430" spans="1:16" x14ac:dyDescent="0.25">
      <c r="A1430">
        <v>18079</v>
      </c>
      <c r="B1430" t="s">
        <v>1266</v>
      </c>
      <c r="C1430" t="s">
        <v>1319</v>
      </c>
      <c r="D1430">
        <v>548</v>
      </c>
      <c r="E1430">
        <v>193</v>
      </c>
      <c r="F1430">
        <v>79</v>
      </c>
      <c r="G1430">
        <v>61</v>
      </c>
      <c r="H1430">
        <v>146</v>
      </c>
      <c r="I1430">
        <v>69</v>
      </c>
      <c r="J1430">
        <v>103</v>
      </c>
      <c r="K1430">
        <v>188</v>
      </c>
      <c r="L1430">
        <v>257</v>
      </c>
      <c r="M1430">
        <v>521</v>
      </c>
      <c r="N1430">
        <v>27</v>
      </c>
      <c r="O1430" t="s">
        <v>1320</v>
      </c>
      <c r="P1430" s="1" t="b">
        <f>NOT(OR(Table1[[#This Row],[State]]="Other Foreign Countries", Table1[[#This Row],[State]]="Unknown", Table1[[#This Row],[State]]="Puerto Rico all counties"))</f>
        <v>1</v>
      </c>
    </row>
    <row r="1431" spans="1:16" x14ac:dyDescent="0.25">
      <c r="A1431">
        <v>46073</v>
      </c>
      <c r="B1431" t="s">
        <v>3846</v>
      </c>
      <c r="C1431" t="s">
        <v>3902</v>
      </c>
      <c r="D1431">
        <v>55</v>
      </c>
      <c r="E1431">
        <v>17</v>
      </c>
      <c r="I1431">
        <v>14</v>
      </c>
      <c r="L1431">
        <v>39</v>
      </c>
      <c r="O1431" t="s">
        <v>3903</v>
      </c>
      <c r="P1431" s="1" t="b">
        <f>NOT(OR(Table1[[#This Row],[State]]="Other Foreign Countries", Table1[[#This Row],[State]]="Unknown", Table1[[#This Row],[State]]="Puerto Rico all counties"))</f>
        <v>1</v>
      </c>
    </row>
    <row r="1432" spans="1:16" x14ac:dyDescent="0.25">
      <c r="A1432">
        <v>16053</v>
      </c>
      <c r="B1432" t="s">
        <v>1032</v>
      </c>
      <c r="C1432" t="s">
        <v>1076</v>
      </c>
      <c r="D1432">
        <v>334</v>
      </c>
      <c r="E1432">
        <v>74</v>
      </c>
      <c r="F1432">
        <v>53</v>
      </c>
      <c r="G1432">
        <v>40</v>
      </c>
      <c r="H1432">
        <v>88</v>
      </c>
      <c r="I1432">
        <v>79</v>
      </c>
      <c r="J1432">
        <v>96</v>
      </c>
      <c r="K1432">
        <v>96</v>
      </c>
      <c r="L1432">
        <v>142</v>
      </c>
      <c r="M1432">
        <v>307</v>
      </c>
      <c r="N1432">
        <v>27</v>
      </c>
      <c r="O1432" t="s">
        <v>1077</v>
      </c>
      <c r="P1432" s="1" t="b">
        <f>NOT(OR(Table1[[#This Row],[State]]="Other Foreign Countries", Table1[[#This Row],[State]]="Unknown", Table1[[#This Row],[State]]="Puerto Rico all counties"))</f>
        <v>1</v>
      </c>
    </row>
    <row r="1433" spans="1:16" x14ac:dyDescent="0.25">
      <c r="A1433">
        <v>17083</v>
      </c>
      <c r="B1433" t="s">
        <v>1109</v>
      </c>
      <c r="C1433" t="s">
        <v>1171</v>
      </c>
      <c r="D1433">
        <v>390</v>
      </c>
      <c r="E1433">
        <v>63</v>
      </c>
      <c r="F1433">
        <v>55</v>
      </c>
      <c r="G1433">
        <v>41</v>
      </c>
      <c r="H1433">
        <v>121</v>
      </c>
      <c r="I1433">
        <v>110</v>
      </c>
      <c r="J1433">
        <v>102</v>
      </c>
      <c r="K1433">
        <v>114</v>
      </c>
      <c r="L1433">
        <v>174</v>
      </c>
      <c r="M1433">
        <v>358</v>
      </c>
      <c r="N1433">
        <v>32</v>
      </c>
      <c r="O1433" t="s">
        <v>1172</v>
      </c>
      <c r="P1433" s="1" t="b">
        <f>NOT(OR(Table1[[#This Row],[State]]="Other Foreign Countries", Table1[[#This Row],[State]]="Unknown", Table1[[#This Row],[State]]="Puerto Rico all counties"))</f>
        <v>1</v>
      </c>
    </row>
    <row r="1434" spans="1:16" x14ac:dyDescent="0.25">
      <c r="A1434">
        <v>21113</v>
      </c>
      <c r="B1434" t="s">
        <v>1716</v>
      </c>
      <c r="C1434" t="s">
        <v>1801</v>
      </c>
      <c r="D1434">
        <v>799</v>
      </c>
      <c r="E1434">
        <v>160</v>
      </c>
      <c r="F1434">
        <v>85</v>
      </c>
      <c r="G1434">
        <v>112</v>
      </c>
      <c r="H1434">
        <v>237</v>
      </c>
      <c r="I1434">
        <v>205</v>
      </c>
      <c r="J1434">
        <v>223</v>
      </c>
      <c r="K1434">
        <v>265</v>
      </c>
      <c r="L1434">
        <v>311</v>
      </c>
      <c r="M1434">
        <v>730</v>
      </c>
      <c r="N1434">
        <v>69</v>
      </c>
      <c r="O1434" t="s">
        <v>1802</v>
      </c>
      <c r="P1434" s="1" t="b">
        <f>NOT(OR(Table1[[#This Row],[State]]="Other Foreign Countries", Table1[[#This Row],[State]]="Unknown", Table1[[#This Row],[State]]="Puerto Rico all counties"))</f>
        <v>1</v>
      </c>
    </row>
    <row r="1435" spans="1:16" x14ac:dyDescent="0.25">
      <c r="A1435">
        <v>20089</v>
      </c>
      <c r="B1435" t="s">
        <v>1543</v>
      </c>
      <c r="C1435" t="s">
        <v>1613</v>
      </c>
      <c r="D1435">
        <v>44</v>
      </c>
      <c r="E1435">
        <v>12</v>
      </c>
      <c r="H1435">
        <v>11</v>
      </c>
      <c r="L1435">
        <v>23</v>
      </c>
      <c r="O1435" t="s">
        <v>1614</v>
      </c>
      <c r="P1435" s="1" t="b">
        <f>NOT(OR(Table1[[#This Row],[State]]="Other Foreign Countries", Table1[[#This Row],[State]]="Unknown", Table1[[#This Row],[State]]="Puerto Rico all counties"))</f>
        <v>1</v>
      </c>
    </row>
    <row r="1436" spans="1:16" x14ac:dyDescent="0.25">
      <c r="A1436">
        <v>48247</v>
      </c>
      <c r="B1436" t="s">
        <v>2654</v>
      </c>
      <c r="C1436" t="s">
        <v>4271</v>
      </c>
      <c r="D1436">
        <v>85</v>
      </c>
      <c r="E1436">
        <v>15</v>
      </c>
      <c r="H1436">
        <v>25</v>
      </c>
      <c r="I1436">
        <v>28</v>
      </c>
      <c r="J1436">
        <v>20</v>
      </c>
      <c r="K1436">
        <v>17</v>
      </c>
      <c r="L1436">
        <v>48</v>
      </c>
      <c r="O1436" t="s">
        <v>4272</v>
      </c>
      <c r="P1436" s="1" t="b">
        <f>NOT(OR(Table1[[#This Row],[State]]="Other Foreign Countries", Table1[[#This Row],[State]]="Unknown", Table1[[#This Row],[State]]="Puerto Rico all counties"))</f>
        <v>1</v>
      </c>
    </row>
    <row r="1437" spans="1:16" x14ac:dyDescent="0.25">
      <c r="A1437">
        <v>48249</v>
      </c>
      <c r="B1437" t="s">
        <v>2654</v>
      </c>
      <c r="C1437" t="s">
        <v>4273</v>
      </c>
      <c r="D1437">
        <v>882</v>
      </c>
      <c r="E1437">
        <v>137</v>
      </c>
      <c r="F1437">
        <v>74</v>
      </c>
      <c r="G1437">
        <v>91</v>
      </c>
      <c r="H1437">
        <v>278</v>
      </c>
      <c r="I1437">
        <v>302</v>
      </c>
      <c r="J1437">
        <v>193</v>
      </c>
      <c r="K1437">
        <v>289</v>
      </c>
      <c r="L1437">
        <v>400</v>
      </c>
      <c r="M1437">
        <v>811</v>
      </c>
      <c r="N1437">
        <v>71</v>
      </c>
      <c r="O1437" t="s">
        <v>4274</v>
      </c>
      <c r="P1437" s="1" t="b">
        <f>NOT(OR(Table1[[#This Row],[State]]="Other Foreign Countries", Table1[[#This Row],[State]]="Unknown", Table1[[#This Row],[State]]="Puerto Rico all counties"))</f>
        <v>1</v>
      </c>
    </row>
    <row r="1438" spans="1:16" x14ac:dyDescent="0.25">
      <c r="A1438">
        <v>17085</v>
      </c>
      <c r="B1438" t="s">
        <v>1109</v>
      </c>
      <c r="C1438" t="s">
        <v>1173</v>
      </c>
      <c r="D1438">
        <v>356</v>
      </c>
      <c r="E1438">
        <v>93</v>
      </c>
      <c r="F1438">
        <v>53</v>
      </c>
      <c r="G1438">
        <v>47</v>
      </c>
      <c r="H1438">
        <v>92</v>
      </c>
      <c r="I1438">
        <v>71</v>
      </c>
      <c r="J1438">
        <v>64</v>
      </c>
      <c r="K1438">
        <v>105</v>
      </c>
      <c r="L1438">
        <v>187</v>
      </c>
      <c r="M1438">
        <v>328</v>
      </c>
      <c r="N1438">
        <v>28</v>
      </c>
      <c r="O1438" t="s">
        <v>1174</v>
      </c>
      <c r="P1438" s="1" t="b">
        <f>NOT(OR(Table1[[#This Row],[State]]="Other Foreign Countries", Table1[[#This Row],[State]]="Unknown", Table1[[#This Row],[State]]="Puerto Rico all counties"))</f>
        <v>1</v>
      </c>
    </row>
    <row r="1439" spans="1:16" x14ac:dyDescent="0.25">
      <c r="A1439">
        <v>5071</v>
      </c>
      <c r="B1439" t="s">
        <v>242</v>
      </c>
      <c r="C1439" t="s">
        <v>304</v>
      </c>
      <c r="D1439">
        <v>542</v>
      </c>
      <c r="E1439">
        <v>88</v>
      </c>
      <c r="F1439">
        <v>69</v>
      </c>
      <c r="G1439">
        <v>60</v>
      </c>
      <c r="H1439">
        <v>171</v>
      </c>
      <c r="I1439">
        <v>154</v>
      </c>
      <c r="J1439">
        <v>128</v>
      </c>
      <c r="K1439">
        <v>190</v>
      </c>
      <c r="L1439">
        <v>224</v>
      </c>
      <c r="M1439">
        <v>498</v>
      </c>
      <c r="N1439">
        <v>44</v>
      </c>
      <c r="O1439" t="s">
        <v>305</v>
      </c>
      <c r="P1439" s="1" t="b">
        <f>NOT(OR(Table1[[#This Row],[State]]="Other Foreign Countries", Table1[[#This Row],[State]]="Unknown", Table1[[#This Row],[State]]="Puerto Rico all counties"))</f>
        <v>1</v>
      </c>
    </row>
    <row r="1440" spans="1:16" x14ac:dyDescent="0.25">
      <c r="A1440">
        <v>13167</v>
      </c>
      <c r="B1440" t="s">
        <v>754</v>
      </c>
      <c r="C1440" t="s">
        <v>304</v>
      </c>
      <c r="D1440">
        <v>160</v>
      </c>
      <c r="E1440">
        <v>29</v>
      </c>
      <c r="F1440">
        <v>20</v>
      </c>
      <c r="G1440">
        <v>16</v>
      </c>
      <c r="H1440">
        <v>61</v>
      </c>
      <c r="I1440">
        <v>34</v>
      </c>
      <c r="J1440">
        <v>36</v>
      </c>
      <c r="K1440">
        <v>56</v>
      </c>
      <c r="L1440">
        <v>68</v>
      </c>
      <c r="M1440">
        <v>139</v>
      </c>
      <c r="N1440">
        <v>21</v>
      </c>
      <c r="O1440" t="s">
        <v>897</v>
      </c>
      <c r="P1440" s="1" t="b">
        <f>NOT(OR(Table1[[#This Row],[State]]="Other Foreign Countries", Table1[[#This Row],[State]]="Unknown", Table1[[#This Row],[State]]="Puerto Rico all counties"))</f>
        <v>1</v>
      </c>
    </row>
    <row r="1441" spans="1:16" x14ac:dyDescent="0.25">
      <c r="A1441">
        <v>17087</v>
      </c>
      <c r="B1441" t="s">
        <v>1109</v>
      </c>
      <c r="C1441" t="s">
        <v>304</v>
      </c>
      <c r="D1441">
        <v>330</v>
      </c>
      <c r="E1441">
        <v>64</v>
      </c>
      <c r="F1441">
        <v>31</v>
      </c>
      <c r="G1441">
        <v>43</v>
      </c>
      <c r="H1441">
        <v>111</v>
      </c>
      <c r="I1441">
        <v>81</v>
      </c>
      <c r="J1441">
        <v>82</v>
      </c>
      <c r="K1441">
        <v>83</v>
      </c>
      <c r="L1441">
        <v>165</v>
      </c>
      <c r="M1441">
        <v>305</v>
      </c>
      <c r="N1441">
        <v>25</v>
      </c>
      <c r="O1441" t="s">
        <v>1175</v>
      </c>
      <c r="P1441" s="1" t="b">
        <f>NOT(OR(Table1[[#This Row],[State]]="Other Foreign Countries", Table1[[#This Row],[State]]="Unknown", Table1[[#This Row],[State]]="Puerto Rico all counties"))</f>
        <v>1</v>
      </c>
    </row>
    <row r="1442" spans="1:16" x14ac:dyDescent="0.25">
      <c r="A1442">
        <v>18081</v>
      </c>
      <c r="B1442" t="s">
        <v>1266</v>
      </c>
      <c r="C1442" t="s">
        <v>304</v>
      </c>
      <c r="D1442">
        <v>3544</v>
      </c>
      <c r="E1442">
        <v>870</v>
      </c>
      <c r="F1442">
        <v>434</v>
      </c>
      <c r="G1442">
        <v>489</v>
      </c>
      <c r="H1442">
        <v>950</v>
      </c>
      <c r="I1442">
        <v>801</v>
      </c>
      <c r="J1442" s="1">
        <v>1024</v>
      </c>
      <c r="K1442" s="1">
        <v>1210</v>
      </c>
      <c r="L1442" s="1">
        <v>1310</v>
      </c>
      <c r="M1442" s="1">
        <v>3173</v>
      </c>
      <c r="N1442">
        <v>370</v>
      </c>
      <c r="O1442" t="s">
        <v>1321</v>
      </c>
      <c r="P1442" s="1" t="b">
        <f>NOT(OR(Table1[[#This Row],[State]]="Other Foreign Countries", Table1[[#This Row],[State]]="Unknown", Table1[[#This Row],[State]]="Puerto Rico all counties"))</f>
        <v>1</v>
      </c>
    </row>
    <row r="1443" spans="1:16" x14ac:dyDescent="0.25">
      <c r="A1443">
        <v>19103</v>
      </c>
      <c r="B1443" t="s">
        <v>1399</v>
      </c>
      <c r="C1443" t="s">
        <v>304</v>
      </c>
      <c r="D1443">
        <v>1522</v>
      </c>
      <c r="E1443">
        <v>333</v>
      </c>
      <c r="F1443">
        <v>190</v>
      </c>
      <c r="G1443">
        <v>226</v>
      </c>
      <c r="H1443">
        <v>424</v>
      </c>
      <c r="I1443">
        <v>349</v>
      </c>
      <c r="J1443">
        <v>538</v>
      </c>
      <c r="K1443">
        <v>445</v>
      </c>
      <c r="L1443">
        <v>539</v>
      </c>
      <c r="M1443" s="1">
        <v>1346</v>
      </c>
      <c r="N1443">
        <v>176</v>
      </c>
      <c r="O1443" t="s">
        <v>1469</v>
      </c>
      <c r="P1443" s="1" t="b">
        <f>NOT(OR(Table1[[#This Row],[State]]="Other Foreign Countries", Table1[[#This Row],[State]]="Unknown", Table1[[#This Row],[State]]="Puerto Rico all counties"))</f>
        <v>1</v>
      </c>
    </row>
    <row r="1444" spans="1:16" x14ac:dyDescent="0.25">
      <c r="A1444">
        <v>20091</v>
      </c>
      <c r="B1444" t="s">
        <v>1543</v>
      </c>
      <c r="C1444" t="s">
        <v>304</v>
      </c>
      <c r="D1444">
        <v>7127</v>
      </c>
      <c r="E1444" s="1">
        <v>1553</v>
      </c>
      <c r="F1444">
        <v>872</v>
      </c>
      <c r="G1444">
        <v>884</v>
      </c>
      <c r="H1444" s="1">
        <v>2104</v>
      </c>
      <c r="I1444" s="1">
        <v>1714</v>
      </c>
      <c r="J1444" s="1">
        <v>2312</v>
      </c>
      <c r="K1444" s="1">
        <v>2225</v>
      </c>
      <c r="L1444" s="1">
        <v>2590</v>
      </c>
      <c r="M1444" s="1">
        <v>6419</v>
      </c>
      <c r="N1444">
        <v>708</v>
      </c>
      <c r="O1444" t="s">
        <v>1615</v>
      </c>
      <c r="P1444" s="1" t="b">
        <f>NOT(OR(Table1[[#This Row],[State]]="Other Foreign Countries", Table1[[#This Row],[State]]="Unknown", Table1[[#This Row],[State]]="Puerto Rico all counties"))</f>
        <v>1</v>
      </c>
    </row>
    <row r="1445" spans="1:16" x14ac:dyDescent="0.25">
      <c r="A1445">
        <v>21115</v>
      </c>
      <c r="B1445" t="s">
        <v>1716</v>
      </c>
      <c r="C1445" t="s">
        <v>304</v>
      </c>
      <c r="D1445">
        <v>401</v>
      </c>
      <c r="E1445">
        <v>79</v>
      </c>
      <c r="F1445">
        <v>34</v>
      </c>
      <c r="G1445">
        <v>34</v>
      </c>
      <c r="H1445">
        <v>119</v>
      </c>
      <c r="I1445">
        <v>135</v>
      </c>
      <c r="J1445">
        <v>77</v>
      </c>
      <c r="K1445">
        <v>109</v>
      </c>
      <c r="L1445">
        <v>215</v>
      </c>
      <c r="M1445">
        <v>386</v>
      </c>
      <c r="N1445">
        <v>15</v>
      </c>
      <c r="O1445" t="s">
        <v>1803</v>
      </c>
      <c r="P1445" s="1" t="b">
        <f>NOT(OR(Table1[[#This Row],[State]]="Other Foreign Countries", Table1[[#This Row],[State]]="Unknown", Table1[[#This Row],[State]]="Puerto Rico all counties"))</f>
        <v>1</v>
      </c>
    </row>
    <row r="1446" spans="1:16" x14ac:dyDescent="0.25">
      <c r="A1446">
        <v>29101</v>
      </c>
      <c r="B1446" t="s">
        <v>2510</v>
      </c>
      <c r="C1446" t="s">
        <v>304</v>
      </c>
      <c r="D1446">
        <v>2705</v>
      </c>
      <c r="E1446">
        <v>476</v>
      </c>
      <c r="F1446">
        <v>342</v>
      </c>
      <c r="G1446">
        <v>383</v>
      </c>
      <c r="H1446">
        <v>835</v>
      </c>
      <c r="I1446">
        <v>669</v>
      </c>
      <c r="J1446">
        <v>940</v>
      </c>
      <c r="K1446" s="1">
        <v>1036</v>
      </c>
      <c r="L1446">
        <v>729</v>
      </c>
      <c r="M1446" s="1">
        <v>2286</v>
      </c>
      <c r="N1446">
        <v>419</v>
      </c>
      <c r="O1446" t="s">
        <v>2577</v>
      </c>
      <c r="P1446" s="1" t="b">
        <f>NOT(OR(Table1[[#This Row],[State]]="Other Foreign Countries", Table1[[#This Row],[State]]="Unknown", Table1[[#This Row],[State]]="Puerto Rico all counties"))</f>
        <v>1</v>
      </c>
    </row>
    <row r="1447" spans="1:16" x14ac:dyDescent="0.25">
      <c r="A1447">
        <v>31097</v>
      </c>
      <c r="B1447" t="s">
        <v>2758</v>
      </c>
      <c r="C1447" t="s">
        <v>304</v>
      </c>
      <c r="D1447">
        <v>102</v>
      </c>
      <c r="E1447">
        <v>38</v>
      </c>
      <c r="G1447">
        <v>19</v>
      </c>
      <c r="H1447">
        <v>22</v>
      </c>
      <c r="J1447">
        <v>22</v>
      </c>
      <c r="K1447">
        <v>38</v>
      </c>
      <c r="L1447">
        <v>42</v>
      </c>
      <c r="M1447">
        <v>89</v>
      </c>
      <c r="N1447">
        <v>13</v>
      </c>
      <c r="O1447" t="s">
        <v>2828</v>
      </c>
      <c r="P1447" s="1" t="b">
        <f>NOT(OR(Table1[[#This Row],[State]]="Other Foreign Countries", Table1[[#This Row],[State]]="Unknown", Table1[[#This Row],[State]]="Puerto Rico all counties"))</f>
        <v>1</v>
      </c>
    </row>
    <row r="1448" spans="1:16" x14ac:dyDescent="0.25">
      <c r="A1448">
        <v>47091</v>
      </c>
      <c r="B1448" t="s">
        <v>3951</v>
      </c>
      <c r="C1448" t="s">
        <v>304</v>
      </c>
      <c r="D1448">
        <v>577</v>
      </c>
      <c r="E1448">
        <v>107</v>
      </c>
      <c r="F1448">
        <v>57</v>
      </c>
      <c r="G1448">
        <v>86</v>
      </c>
      <c r="H1448">
        <v>181</v>
      </c>
      <c r="I1448">
        <v>146</v>
      </c>
      <c r="J1448">
        <v>72</v>
      </c>
      <c r="K1448">
        <v>184</v>
      </c>
      <c r="L1448">
        <v>321</v>
      </c>
      <c r="M1448">
        <v>538</v>
      </c>
      <c r="N1448">
        <v>39</v>
      </c>
      <c r="O1448" t="s">
        <v>4010</v>
      </c>
      <c r="P1448" s="1" t="b">
        <f>NOT(OR(Table1[[#This Row],[State]]="Other Foreign Countries", Table1[[#This Row],[State]]="Unknown", Table1[[#This Row],[State]]="Puerto Rico all counties"))</f>
        <v>1</v>
      </c>
    </row>
    <row r="1449" spans="1:16" x14ac:dyDescent="0.25">
      <c r="A1449">
        <v>48251</v>
      </c>
      <c r="B1449" t="s">
        <v>2654</v>
      </c>
      <c r="C1449" t="s">
        <v>304</v>
      </c>
      <c r="D1449">
        <v>5089</v>
      </c>
      <c r="E1449">
        <v>730</v>
      </c>
      <c r="F1449">
        <v>488</v>
      </c>
      <c r="G1449">
        <v>585</v>
      </c>
      <c r="H1449" s="1">
        <v>1463</v>
      </c>
      <c r="I1449" s="1">
        <v>1823</v>
      </c>
      <c r="J1449" s="1">
        <v>1969</v>
      </c>
      <c r="K1449" s="1">
        <v>1754</v>
      </c>
      <c r="L1449" s="1">
        <v>1366</v>
      </c>
      <c r="M1449" s="1">
        <v>4363</v>
      </c>
      <c r="N1449">
        <v>726</v>
      </c>
      <c r="O1449" t="s">
        <v>4275</v>
      </c>
      <c r="P1449" s="1" t="b">
        <f>NOT(OR(Table1[[#This Row],[State]]="Other Foreign Countries", Table1[[#This Row],[State]]="Unknown", Table1[[#This Row],[State]]="Puerto Rico all counties"))</f>
        <v>1</v>
      </c>
    </row>
    <row r="1450" spans="1:16" x14ac:dyDescent="0.25">
      <c r="A1450">
        <v>56019</v>
      </c>
      <c r="B1450" t="s">
        <v>3117</v>
      </c>
      <c r="C1450" t="s">
        <v>304</v>
      </c>
      <c r="D1450">
        <v>255</v>
      </c>
      <c r="E1450">
        <v>58</v>
      </c>
      <c r="F1450">
        <v>34</v>
      </c>
      <c r="G1450">
        <v>32</v>
      </c>
      <c r="H1450">
        <v>69</v>
      </c>
      <c r="I1450">
        <v>62</v>
      </c>
      <c r="J1450">
        <v>43</v>
      </c>
      <c r="K1450">
        <v>78</v>
      </c>
      <c r="L1450">
        <v>134</v>
      </c>
      <c r="M1450">
        <v>231</v>
      </c>
      <c r="N1450">
        <v>24</v>
      </c>
      <c r="O1450" t="s">
        <v>5025</v>
      </c>
      <c r="P1450" s="1" t="b">
        <f>NOT(OR(Table1[[#This Row],[State]]="Other Foreign Countries", Table1[[#This Row],[State]]="Unknown", Table1[[#This Row],[State]]="Puerto Rico all counties"))</f>
        <v>1</v>
      </c>
    </row>
    <row r="1451" spans="1:16" x14ac:dyDescent="0.25">
      <c r="A1451">
        <v>37101</v>
      </c>
      <c r="B1451" t="s">
        <v>3121</v>
      </c>
      <c r="C1451" t="s">
        <v>3207</v>
      </c>
      <c r="D1451">
        <v>6800</v>
      </c>
      <c r="E1451">
        <v>936</v>
      </c>
      <c r="F1451">
        <v>596</v>
      </c>
      <c r="G1451">
        <v>771</v>
      </c>
      <c r="H1451" s="1">
        <v>2242</v>
      </c>
      <c r="I1451" s="1">
        <v>2255</v>
      </c>
      <c r="J1451" s="1">
        <v>2325</v>
      </c>
      <c r="K1451" s="1">
        <v>2516</v>
      </c>
      <c r="L1451" s="1">
        <v>1959</v>
      </c>
      <c r="M1451" s="1">
        <v>5797</v>
      </c>
      <c r="N1451" s="1">
        <v>1003</v>
      </c>
      <c r="O1451" t="s">
        <v>3208</v>
      </c>
      <c r="P1451" s="1" t="b">
        <f>NOT(OR(Table1[[#This Row],[State]]="Other Foreign Countries", Table1[[#This Row],[State]]="Unknown", Table1[[#This Row],[State]]="Puerto Rico all counties"))</f>
        <v>1</v>
      </c>
    </row>
    <row r="1452" spans="1:16" x14ac:dyDescent="0.25">
      <c r="A1452">
        <v>40069</v>
      </c>
      <c r="B1452" t="s">
        <v>3495</v>
      </c>
      <c r="C1452" t="s">
        <v>3207</v>
      </c>
      <c r="D1452">
        <v>311</v>
      </c>
      <c r="E1452">
        <v>71</v>
      </c>
      <c r="F1452">
        <v>32</v>
      </c>
      <c r="G1452">
        <v>37</v>
      </c>
      <c r="H1452">
        <v>95</v>
      </c>
      <c r="I1452">
        <v>76</v>
      </c>
      <c r="J1452">
        <v>58</v>
      </c>
      <c r="K1452">
        <v>92</v>
      </c>
      <c r="L1452">
        <v>161</v>
      </c>
      <c r="M1452">
        <v>290</v>
      </c>
      <c r="N1452">
        <v>21</v>
      </c>
      <c r="O1452" t="s">
        <v>3545</v>
      </c>
      <c r="P1452" s="1" t="b">
        <f>NOT(OR(Table1[[#This Row],[State]]="Other Foreign Countries", Table1[[#This Row],[State]]="Unknown", Table1[[#This Row],[State]]="Puerto Rico all counties"))</f>
        <v>1</v>
      </c>
    </row>
    <row r="1453" spans="1:16" x14ac:dyDescent="0.25">
      <c r="A1453">
        <v>13169</v>
      </c>
      <c r="B1453" t="s">
        <v>754</v>
      </c>
      <c r="C1453" t="s">
        <v>898</v>
      </c>
      <c r="D1453">
        <v>791</v>
      </c>
      <c r="E1453">
        <v>130</v>
      </c>
      <c r="F1453">
        <v>69</v>
      </c>
      <c r="G1453">
        <v>86</v>
      </c>
      <c r="H1453">
        <v>256</v>
      </c>
      <c r="I1453">
        <v>250</v>
      </c>
      <c r="J1453">
        <v>195</v>
      </c>
      <c r="K1453">
        <v>308</v>
      </c>
      <c r="L1453">
        <v>288</v>
      </c>
      <c r="M1453">
        <v>669</v>
      </c>
      <c r="N1453">
        <v>122</v>
      </c>
      <c r="O1453" t="s">
        <v>899</v>
      </c>
      <c r="P1453" s="1" t="b">
        <f>NOT(OR(Table1[[#This Row],[State]]="Other Foreign Countries", Table1[[#This Row],[State]]="Unknown", Table1[[#This Row],[State]]="Puerto Rico all counties"))</f>
        <v>1</v>
      </c>
    </row>
    <row r="1454" spans="1:16" x14ac:dyDescent="0.25">
      <c r="A1454">
        <v>19105</v>
      </c>
      <c r="B1454" t="s">
        <v>1399</v>
      </c>
      <c r="C1454" t="s">
        <v>898</v>
      </c>
      <c r="D1454">
        <v>350</v>
      </c>
      <c r="E1454">
        <v>79</v>
      </c>
      <c r="F1454">
        <v>46</v>
      </c>
      <c r="G1454">
        <v>48</v>
      </c>
      <c r="H1454">
        <v>75</v>
      </c>
      <c r="I1454">
        <v>102</v>
      </c>
      <c r="J1454">
        <v>97</v>
      </c>
      <c r="K1454">
        <v>90</v>
      </c>
      <c r="L1454">
        <v>163</v>
      </c>
      <c r="M1454">
        <v>324</v>
      </c>
      <c r="N1454">
        <v>26</v>
      </c>
      <c r="O1454" t="s">
        <v>1470</v>
      </c>
      <c r="P1454" s="1" t="b">
        <f>NOT(OR(Table1[[#This Row],[State]]="Other Foreign Countries", Table1[[#This Row],[State]]="Unknown", Table1[[#This Row],[State]]="Puerto Rico all counties"))</f>
        <v>1</v>
      </c>
    </row>
    <row r="1455" spans="1:16" x14ac:dyDescent="0.25">
      <c r="A1455">
        <v>28067</v>
      </c>
      <c r="B1455" t="s">
        <v>322</v>
      </c>
      <c r="C1455" t="s">
        <v>898</v>
      </c>
      <c r="D1455">
        <v>1028</v>
      </c>
      <c r="E1455">
        <v>186</v>
      </c>
      <c r="F1455">
        <v>99</v>
      </c>
      <c r="G1455">
        <v>137</v>
      </c>
      <c r="H1455">
        <v>314</v>
      </c>
      <c r="I1455">
        <v>292</v>
      </c>
      <c r="J1455">
        <v>176</v>
      </c>
      <c r="K1455">
        <v>378</v>
      </c>
      <c r="L1455">
        <v>474</v>
      </c>
      <c r="M1455">
        <v>941</v>
      </c>
      <c r="N1455">
        <v>87</v>
      </c>
      <c r="O1455" t="s">
        <v>2440</v>
      </c>
      <c r="P1455" s="1" t="b">
        <f>NOT(OR(Table1[[#This Row],[State]]="Other Foreign Countries", Table1[[#This Row],[State]]="Unknown", Table1[[#This Row],[State]]="Puerto Rico all counties"))</f>
        <v>1</v>
      </c>
    </row>
    <row r="1456" spans="1:16" x14ac:dyDescent="0.25">
      <c r="A1456">
        <v>37103</v>
      </c>
      <c r="B1456" t="s">
        <v>3121</v>
      </c>
      <c r="C1456" t="s">
        <v>898</v>
      </c>
      <c r="D1456">
        <v>491</v>
      </c>
      <c r="E1456">
        <v>74</v>
      </c>
      <c r="F1456">
        <v>38</v>
      </c>
      <c r="G1456">
        <v>51</v>
      </c>
      <c r="H1456">
        <v>137</v>
      </c>
      <c r="I1456">
        <v>191</v>
      </c>
      <c r="J1456">
        <v>128</v>
      </c>
      <c r="K1456">
        <v>186</v>
      </c>
      <c r="L1456">
        <v>177</v>
      </c>
      <c r="M1456">
        <v>419</v>
      </c>
      <c r="N1456">
        <v>72</v>
      </c>
      <c r="O1456" t="s">
        <v>3209</v>
      </c>
      <c r="P1456" s="1" t="b">
        <f>NOT(OR(Table1[[#This Row],[State]]="Other Foreign Countries", Table1[[#This Row],[State]]="Unknown", Table1[[#This Row],[State]]="Puerto Rico all counties"))</f>
        <v>1</v>
      </c>
    </row>
    <row r="1457" spans="1:16" x14ac:dyDescent="0.25">
      <c r="A1457">
        <v>46075</v>
      </c>
      <c r="B1457" t="s">
        <v>3846</v>
      </c>
      <c r="C1457" t="s">
        <v>898</v>
      </c>
      <c r="O1457" t="s">
        <v>3904</v>
      </c>
      <c r="P1457" s="1" t="b">
        <f>NOT(OR(Table1[[#This Row],[State]]="Other Foreign Countries", Table1[[#This Row],[State]]="Unknown", Table1[[#This Row],[State]]="Puerto Rico all counties"))</f>
        <v>1</v>
      </c>
    </row>
    <row r="1458" spans="1:16" x14ac:dyDescent="0.25">
      <c r="A1458">
        <v>48253</v>
      </c>
      <c r="B1458" t="s">
        <v>2654</v>
      </c>
      <c r="C1458" t="s">
        <v>898</v>
      </c>
      <c r="D1458">
        <v>486</v>
      </c>
      <c r="E1458">
        <v>84</v>
      </c>
      <c r="F1458">
        <v>45</v>
      </c>
      <c r="G1458">
        <v>54</v>
      </c>
      <c r="H1458">
        <v>137</v>
      </c>
      <c r="I1458">
        <v>166</v>
      </c>
      <c r="J1458">
        <v>140</v>
      </c>
      <c r="K1458">
        <v>193</v>
      </c>
      <c r="L1458">
        <v>153</v>
      </c>
      <c r="M1458">
        <v>432</v>
      </c>
      <c r="N1458">
        <v>54</v>
      </c>
      <c r="O1458" t="s">
        <v>4276</v>
      </c>
      <c r="P1458" s="1" t="b">
        <f>NOT(OR(Table1[[#This Row],[State]]="Other Foreign Countries", Table1[[#This Row],[State]]="Unknown", Table1[[#This Row],[State]]="Puerto Rico all counties"))</f>
        <v>1</v>
      </c>
    </row>
    <row r="1459" spans="1:16" x14ac:dyDescent="0.25">
      <c r="A1459">
        <v>41033</v>
      </c>
      <c r="B1459" t="s">
        <v>2607</v>
      </c>
      <c r="C1459" t="s">
        <v>3636</v>
      </c>
      <c r="D1459">
        <v>3044</v>
      </c>
      <c r="E1459">
        <v>593</v>
      </c>
      <c r="F1459">
        <v>333</v>
      </c>
      <c r="G1459">
        <v>382</v>
      </c>
      <c r="H1459">
        <v>924</v>
      </c>
      <c r="I1459">
        <v>812</v>
      </c>
      <c r="J1459">
        <v>645</v>
      </c>
      <c r="K1459">
        <v>731</v>
      </c>
      <c r="L1459" s="1">
        <v>1668</v>
      </c>
      <c r="M1459" s="1">
        <v>2759</v>
      </c>
      <c r="N1459">
        <v>285</v>
      </c>
      <c r="O1459" t="s">
        <v>3637</v>
      </c>
      <c r="P1459" s="1" t="b">
        <f>NOT(OR(Table1[[#This Row],[State]]="Other Foreign Countries", Table1[[#This Row],[State]]="Unknown", Table1[[#This Row],[State]]="Puerto Rico all counties"))</f>
        <v>1</v>
      </c>
    </row>
    <row r="1460" spans="1:16" x14ac:dyDescent="0.25">
      <c r="A1460">
        <v>49023</v>
      </c>
      <c r="B1460" t="s">
        <v>4486</v>
      </c>
      <c r="C1460" t="s">
        <v>4503</v>
      </c>
      <c r="D1460">
        <v>168</v>
      </c>
      <c r="E1460">
        <v>39</v>
      </c>
      <c r="F1460">
        <v>21</v>
      </c>
      <c r="G1460">
        <v>17</v>
      </c>
      <c r="H1460">
        <v>44</v>
      </c>
      <c r="I1460">
        <v>47</v>
      </c>
      <c r="J1460">
        <v>41</v>
      </c>
      <c r="K1460">
        <v>48</v>
      </c>
      <c r="L1460">
        <v>79</v>
      </c>
      <c r="M1460">
        <v>157</v>
      </c>
      <c r="N1460">
        <v>11</v>
      </c>
      <c r="O1460" t="s">
        <v>4504</v>
      </c>
      <c r="P1460" s="1" t="b">
        <f>NOT(OR(Table1[[#This Row],[State]]="Other Foreign Countries", Table1[[#This Row],[State]]="Unknown", Table1[[#This Row],[State]]="Puerto Rico all counties"))</f>
        <v>1</v>
      </c>
    </row>
    <row r="1461" spans="1:16" x14ac:dyDescent="0.25">
      <c r="A1461">
        <v>30045</v>
      </c>
      <c r="B1461" t="s">
        <v>2665</v>
      </c>
      <c r="C1461" t="s">
        <v>2703</v>
      </c>
      <c r="D1461">
        <v>80</v>
      </c>
      <c r="E1461">
        <v>21</v>
      </c>
      <c r="H1461">
        <v>25</v>
      </c>
      <c r="I1461">
        <v>16</v>
      </c>
      <c r="J1461">
        <v>21</v>
      </c>
      <c r="K1461">
        <v>19</v>
      </c>
      <c r="L1461">
        <v>40</v>
      </c>
      <c r="M1461">
        <v>70</v>
      </c>
      <c r="N1461">
        <v>10</v>
      </c>
      <c r="O1461" t="s">
        <v>2704</v>
      </c>
      <c r="P1461" s="1" t="b">
        <f>NOT(OR(Table1[[#This Row],[State]]="Other Foreign Countries", Table1[[#This Row],[State]]="Unknown", Table1[[#This Row],[State]]="Puerto Rico all counties"))</f>
        <v>1</v>
      </c>
    </row>
    <row r="1462" spans="1:16" x14ac:dyDescent="0.25">
      <c r="A1462">
        <v>2110</v>
      </c>
      <c r="B1462" t="s">
        <v>150</v>
      </c>
      <c r="C1462" t="s">
        <v>175</v>
      </c>
      <c r="D1462">
        <v>579</v>
      </c>
      <c r="E1462">
        <v>140</v>
      </c>
      <c r="F1462">
        <v>94</v>
      </c>
      <c r="G1462">
        <v>60</v>
      </c>
      <c r="H1462">
        <v>158</v>
      </c>
      <c r="I1462">
        <v>127</v>
      </c>
      <c r="J1462">
        <v>163</v>
      </c>
      <c r="K1462">
        <v>250</v>
      </c>
      <c r="L1462">
        <v>166</v>
      </c>
      <c r="M1462">
        <v>521</v>
      </c>
      <c r="N1462">
        <v>58</v>
      </c>
      <c r="O1462" t="s">
        <v>176</v>
      </c>
      <c r="P1462" s="1" t="b">
        <f>NOT(OR(Table1[[#This Row],[State]]="Other Foreign Countries", Table1[[#This Row],[State]]="Unknown", Table1[[#This Row],[State]]="Puerto Rico all counties"))</f>
        <v>1</v>
      </c>
    </row>
    <row r="1463" spans="1:16" x14ac:dyDescent="0.25">
      <c r="A1463">
        <v>55057</v>
      </c>
      <c r="B1463" t="s">
        <v>4906</v>
      </c>
      <c r="C1463" t="s">
        <v>175</v>
      </c>
      <c r="D1463">
        <v>711</v>
      </c>
      <c r="E1463">
        <v>169</v>
      </c>
      <c r="F1463">
        <v>93</v>
      </c>
      <c r="G1463">
        <v>117</v>
      </c>
      <c r="H1463">
        <v>189</v>
      </c>
      <c r="I1463">
        <v>143</v>
      </c>
      <c r="J1463">
        <v>175</v>
      </c>
      <c r="K1463">
        <v>240</v>
      </c>
      <c r="L1463">
        <v>296</v>
      </c>
      <c r="M1463">
        <v>631</v>
      </c>
      <c r="N1463">
        <v>80</v>
      </c>
      <c r="O1463" t="s">
        <v>4944</v>
      </c>
      <c r="P1463" s="1" t="b">
        <f>NOT(OR(Table1[[#This Row],[State]]="Other Foreign Countries", Table1[[#This Row],[State]]="Unknown", Table1[[#This Row],[State]]="Puerto Rico all counties"))</f>
        <v>1</v>
      </c>
    </row>
    <row r="1464" spans="1:16" x14ac:dyDescent="0.25">
      <c r="A1464">
        <v>42067</v>
      </c>
      <c r="B1464" t="s">
        <v>3665</v>
      </c>
      <c r="C1464" t="s">
        <v>3713</v>
      </c>
      <c r="D1464">
        <v>229</v>
      </c>
      <c r="E1464">
        <v>56</v>
      </c>
      <c r="F1464">
        <v>26</v>
      </c>
      <c r="G1464">
        <v>29</v>
      </c>
      <c r="H1464">
        <v>78</v>
      </c>
      <c r="I1464">
        <v>40</v>
      </c>
      <c r="J1464">
        <v>50</v>
      </c>
      <c r="K1464">
        <v>77</v>
      </c>
      <c r="L1464">
        <v>102</v>
      </c>
      <c r="M1464">
        <v>203</v>
      </c>
      <c r="N1464">
        <v>26</v>
      </c>
      <c r="O1464" t="s">
        <v>3714</v>
      </c>
      <c r="P1464" s="1" t="b">
        <f>NOT(OR(Table1[[#This Row],[State]]="Other Foreign Countries", Table1[[#This Row],[State]]="Unknown", Table1[[#This Row],[State]]="Puerto Rico all counties"))</f>
        <v>1</v>
      </c>
    </row>
    <row r="1465" spans="1:16" x14ac:dyDescent="0.25">
      <c r="A1465">
        <v>26077</v>
      </c>
      <c r="B1465" t="s">
        <v>2099</v>
      </c>
      <c r="C1465" t="s">
        <v>2166</v>
      </c>
      <c r="D1465">
        <v>3082</v>
      </c>
      <c r="E1465">
        <v>573</v>
      </c>
      <c r="F1465">
        <v>349</v>
      </c>
      <c r="G1465">
        <v>407</v>
      </c>
      <c r="H1465">
        <v>956</v>
      </c>
      <c r="I1465">
        <v>797</v>
      </c>
      <c r="J1465" s="1">
        <v>1030</v>
      </c>
      <c r="K1465">
        <v>890</v>
      </c>
      <c r="L1465" s="1">
        <v>1162</v>
      </c>
      <c r="M1465" s="1">
        <v>2722</v>
      </c>
      <c r="N1465">
        <v>360</v>
      </c>
      <c r="O1465" t="s">
        <v>2167</v>
      </c>
      <c r="P1465" s="1" t="b">
        <f>NOT(OR(Table1[[#This Row],[State]]="Other Foreign Countries", Table1[[#This Row],[State]]="Unknown", Table1[[#This Row],[State]]="Puerto Rico all counties"))</f>
        <v>1</v>
      </c>
    </row>
    <row r="1466" spans="1:16" x14ac:dyDescent="0.25">
      <c r="A1466">
        <v>15005</v>
      </c>
      <c r="B1466" t="s">
        <v>1022</v>
      </c>
      <c r="C1466" t="s">
        <v>1026</v>
      </c>
      <c r="O1466" t="s">
        <v>1027</v>
      </c>
      <c r="P1466" s="1" t="b">
        <f>NOT(OR(Table1[[#This Row],[State]]="Other Foreign Countries", Table1[[#This Row],[State]]="Unknown", Table1[[#This Row],[State]]="Puerto Rico all counties"))</f>
        <v>1</v>
      </c>
    </row>
    <row r="1467" spans="1:16" x14ac:dyDescent="0.25">
      <c r="A1467">
        <v>26079</v>
      </c>
      <c r="B1467" t="s">
        <v>2099</v>
      </c>
      <c r="C1467" t="s">
        <v>2168</v>
      </c>
      <c r="D1467">
        <v>437</v>
      </c>
      <c r="E1467">
        <v>124</v>
      </c>
      <c r="F1467">
        <v>43</v>
      </c>
      <c r="G1467">
        <v>45</v>
      </c>
      <c r="H1467">
        <v>124</v>
      </c>
      <c r="I1467">
        <v>101</v>
      </c>
      <c r="J1467">
        <v>98</v>
      </c>
      <c r="K1467">
        <v>106</v>
      </c>
      <c r="L1467">
        <v>233</v>
      </c>
      <c r="M1467">
        <v>409</v>
      </c>
      <c r="N1467">
        <v>28</v>
      </c>
      <c r="O1467" t="s">
        <v>2169</v>
      </c>
      <c r="P1467" s="1" t="b">
        <f>NOT(OR(Table1[[#This Row],[State]]="Other Foreign Countries", Table1[[#This Row],[State]]="Unknown", Table1[[#This Row],[State]]="Puerto Rico all counties"))</f>
        <v>1</v>
      </c>
    </row>
    <row r="1468" spans="1:16" x14ac:dyDescent="0.25">
      <c r="A1468">
        <v>27065</v>
      </c>
      <c r="B1468" t="s">
        <v>2245</v>
      </c>
      <c r="C1468" t="s">
        <v>2298</v>
      </c>
      <c r="D1468">
        <v>525</v>
      </c>
      <c r="E1468">
        <v>215</v>
      </c>
      <c r="F1468">
        <v>56</v>
      </c>
      <c r="G1468">
        <v>49</v>
      </c>
      <c r="H1468">
        <v>117</v>
      </c>
      <c r="I1468">
        <v>88</v>
      </c>
      <c r="J1468">
        <v>71</v>
      </c>
      <c r="K1468">
        <v>119</v>
      </c>
      <c r="L1468">
        <v>335</v>
      </c>
      <c r="M1468">
        <v>492</v>
      </c>
      <c r="N1468">
        <v>33</v>
      </c>
      <c r="O1468" t="s">
        <v>2299</v>
      </c>
      <c r="P1468" s="1" t="b">
        <f>NOT(OR(Table1[[#This Row],[State]]="Other Foreign Countries", Table1[[#This Row],[State]]="Unknown", Table1[[#This Row],[State]]="Puerto Rico all counties"))</f>
        <v>1</v>
      </c>
    </row>
    <row r="1469" spans="1:16" x14ac:dyDescent="0.25">
      <c r="A1469">
        <v>54039</v>
      </c>
      <c r="B1469" t="s">
        <v>4833</v>
      </c>
      <c r="C1469" t="s">
        <v>4859</v>
      </c>
      <c r="D1469">
        <v>3478</v>
      </c>
      <c r="E1469">
        <v>755</v>
      </c>
      <c r="F1469">
        <v>373</v>
      </c>
      <c r="G1469">
        <v>405</v>
      </c>
      <c r="H1469" s="1">
        <v>1019</v>
      </c>
      <c r="I1469">
        <v>926</v>
      </c>
      <c r="J1469">
        <v>708</v>
      </c>
      <c r="K1469" s="1">
        <v>1150</v>
      </c>
      <c r="L1469" s="1">
        <v>1620</v>
      </c>
      <c r="M1469" s="1">
        <v>3231</v>
      </c>
      <c r="N1469">
        <v>246</v>
      </c>
      <c r="O1469" t="s">
        <v>4860</v>
      </c>
      <c r="P1469" s="1" t="b">
        <f>NOT(OR(Table1[[#This Row],[State]]="Other Foreign Countries", Table1[[#This Row],[State]]="Unknown", Table1[[#This Row],[State]]="Puerto Rico all counties"))</f>
        <v>1</v>
      </c>
    </row>
    <row r="1470" spans="1:16" x14ac:dyDescent="0.25">
      <c r="A1470">
        <v>27067</v>
      </c>
      <c r="B1470" t="s">
        <v>2245</v>
      </c>
      <c r="C1470" t="s">
        <v>2300</v>
      </c>
      <c r="D1470">
        <v>880</v>
      </c>
      <c r="E1470">
        <v>419</v>
      </c>
      <c r="F1470">
        <v>104</v>
      </c>
      <c r="G1470">
        <v>88</v>
      </c>
      <c r="H1470">
        <v>144</v>
      </c>
      <c r="I1470">
        <v>125</v>
      </c>
      <c r="J1470">
        <v>125</v>
      </c>
      <c r="K1470">
        <v>166</v>
      </c>
      <c r="L1470">
        <v>589</v>
      </c>
      <c r="M1470">
        <v>840</v>
      </c>
      <c r="N1470">
        <v>40</v>
      </c>
      <c r="O1470" t="s">
        <v>2301</v>
      </c>
      <c r="P1470" s="1" t="b">
        <f>NOT(OR(Table1[[#This Row],[State]]="Other Foreign Countries", Table1[[#This Row],[State]]="Unknown", Table1[[#This Row],[State]]="Puerto Rico all counties"))</f>
        <v>1</v>
      </c>
    </row>
    <row r="1471" spans="1:16" x14ac:dyDescent="0.25">
      <c r="A1471">
        <v>17089</v>
      </c>
      <c r="B1471" t="s">
        <v>1109</v>
      </c>
      <c r="C1471" t="s">
        <v>1176</v>
      </c>
      <c r="D1471">
        <v>4140</v>
      </c>
      <c r="E1471">
        <v>855</v>
      </c>
      <c r="F1471">
        <v>455</v>
      </c>
      <c r="G1471">
        <v>438</v>
      </c>
      <c r="H1471" s="1">
        <v>1308</v>
      </c>
      <c r="I1471" s="1">
        <v>1084</v>
      </c>
      <c r="J1471" s="1">
        <v>1461</v>
      </c>
      <c r="K1471" s="1">
        <v>1064</v>
      </c>
      <c r="L1471" s="1">
        <v>1615</v>
      </c>
      <c r="M1471" s="1">
        <v>3773</v>
      </c>
      <c r="N1471">
        <v>367</v>
      </c>
      <c r="O1471" t="s">
        <v>1177</v>
      </c>
      <c r="P1471" s="1" t="b">
        <f>NOT(OR(Table1[[#This Row],[State]]="Other Foreign Countries", Table1[[#This Row],[State]]="Unknown", Table1[[#This Row],[State]]="Puerto Rico all counties"))</f>
        <v>1</v>
      </c>
    </row>
    <row r="1472" spans="1:16" x14ac:dyDescent="0.25">
      <c r="A1472">
        <v>49025</v>
      </c>
      <c r="B1472" t="s">
        <v>4486</v>
      </c>
      <c r="C1472" t="s">
        <v>1176</v>
      </c>
      <c r="D1472">
        <v>173</v>
      </c>
      <c r="E1472">
        <v>37</v>
      </c>
      <c r="F1472">
        <v>19</v>
      </c>
      <c r="G1472">
        <v>19</v>
      </c>
      <c r="H1472">
        <v>45</v>
      </c>
      <c r="I1472">
        <v>53</v>
      </c>
      <c r="J1472">
        <v>26</v>
      </c>
      <c r="K1472">
        <v>56</v>
      </c>
      <c r="L1472">
        <v>91</v>
      </c>
      <c r="M1472">
        <v>158</v>
      </c>
      <c r="N1472">
        <v>15</v>
      </c>
      <c r="O1472" t="s">
        <v>4505</v>
      </c>
      <c r="P1472" s="1" t="b">
        <f>NOT(OR(Table1[[#This Row],[State]]="Other Foreign Countries", Table1[[#This Row],[State]]="Unknown", Table1[[#This Row],[State]]="Puerto Rico all counties"))</f>
        <v>1</v>
      </c>
    </row>
    <row r="1473" spans="1:16" x14ac:dyDescent="0.25">
      <c r="A1473">
        <v>17091</v>
      </c>
      <c r="B1473" t="s">
        <v>1109</v>
      </c>
      <c r="C1473" t="s">
        <v>1178</v>
      </c>
      <c r="D1473">
        <v>1416</v>
      </c>
      <c r="E1473">
        <v>276</v>
      </c>
      <c r="F1473">
        <v>163</v>
      </c>
      <c r="G1473">
        <v>161</v>
      </c>
      <c r="H1473">
        <v>437</v>
      </c>
      <c r="I1473">
        <v>379</v>
      </c>
      <c r="J1473">
        <v>388</v>
      </c>
      <c r="K1473">
        <v>375</v>
      </c>
      <c r="L1473">
        <v>653</v>
      </c>
      <c r="M1473" s="1">
        <v>1290</v>
      </c>
      <c r="N1473">
        <v>126</v>
      </c>
      <c r="O1473" t="s">
        <v>1179</v>
      </c>
      <c r="P1473" s="1" t="b">
        <f>NOT(OR(Table1[[#This Row],[State]]="Other Foreign Countries", Table1[[#This Row],[State]]="Unknown", Table1[[#This Row],[State]]="Puerto Rico all counties"))</f>
        <v>1</v>
      </c>
    </row>
    <row r="1474" spans="1:16" x14ac:dyDescent="0.25">
      <c r="A1474">
        <v>48255</v>
      </c>
      <c r="B1474" t="s">
        <v>2654</v>
      </c>
      <c r="C1474" t="s">
        <v>4277</v>
      </c>
      <c r="D1474">
        <v>240</v>
      </c>
      <c r="E1474">
        <v>49</v>
      </c>
      <c r="F1474">
        <v>16</v>
      </c>
      <c r="G1474">
        <v>24</v>
      </c>
      <c r="H1474">
        <v>90</v>
      </c>
      <c r="I1474">
        <v>61</v>
      </c>
      <c r="J1474">
        <v>85</v>
      </c>
      <c r="K1474">
        <v>68</v>
      </c>
      <c r="L1474">
        <v>87</v>
      </c>
      <c r="M1474">
        <v>213</v>
      </c>
      <c r="N1474">
        <v>27</v>
      </c>
      <c r="O1474" t="s">
        <v>4278</v>
      </c>
      <c r="P1474" s="1" t="b">
        <f>NOT(OR(Table1[[#This Row],[State]]="Other Foreign Countries", Table1[[#This Row],[State]]="Unknown", Table1[[#This Row],[State]]="Puerto Rico all counties"))</f>
        <v>1</v>
      </c>
    </row>
    <row r="1475" spans="1:16" x14ac:dyDescent="0.25">
      <c r="A1475">
        <v>15007</v>
      </c>
      <c r="B1475" t="s">
        <v>1022</v>
      </c>
      <c r="C1475" t="s">
        <v>1028</v>
      </c>
      <c r="D1475">
        <v>1351</v>
      </c>
      <c r="E1475">
        <v>377</v>
      </c>
      <c r="F1475">
        <v>180</v>
      </c>
      <c r="G1475">
        <v>156</v>
      </c>
      <c r="H1475">
        <v>363</v>
      </c>
      <c r="I1475">
        <v>275</v>
      </c>
      <c r="J1475">
        <v>240</v>
      </c>
      <c r="K1475">
        <v>345</v>
      </c>
      <c r="L1475">
        <v>766</v>
      </c>
      <c r="M1475" s="1">
        <v>1251</v>
      </c>
      <c r="N1475">
        <v>100</v>
      </c>
      <c r="O1475" t="s">
        <v>1029</v>
      </c>
      <c r="P1475" s="1" t="b">
        <f>NOT(OR(Table1[[#This Row],[State]]="Other Foreign Countries", Table1[[#This Row],[State]]="Unknown", Table1[[#This Row],[State]]="Puerto Rico all counties"))</f>
        <v>1</v>
      </c>
    </row>
    <row r="1476" spans="1:16" x14ac:dyDescent="0.25">
      <c r="A1476">
        <v>48257</v>
      </c>
      <c r="B1476" t="s">
        <v>2654</v>
      </c>
      <c r="C1476" t="s">
        <v>4279</v>
      </c>
      <c r="D1476">
        <v>4681</v>
      </c>
      <c r="E1476">
        <v>544</v>
      </c>
      <c r="F1476">
        <v>359</v>
      </c>
      <c r="G1476">
        <v>473</v>
      </c>
      <c r="H1476" s="1">
        <v>1464</v>
      </c>
      <c r="I1476" s="1">
        <v>1841</v>
      </c>
      <c r="J1476" s="1">
        <v>2115</v>
      </c>
      <c r="K1476" s="1">
        <v>1620</v>
      </c>
      <c r="L1476">
        <v>946</v>
      </c>
      <c r="M1476" s="1">
        <v>3810</v>
      </c>
      <c r="N1476">
        <v>870</v>
      </c>
      <c r="O1476" t="s">
        <v>4280</v>
      </c>
      <c r="P1476" s="1" t="b">
        <f>NOT(OR(Table1[[#This Row],[State]]="Other Foreign Countries", Table1[[#This Row],[State]]="Unknown", Table1[[#This Row],[State]]="Puerto Rico all counties"))</f>
        <v>1</v>
      </c>
    </row>
    <row r="1477" spans="1:16" x14ac:dyDescent="0.25">
      <c r="A1477">
        <v>40071</v>
      </c>
      <c r="B1477" t="s">
        <v>3495</v>
      </c>
      <c r="C1477" t="s">
        <v>3546</v>
      </c>
      <c r="D1477">
        <v>966</v>
      </c>
      <c r="E1477">
        <v>221</v>
      </c>
      <c r="F1477">
        <v>103</v>
      </c>
      <c r="G1477">
        <v>117</v>
      </c>
      <c r="H1477">
        <v>281</v>
      </c>
      <c r="I1477">
        <v>244</v>
      </c>
      <c r="J1477">
        <v>230</v>
      </c>
      <c r="K1477">
        <v>250</v>
      </c>
      <c r="L1477">
        <v>486</v>
      </c>
      <c r="M1477">
        <v>900</v>
      </c>
      <c r="N1477">
        <v>65</v>
      </c>
      <c r="O1477" t="s">
        <v>3547</v>
      </c>
      <c r="P1477" s="1" t="b">
        <f>NOT(OR(Table1[[#This Row],[State]]="Other Foreign Countries", Table1[[#This Row],[State]]="Unknown", Table1[[#This Row],[State]]="Puerto Rico all counties"))</f>
        <v>1</v>
      </c>
    </row>
    <row r="1478" spans="1:16" x14ac:dyDescent="0.25">
      <c r="A1478">
        <v>31099</v>
      </c>
      <c r="B1478" t="s">
        <v>2758</v>
      </c>
      <c r="C1478" t="s">
        <v>2829</v>
      </c>
      <c r="D1478">
        <v>181</v>
      </c>
      <c r="E1478">
        <v>69</v>
      </c>
      <c r="F1478">
        <v>20</v>
      </c>
      <c r="G1478">
        <v>23</v>
      </c>
      <c r="H1478">
        <v>37</v>
      </c>
      <c r="I1478">
        <v>32</v>
      </c>
      <c r="J1478">
        <v>43</v>
      </c>
      <c r="K1478">
        <v>50</v>
      </c>
      <c r="L1478">
        <v>88</v>
      </c>
      <c r="O1478" t="s">
        <v>2830</v>
      </c>
      <c r="P1478" s="1" t="b">
        <f>NOT(OR(Table1[[#This Row],[State]]="Other Foreign Countries", Table1[[#This Row],[State]]="Unknown", Table1[[#This Row],[State]]="Puerto Rico all counties"))</f>
        <v>1</v>
      </c>
    </row>
    <row r="1479" spans="1:16" x14ac:dyDescent="0.25">
      <c r="A1479">
        <v>20093</v>
      </c>
      <c r="B1479" t="s">
        <v>1543</v>
      </c>
      <c r="C1479" t="s">
        <v>1616</v>
      </c>
      <c r="D1479">
        <v>36</v>
      </c>
      <c r="I1479">
        <v>10</v>
      </c>
      <c r="L1479">
        <v>18</v>
      </c>
      <c r="O1479" t="s">
        <v>1617</v>
      </c>
      <c r="P1479" s="1" t="b">
        <f>NOT(OR(Table1[[#This Row],[State]]="Other Foreign Countries", Table1[[#This Row],[State]]="Unknown", Table1[[#This Row],[State]]="Puerto Rico all counties"))</f>
        <v>1</v>
      </c>
    </row>
    <row r="1480" spans="1:16" x14ac:dyDescent="0.25">
      <c r="A1480">
        <v>31101</v>
      </c>
      <c r="B1480" t="s">
        <v>2758</v>
      </c>
      <c r="C1480" t="s">
        <v>2831</v>
      </c>
      <c r="D1480">
        <v>254</v>
      </c>
      <c r="E1480">
        <v>113</v>
      </c>
      <c r="F1480">
        <v>34</v>
      </c>
      <c r="G1480">
        <v>34</v>
      </c>
      <c r="H1480">
        <v>32</v>
      </c>
      <c r="I1480">
        <v>41</v>
      </c>
      <c r="J1480">
        <v>36</v>
      </c>
      <c r="K1480">
        <v>63</v>
      </c>
      <c r="L1480">
        <v>155</v>
      </c>
      <c r="M1480">
        <v>236</v>
      </c>
      <c r="N1480">
        <v>18</v>
      </c>
      <c r="O1480" t="s">
        <v>2832</v>
      </c>
      <c r="P1480" s="1" t="b">
        <f>NOT(OR(Table1[[#This Row],[State]]="Other Foreign Countries", Table1[[#This Row],[State]]="Unknown", Table1[[#This Row],[State]]="Puerto Rico all counties"))</f>
        <v>1</v>
      </c>
    </row>
    <row r="1481" spans="1:16" x14ac:dyDescent="0.25">
      <c r="A1481">
        <v>28069</v>
      </c>
      <c r="B1481" t="s">
        <v>322</v>
      </c>
      <c r="C1481" t="s">
        <v>2441</v>
      </c>
      <c r="D1481">
        <v>169</v>
      </c>
      <c r="E1481">
        <v>34</v>
      </c>
      <c r="F1481">
        <v>13</v>
      </c>
      <c r="G1481">
        <v>24</v>
      </c>
      <c r="H1481">
        <v>46</v>
      </c>
      <c r="I1481">
        <v>52</v>
      </c>
      <c r="J1481">
        <v>30</v>
      </c>
      <c r="K1481">
        <v>58</v>
      </c>
      <c r="L1481">
        <v>81</v>
      </c>
      <c r="M1481">
        <v>145</v>
      </c>
      <c r="N1481">
        <v>24</v>
      </c>
      <c r="O1481" t="s">
        <v>2442</v>
      </c>
      <c r="P1481" s="1" t="b">
        <f>NOT(OR(Table1[[#This Row],[State]]="Other Foreign Countries", Table1[[#This Row],[State]]="Unknown", Table1[[#This Row],[State]]="Puerto Rico all counties"))</f>
        <v>1</v>
      </c>
    </row>
    <row r="1482" spans="1:16" x14ac:dyDescent="0.25">
      <c r="A1482">
        <v>2122</v>
      </c>
      <c r="B1482" t="s">
        <v>150</v>
      </c>
      <c r="C1482" t="s">
        <v>177</v>
      </c>
      <c r="D1482">
        <v>1830</v>
      </c>
      <c r="E1482">
        <v>424</v>
      </c>
      <c r="F1482">
        <v>196</v>
      </c>
      <c r="G1482">
        <v>215</v>
      </c>
      <c r="H1482">
        <v>534</v>
      </c>
      <c r="I1482">
        <v>461</v>
      </c>
      <c r="J1482">
        <v>393</v>
      </c>
      <c r="K1482">
        <v>619</v>
      </c>
      <c r="L1482">
        <v>818</v>
      </c>
      <c r="M1482" s="1">
        <v>1639</v>
      </c>
      <c r="N1482">
        <v>191</v>
      </c>
      <c r="O1482" t="s">
        <v>178</v>
      </c>
      <c r="P1482" s="1" t="b">
        <f>NOT(OR(Table1[[#This Row],[State]]="Other Foreign Countries", Table1[[#This Row],[State]]="Unknown", Table1[[#This Row],[State]]="Puerto Rico all counties"))</f>
        <v>1</v>
      </c>
    </row>
    <row r="1483" spans="1:16" x14ac:dyDescent="0.25">
      <c r="A1483">
        <v>17093</v>
      </c>
      <c r="B1483" t="s">
        <v>1109</v>
      </c>
      <c r="C1483" t="s">
        <v>1180</v>
      </c>
      <c r="D1483">
        <v>1600</v>
      </c>
      <c r="E1483">
        <v>232</v>
      </c>
      <c r="F1483">
        <v>155</v>
      </c>
      <c r="G1483">
        <v>176</v>
      </c>
      <c r="H1483">
        <v>561</v>
      </c>
      <c r="I1483">
        <v>476</v>
      </c>
      <c r="J1483">
        <v>729</v>
      </c>
      <c r="K1483">
        <v>498</v>
      </c>
      <c r="L1483">
        <v>373</v>
      </c>
      <c r="M1483" s="1">
        <v>1393</v>
      </c>
      <c r="N1483">
        <v>207</v>
      </c>
      <c r="O1483" t="s">
        <v>1181</v>
      </c>
      <c r="P1483" s="1" t="b">
        <f>NOT(OR(Table1[[#This Row],[State]]="Other Foreign Countries", Table1[[#This Row],[State]]="Unknown", Table1[[#This Row],[State]]="Puerto Rico all counties"))</f>
        <v>1</v>
      </c>
    </row>
    <row r="1484" spans="1:16" x14ac:dyDescent="0.25">
      <c r="A1484">
        <v>48259</v>
      </c>
      <c r="B1484" t="s">
        <v>2654</v>
      </c>
      <c r="C1484" t="s">
        <v>1180</v>
      </c>
      <c r="D1484">
        <v>2042</v>
      </c>
      <c r="E1484">
        <v>281</v>
      </c>
      <c r="F1484">
        <v>187</v>
      </c>
      <c r="G1484">
        <v>188</v>
      </c>
      <c r="H1484">
        <v>545</v>
      </c>
      <c r="I1484">
        <v>841</v>
      </c>
      <c r="J1484">
        <v>496</v>
      </c>
      <c r="K1484">
        <v>808</v>
      </c>
      <c r="L1484">
        <v>738</v>
      </c>
      <c r="M1484" s="1">
        <v>1740</v>
      </c>
      <c r="N1484">
        <v>302</v>
      </c>
      <c r="O1484" t="s">
        <v>4281</v>
      </c>
      <c r="P1484" s="1" t="b">
        <f>NOT(OR(Table1[[#This Row],[State]]="Other Foreign Countries", Table1[[#This Row],[State]]="Unknown", Table1[[#This Row],[State]]="Puerto Rico all counties"))</f>
        <v>1</v>
      </c>
    </row>
    <row r="1485" spans="1:16" x14ac:dyDescent="0.25">
      <c r="A1485">
        <v>48261</v>
      </c>
      <c r="B1485" t="s">
        <v>2654</v>
      </c>
      <c r="C1485" t="s">
        <v>4282</v>
      </c>
      <c r="O1485" t="s">
        <v>4283</v>
      </c>
      <c r="P1485" s="1" t="b">
        <f>NOT(OR(Table1[[#This Row],[State]]="Other Foreign Countries", Table1[[#This Row],[State]]="Unknown", Table1[[#This Row],[State]]="Puerto Rico all counties"))</f>
        <v>1</v>
      </c>
    </row>
    <row r="1486" spans="1:16" x14ac:dyDescent="0.25">
      <c r="A1486">
        <v>23011</v>
      </c>
      <c r="B1486" t="s">
        <v>2004</v>
      </c>
      <c r="C1486" t="s">
        <v>2012</v>
      </c>
      <c r="D1486">
        <v>4221</v>
      </c>
      <c r="E1486">
        <v>778</v>
      </c>
      <c r="F1486">
        <v>404</v>
      </c>
      <c r="G1486">
        <v>458</v>
      </c>
      <c r="H1486" s="1">
        <v>1401</v>
      </c>
      <c r="I1486" s="1">
        <v>1180</v>
      </c>
      <c r="J1486">
        <v>959</v>
      </c>
      <c r="K1486" s="1">
        <v>1475</v>
      </c>
      <c r="L1486" s="1">
        <v>1787</v>
      </c>
      <c r="M1486" s="1">
        <v>3730</v>
      </c>
      <c r="N1486">
        <v>491</v>
      </c>
      <c r="O1486" t="s">
        <v>2013</v>
      </c>
      <c r="P1486" s="1" t="b">
        <f>NOT(OR(Table1[[#This Row],[State]]="Other Foreign Countries", Table1[[#This Row],[State]]="Unknown", Table1[[#This Row],[State]]="Puerto Rico all counties"))</f>
        <v>1</v>
      </c>
    </row>
    <row r="1487" spans="1:16" x14ac:dyDescent="0.25">
      <c r="A1487">
        <v>55059</v>
      </c>
      <c r="B1487" t="s">
        <v>4906</v>
      </c>
      <c r="C1487" t="s">
        <v>4945</v>
      </c>
      <c r="D1487">
        <v>2926</v>
      </c>
      <c r="E1487">
        <v>545</v>
      </c>
      <c r="F1487">
        <v>341</v>
      </c>
      <c r="G1487">
        <v>379</v>
      </c>
      <c r="H1487">
        <v>905</v>
      </c>
      <c r="I1487">
        <v>756</v>
      </c>
      <c r="J1487">
        <v>882</v>
      </c>
      <c r="K1487" s="1">
        <v>1070</v>
      </c>
      <c r="L1487">
        <v>974</v>
      </c>
      <c r="M1487" s="1">
        <v>2561</v>
      </c>
      <c r="N1487">
        <v>365</v>
      </c>
      <c r="O1487" t="s">
        <v>4946</v>
      </c>
      <c r="P1487" s="1" t="b">
        <f>NOT(OR(Table1[[#This Row],[State]]="Other Foreign Countries", Table1[[#This Row],[State]]="Unknown", Table1[[#This Row],[State]]="Puerto Rico all counties"))</f>
        <v>1</v>
      </c>
    </row>
    <row r="1488" spans="1:16" x14ac:dyDescent="0.25">
      <c r="A1488">
        <v>10001</v>
      </c>
      <c r="B1488" t="s">
        <v>628</v>
      </c>
      <c r="C1488" t="s">
        <v>629</v>
      </c>
      <c r="D1488">
        <v>7050</v>
      </c>
      <c r="E1488" s="1">
        <v>1148</v>
      </c>
      <c r="F1488">
        <v>733</v>
      </c>
      <c r="G1488">
        <v>882</v>
      </c>
      <c r="H1488" s="1">
        <v>2275</v>
      </c>
      <c r="I1488" s="1">
        <v>2012</v>
      </c>
      <c r="J1488" s="1">
        <v>1646</v>
      </c>
      <c r="K1488" s="1">
        <v>2736</v>
      </c>
      <c r="L1488" s="1">
        <v>2667</v>
      </c>
      <c r="M1488" s="1">
        <v>5860</v>
      </c>
      <c r="N1488" s="1">
        <v>1189</v>
      </c>
      <c r="O1488" t="s">
        <v>630</v>
      </c>
      <c r="P1488" s="1" t="b">
        <f>NOT(OR(Table1[[#This Row],[State]]="Other Foreign Countries", Table1[[#This Row],[State]]="Unknown", Table1[[#This Row],[State]]="Puerto Rico all counties"))</f>
        <v>1</v>
      </c>
    </row>
    <row r="1489" spans="1:16" x14ac:dyDescent="0.25">
      <c r="A1489">
        <v>24029</v>
      </c>
      <c r="B1489" t="s">
        <v>2031</v>
      </c>
      <c r="C1489" t="s">
        <v>629</v>
      </c>
      <c r="D1489">
        <v>275</v>
      </c>
      <c r="E1489">
        <v>55</v>
      </c>
      <c r="F1489">
        <v>40</v>
      </c>
      <c r="G1489">
        <v>40</v>
      </c>
      <c r="H1489">
        <v>62</v>
      </c>
      <c r="I1489">
        <v>78</v>
      </c>
      <c r="J1489">
        <v>61</v>
      </c>
      <c r="K1489">
        <v>72</v>
      </c>
      <c r="L1489">
        <v>142</v>
      </c>
      <c r="M1489">
        <v>255</v>
      </c>
      <c r="N1489">
        <v>20</v>
      </c>
      <c r="O1489" t="s">
        <v>2056</v>
      </c>
      <c r="P1489" s="1" t="b">
        <f>NOT(OR(Table1[[#This Row],[State]]="Other Foreign Countries", Table1[[#This Row],[State]]="Unknown", Table1[[#This Row],[State]]="Puerto Rico all counties"))</f>
        <v>1</v>
      </c>
    </row>
    <row r="1490" spans="1:16" x14ac:dyDescent="0.25">
      <c r="A1490">
        <v>26081</v>
      </c>
      <c r="B1490" t="s">
        <v>2099</v>
      </c>
      <c r="C1490" t="s">
        <v>629</v>
      </c>
      <c r="D1490">
        <v>6565</v>
      </c>
      <c r="E1490" s="1">
        <v>1242</v>
      </c>
      <c r="F1490">
        <v>756</v>
      </c>
      <c r="G1490">
        <v>855</v>
      </c>
      <c r="H1490" s="1">
        <v>2039</v>
      </c>
      <c r="I1490" s="1">
        <v>1673</v>
      </c>
      <c r="J1490" s="1">
        <v>2230</v>
      </c>
      <c r="K1490" s="1">
        <v>1641</v>
      </c>
      <c r="L1490" s="1">
        <v>2694</v>
      </c>
      <c r="M1490" s="1">
        <v>5906</v>
      </c>
      <c r="N1490">
        <v>659</v>
      </c>
      <c r="O1490" t="s">
        <v>2170</v>
      </c>
      <c r="P1490" s="1" t="b">
        <f>NOT(OR(Table1[[#This Row],[State]]="Other Foreign Countries", Table1[[#This Row],[State]]="Unknown", Table1[[#This Row],[State]]="Puerto Rico all counties"))</f>
        <v>1</v>
      </c>
    </row>
    <row r="1491" spans="1:16" x14ac:dyDescent="0.25">
      <c r="A1491">
        <v>44003</v>
      </c>
      <c r="B1491" t="s">
        <v>3764</v>
      </c>
      <c r="C1491" t="s">
        <v>629</v>
      </c>
      <c r="D1491">
        <v>3411</v>
      </c>
      <c r="E1491">
        <v>801</v>
      </c>
      <c r="F1491">
        <v>412</v>
      </c>
      <c r="G1491">
        <v>448</v>
      </c>
      <c r="H1491">
        <v>994</v>
      </c>
      <c r="I1491">
        <v>756</v>
      </c>
      <c r="J1491">
        <v>980</v>
      </c>
      <c r="K1491">
        <v>966</v>
      </c>
      <c r="L1491" s="1">
        <v>1465</v>
      </c>
      <c r="M1491" s="1">
        <v>3101</v>
      </c>
      <c r="N1491">
        <v>310</v>
      </c>
      <c r="O1491" t="s">
        <v>3766</v>
      </c>
      <c r="P1491" s="1" t="b">
        <f>NOT(OR(Table1[[#This Row],[State]]="Other Foreign Countries", Table1[[#This Row],[State]]="Unknown", Table1[[#This Row],[State]]="Puerto Rico all counties"))</f>
        <v>1</v>
      </c>
    </row>
    <row r="1492" spans="1:16" x14ac:dyDescent="0.25">
      <c r="A1492">
        <v>48263</v>
      </c>
      <c r="B1492" t="s">
        <v>2654</v>
      </c>
      <c r="C1492" t="s">
        <v>629</v>
      </c>
      <c r="O1492" t="s">
        <v>4284</v>
      </c>
      <c r="P1492" s="1" t="b">
        <f>NOT(OR(Table1[[#This Row],[State]]="Other Foreign Countries", Table1[[#This Row],[State]]="Unknown", Table1[[#This Row],[State]]="Puerto Rico all counties"))</f>
        <v>1</v>
      </c>
    </row>
    <row r="1493" spans="1:16" x14ac:dyDescent="0.25">
      <c r="A1493">
        <v>21117</v>
      </c>
      <c r="B1493" t="s">
        <v>1716</v>
      </c>
      <c r="C1493" t="s">
        <v>1804</v>
      </c>
      <c r="D1493">
        <v>2391</v>
      </c>
      <c r="E1493">
        <v>655</v>
      </c>
      <c r="F1493">
        <v>362</v>
      </c>
      <c r="G1493">
        <v>314</v>
      </c>
      <c r="H1493">
        <v>608</v>
      </c>
      <c r="I1493">
        <v>452</v>
      </c>
      <c r="J1493">
        <v>737</v>
      </c>
      <c r="K1493">
        <v>687</v>
      </c>
      <c r="L1493">
        <v>967</v>
      </c>
      <c r="M1493" s="1">
        <v>2197</v>
      </c>
      <c r="N1493">
        <v>194</v>
      </c>
      <c r="O1493" t="s">
        <v>1805</v>
      </c>
      <c r="P1493" s="1" t="b">
        <f>NOT(OR(Table1[[#This Row],[State]]="Other Foreign Countries", Table1[[#This Row],[State]]="Unknown", Table1[[#This Row],[State]]="Puerto Rico all counties"))</f>
        <v>1</v>
      </c>
    </row>
    <row r="1494" spans="1:16" x14ac:dyDescent="0.25">
      <c r="A1494">
        <v>19107</v>
      </c>
      <c r="B1494" t="s">
        <v>1399</v>
      </c>
      <c r="C1494" t="s">
        <v>1471</v>
      </c>
      <c r="D1494">
        <v>148</v>
      </c>
      <c r="E1494">
        <v>27</v>
      </c>
      <c r="F1494">
        <v>19</v>
      </c>
      <c r="G1494">
        <v>20</v>
      </c>
      <c r="H1494">
        <v>47</v>
      </c>
      <c r="I1494">
        <v>35</v>
      </c>
      <c r="J1494">
        <v>28</v>
      </c>
      <c r="K1494">
        <v>48</v>
      </c>
      <c r="L1494">
        <v>72</v>
      </c>
      <c r="M1494">
        <v>131</v>
      </c>
      <c r="N1494">
        <v>17</v>
      </c>
      <c r="O1494" t="s">
        <v>1472</v>
      </c>
      <c r="P1494" s="1" t="b">
        <f>NOT(OR(Table1[[#This Row],[State]]="Other Foreign Countries", Table1[[#This Row],[State]]="Unknown", Table1[[#This Row],[State]]="Puerto Rico all counties"))</f>
        <v>1</v>
      </c>
    </row>
    <row r="1495" spans="1:16" x14ac:dyDescent="0.25">
      <c r="A1495">
        <v>6029</v>
      </c>
      <c r="B1495" t="s">
        <v>374</v>
      </c>
      <c r="C1495" t="s">
        <v>403</v>
      </c>
      <c r="D1495">
        <v>13536</v>
      </c>
      <c r="E1495" s="1">
        <v>2885</v>
      </c>
      <c r="F1495" s="1">
        <v>1356</v>
      </c>
      <c r="G1495" s="1">
        <v>1643</v>
      </c>
      <c r="H1495" s="1">
        <v>4169</v>
      </c>
      <c r="I1495" s="1">
        <v>3483</v>
      </c>
      <c r="J1495" s="1">
        <v>4976</v>
      </c>
      <c r="K1495" s="1">
        <v>4025</v>
      </c>
      <c r="L1495" s="1">
        <v>4535</v>
      </c>
      <c r="M1495" s="1">
        <v>12141</v>
      </c>
      <c r="N1495" s="1">
        <v>1391</v>
      </c>
      <c r="O1495" t="s">
        <v>404</v>
      </c>
      <c r="P1495" s="1" t="b">
        <f>NOT(OR(Table1[[#This Row],[State]]="Other Foreign Countries", Table1[[#This Row],[State]]="Unknown", Table1[[#This Row],[State]]="Puerto Rico all counties"))</f>
        <v>1</v>
      </c>
    </row>
    <row r="1496" spans="1:16" x14ac:dyDescent="0.25">
      <c r="A1496">
        <v>48265</v>
      </c>
      <c r="B1496" t="s">
        <v>2654</v>
      </c>
      <c r="C1496" t="s">
        <v>4285</v>
      </c>
      <c r="D1496">
        <v>2033</v>
      </c>
      <c r="E1496">
        <v>419</v>
      </c>
      <c r="F1496">
        <v>228</v>
      </c>
      <c r="G1496">
        <v>220</v>
      </c>
      <c r="H1496">
        <v>581</v>
      </c>
      <c r="I1496">
        <v>585</v>
      </c>
      <c r="J1496">
        <v>342</v>
      </c>
      <c r="K1496">
        <v>555</v>
      </c>
      <c r="L1496" s="1">
        <v>1136</v>
      </c>
      <c r="M1496" s="1">
        <v>1826</v>
      </c>
      <c r="N1496">
        <v>207</v>
      </c>
      <c r="O1496" t="s">
        <v>4286</v>
      </c>
      <c r="P1496" s="1" t="b">
        <f>NOT(OR(Table1[[#This Row],[State]]="Other Foreign Countries", Table1[[#This Row],[State]]="Unknown", Table1[[#This Row],[State]]="Puerto Rico all counties"))</f>
        <v>1</v>
      </c>
    </row>
    <row r="1497" spans="1:16" x14ac:dyDescent="0.25">
      <c r="A1497">
        <v>45055</v>
      </c>
      <c r="B1497" t="s">
        <v>3772</v>
      </c>
      <c r="C1497" t="s">
        <v>3818</v>
      </c>
      <c r="D1497">
        <v>3516</v>
      </c>
      <c r="E1497">
        <v>384</v>
      </c>
      <c r="F1497">
        <v>285</v>
      </c>
      <c r="G1497">
        <v>343</v>
      </c>
      <c r="H1497" s="1">
        <v>1060</v>
      </c>
      <c r="I1497" s="1">
        <v>1444</v>
      </c>
      <c r="J1497">
        <v>932</v>
      </c>
      <c r="K1497" s="1">
        <v>1442</v>
      </c>
      <c r="L1497" s="1">
        <v>1142</v>
      </c>
      <c r="M1497" s="1">
        <v>2852</v>
      </c>
      <c r="N1497">
        <v>664</v>
      </c>
      <c r="O1497" t="s">
        <v>3819</v>
      </c>
      <c r="P1497" s="1" t="b">
        <f>NOT(OR(Table1[[#This Row],[State]]="Other Foreign Countries", Table1[[#This Row],[State]]="Unknown", Table1[[#This Row],[State]]="Puerto Rico all counties"))</f>
        <v>1</v>
      </c>
    </row>
    <row r="1498" spans="1:16" x14ac:dyDescent="0.25">
      <c r="A1498">
        <v>2130</v>
      </c>
      <c r="B1498" t="s">
        <v>150</v>
      </c>
      <c r="C1498" t="s">
        <v>179</v>
      </c>
      <c r="D1498">
        <v>235</v>
      </c>
      <c r="E1498">
        <v>54</v>
      </c>
      <c r="F1498">
        <v>31</v>
      </c>
      <c r="G1498">
        <v>42</v>
      </c>
      <c r="H1498">
        <v>62</v>
      </c>
      <c r="I1498">
        <v>46</v>
      </c>
      <c r="J1498">
        <v>55</v>
      </c>
      <c r="K1498">
        <v>92</v>
      </c>
      <c r="L1498">
        <v>88</v>
      </c>
      <c r="M1498">
        <v>210</v>
      </c>
      <c r="N1498">
        <v>25</v>
      </c>
      <c r="O1498" t="s">
        <v>180</v>
      </c>
      <c r="P1498" s="1" t="b">
        <f>NOT(OR(Table1[[#This Row],[State]]="Other Foreign Countries", Table1[[#This Row],[State]]="Unknown", Table1[[#This Row],[State]]="Puerto Rico all counties"))</f>
        <v>1</v>
      </c>
    </row>
    <row r="1499" spans="1:16" x14ac:dyDescent="0.25">
      <c r="A1499">
        <v>55061</v>
      </c>
      <c r="B1499" t="s">
        <v>4906</v>
      </c>
      <c r="C1499" t="s">
        <v>4947</v>
      </c>
      <c r="D1499">
        <v>390</v>
      </c>
      <c r="E1499">
        <v>113</v>
      </c>
      <c r="F1499">
        <v>43</v>
      </c>
      <c r="G1499">
        <v>50</v>
      </c>
      <c r="H1499">
        <v>113</v>
      </c>
      <c r="I1499">
        <v>71</v>
      </c>
      <c r="J1499">
        <v>102</v>
      </c>
      <c r="K1499">
        <v>109</v>
      </c>
      <c r="L1499">
        <v>179</v>
      </c>
      <c r="M1499">
        <v>356</v>
      </c>
      <c r="N1499">
        <v>34</v>
      </c>
      <c r="O1499" t="s">
        <v>4948</v>
      </c>
      <c r="P1499" s="1" t="b">
        <f>NOT(OR(Table1[[#This Row],[State]]="Other Foreign Countries", Table1[[#This Row],[State]]="Unknown", Table1[[#This Row],[State]]="Puerto Rico all counties"))</f>
        <v>1</v>
      </c>
    </row>
    <row r="1500" spans="1:16" x14ac:dyDescent="0.25">
      <c r="A1500">
        <v>26083</v>
      </c>
      <c r="B1500" t="s">
        <v>2099</v>
      </c>
      <c r="C1500" t="s">
        <v>2171</v>
      </c>
      <c r="D1500">
        <v>138</v>
      </c>
      <c r="E1500">
        <v>55</v>
      </c>
      <c r="F1500">
        <v>16</v>
      </c>
      <c r="G1500">
        <v>14</v>
      </c>
      <c r="H1500">
        <v>31</v>
      </c>
      <c r="I1500">
        <v>22</v>
      </c>
      <c r="J1500">
        <v>18</v>
      </c>
      <c r="K1500">
        <v>30</v>
      </c>
      <c r="L1500">
        <v>90</v>
      </c>
      <c r="M1500">
        <v>127</v>
      </c>
      <c r="N1500">
        <v>11</v>
      </c>
      <c r="O1500" t="s">
        <v>2172</v>
      </c>
      <c r="P1500" s="1" t="b">
        <f>NOT(OR(Table1[[#This Row],[State]]="Other Foreign Countries", Table1[[#This Row],[State]]="Unknown", Table1[[#This Row],[State]]="Puerto Rico all counties"))</f>
        <v>1</v>
      </c>
    </row>
    <row r="1501" spans="1:16" x14ac:dyDescent="0.25">
      <c r="A1501">
        <v>31103</v>
      </c>
      <c r="B1501" t="s">
        <v>2758</v>
      </c>
      <c r="C1501" t="s">
        <v>2833</v>
      </c>
      <c r="D1501">
        <v>11</v>
      </c>
      <c r="O1501" t="s">
        <v>2834</v>
      </c>
      <c r="P1501" s="1" t="b">
        <f>NOT(OR(Table1[[#This Row],[State]]="Other Foreign Countries", Table1[[#This Row],[State]]="Unknown", Table1[[#This Row],[State]]="Puerto Rico all counties"))</f>
        <v>1</v>
      </c>
    </row>
    <row r="1502" spans="1:16" x14ac:dyDescent="0.25">
      <c r="A1502">
        <v>38043</v>
      </c>
      <c r="B1502" t="s">
        <v>3286</v>
      </c>
      <c r="C1502" t="s">
        <v>3323</v>
      </c>
      <c r="D1502">
        <v>35</v>
      </c>
      <c r="H1502">
        <v>11</v>
      </c>
      <c r="I1502">
        <v>11</v>
      </c>
      <c r="L1502">
        <v>22</v>
      </c>
      <c r="O1502" t="s">
        <v>3324</v>
      </c>
      <c r="P1502" s="1" t="b">
        <f>NOT(OR(Table1[[#This Row],[State]]="Other Foreign Countries", Table1[[#This Row],[State]]="Unknown", Table1[[#This Row],[State]]="Puerto Rico all counties"))</f>
        <v>1</v>
      </c>
    </row>
    <row r="1503" spans="1:16" x14ac:dyDescent="0.25">
      <c r="A1503">
        <v>31105</v>
      </c>
      <c r="B1503" t="s">
        <v>2758</v>
      </c>
      <c r="C1503" t="s">
        <v>2835</v>
      </c>
      <c r="D1503">
        <v>105</v>
      </c>
      <c r="E1503">
        <v>29</v>
      </c>
      <c r="F1503">
        <v>11</v>
      </c>
      <c r="G1503">
        <v>10</v>
      </c>
      <c r="H1503">
        <v>25</v>
      </c>
      <c r="I1503">
        <v>30</v>
      </c>
      <c r="J1503">
        <v>17</v>
      </c>
      <c r="K1503">
        <v>34</v>
      </c>
      <c r="L1503">
        <v>54</v>
      </c>
      <c r="O1503" t="s">
        <v>2836</v>
      </c>
      <c r="P1503" s="1" t="b">
        <f>NOT(OR(Table1[[#This Row],[State]]="Other Foreign Countries", Table1[[#This Row],[State]]="Unknown", Table1[[#This Row],[State]]="Puerto Rico all counties"))</f>
        <v>1</v>
      </c>
    </row>
    <row r="1504" spans="1:16" x14ac:dyDescent="0.25">
      <c r="A1504">
        <v>48267</v>
      </c>
      <c r="B1504" t="s">
        <v>2654</v>
      </c>
      <c r="C1504" t="s">
        <v>4287</v>
      </c>
      <c r="D1504">
        <v>79</v>
      </c>
      <c r="G1504">
        <v>14</v>
      </c>
      <c r="H1504">
        <v>18</v>
      </c>
      <c r="I1504">
        <v>27</v>
      </c>
      <c r="J1504">
        <v>13</v>
      </c>
      <c r="K1504">
        <v>18</v>
      </c>
      <c r="L1504">
        <v>48</v>
      </c>
      <c r="O1504" t="s">
        <v>4288</v>
      </c>
      <c r="P1504" s="1" t="b">
        <f>NOT(OR(Table1[[#This Row],[State]]="Other Foreign Countries", Table1[[#This Row],[State]]="Unknown", Table1[[#This Row],[State]]="Puerto Rico all counties"))</f>
        <v>1</v>
      </c>
    </row>
    <row r="1505" spans="1:16" x14ac:dyDescent="0.25">
      <c r="A1505">
        <v>48269</v>
      </c>
      <c r="B1505" t="s">
        <v>2654</v>
      </c>
      <c r="C1505" t="s">
        <v>4289</v>
      </c>
      <c r="O1505" t="s">
        <v>4290</v>
      </c>
      <c r="P1505" s="1" t="b">
        <f>NOT(OR(Table1[[#This Row],[State]]="Other Foreign Countries", Table1[[#This Row],[State]]="Unknown", Table1[[#This Row],[State]]="Puerto Rico all counties"))</f>
        <v>1</v>
      </c>
    </row>
    <row r="1506" spans="1:16" x14ac:dyDescent="0.25">
      <c r="A1506">
        <v>53033</v>
      </c>
      <c r="B1506" t="s">
        <v>144</v>
      </c>
      <c r="C1506" t="s">
        <v>4289</v>
      </c>
      <c r="D1506">
        <v>21599</v>
      </c>
      <c r="E1506" s="1">
        <v>4999</v>
      </c>
      <c r="F1506" s="1">
        <v>2993</v>
      </c>
      <c r="G1506" s="1">
        <v>2855</v>
      </c>
      <c r="H1506" s="1">
        <v>6267</v>
      </c>
      <c r="I1506" s="1">
        <v>4485</v>
      </c>
      <c r="J1506" s="1">
        <v>8239</v>
      </c>
      <c r="K1506" s="1">
        <v>6457</v>
      </c>
      <c r="L1506" s="1">
        <v>6903</v>
      </c>
      <c r="M1506" s="1">
        <v>18856</v>
      </c>
      <c r="N1506" s="1">
        <v>2738</v>
      </c>
      <c r="O1506" t="s">
        <v>4795</v>
      </c>
      <c r="P1506" s="1" t="b">
        <f>NOT(OR(Table1[[#This Row],[State]]="Other Foreign Countries", Table1[[#This Row],[State]]="Unknown", Table1[[#This Row],[State]]="Puerto Rico all counties"))</f>
        <v>1</v>
      </c>
    </row>
    <row r="1507" spans="1:16" x14ac:dyDescent="0.25">
      <c r="A1507">
        <v>51097</v>
      </c>
      <c r="B1507" t="s">
        <v>4555</v>
      </c>
      <c r="C1507" t="s">
        <v>4626</v>
      </c>
      <c r="D1507">
        <v>175</v>
      </c>
      <c r="E1507">
        <v>28</v>
      </c>
      <c r="F1507">
        <v>19</v>
      </c>
      <c r="G1507">
        <v>18</v>
      </c>
      <c r="H1507">
        <v>53</v>
      </c>
      <c r="I1507">
        <v>57</v>
      </c>
      <c r="J1507">
        <v>30</v>
      </c>
      <c r="K1507">
        <v>76</v>
      </c>
      <c r="L1507">
        <v>69</v>
      </c>
      <c r="M1507">
        <v>155</v>
      </c>
      <c r="N1507">
        <v>20</v>
      </c>
      <c r="O1507" t="s">
        <v>4627</v>
      </c>
      <c r="P1507" s="1" t="b">
        <f>NOT(OR(Table1[[#This Row],[State]]="Other Foreign Countries", Table1[[#This Row],[State]]="Unknown", Table1[[#This Row],[State]]="Puerto Rico all counties"))</f>
        <v>1</v>
      </c>
    </row>
    <row r="1508" spans="1:16" x14ac:dyDescent="0.25">
      <c r="A1508">
        <v>51099</v>
      </c>
      <c r="B1508" t="s">
        <v>4555</v>
      </c>
      <c r="C1508" t="s">
        <v>4628</v>
      </c>
      <c r="D1508">
        <v>1658</v>
      </c>
      <c r="E1508">
        <v>196</v>
      </c>
      <c r="F1508">
        <v>183</v>
      </c>
      <c r="G1508">
        <v>218</v>
      </c>
      <c r="H1508">
        <v>511</v>
      </c>
      <c r="I1508">
        <v>550</v>
      </c>
      <c r="J1508">
        <v>520</v>
      </c>
      <c r="K1508">
        <v>822</v>
      </c>
      <c r="L1508">
        <v>316</v>
      </c>
      <c r="M1508" s="1">
        <v>1412</v>
      </c>
      <c r="N1508">
        <v>246</v>
      </c>
      <c r="O1508" t="s">
        <v>4629</v>
      </c>
      <c r="P1508" s="1" t="b">
        <f>NOT(OR(Table1[[#This Row],[State]]="Other Foreign Countries", Table1[[#This Row],[State]]="Unknown", Table1[[#This Row],[State]]="Puerto Rico all counties"))</f>
        <v>1</v>
      </c>
    </row>
    <row r="1509" spans="1:16" x14ac:dyDescent="0.25">
      <c r="A1509">
        <v>51101</v>
      </c>
      <c r="B1509" t="s">
        <v>4555</v>
      </c>
      <c r="C1509" t="s">
        <v>4630</v>
      </c>
      <c r="D1509">
        <v>374</v>
      </c>
      <c r="E1509">
        <v>61</v>
      </c>
      <c r="F1509">
        <v>47</v>
      </c>
      <c r="G1509">
        <v>53</v>
      </c>
      <c r="H1509">
        <v>105</v>
      </c>
      <c r="I1509">
        <v>108</v>
      </c>
      <c r="J1509">
        <v>141</v>
      </c>
      <c r="K1509">
        <v>114</v>
      </c>
      <c r="L1509">
        <v>119</v>
      </c>
      <c r="M1509">
        <v>315</v>
      </c>
      <c r="N1509">
        <v>59</v>
      </c>
      <c r="O1509" t="s">
        <v>4631</v>
      </c>
      <c r="P1509" s="1" t="b">
        <f>NOT(OR(Table1[[#This Row],[State]]="Other Foreign Countries", Table1[[#This Row],[State]]="Unknown", Table1[[#This Row],[State]]="Puerto Rico all counties"))</f>
        <v>1</v>
      </c>
    </row>
    <row r="1510" spans="1:16" x14ac:dyDescent="0.25">
      <c r="A1510">
        <v>40073</v>
      </c>
      <c r="B1510" t="s">
        <v>3495</v>
      </c>
      <c r="C1510" t="s">
        <v>3548</v>
      </c>
      <c r="D1510">
        <v>272</v>
      </c>
      <c r="E1510">
        <v>57</v>
      </c>
      <c r="F1510">
        <v>26</v>
      </c>
      <c r="G1510">
        <v>35</v>
      </c>
      <c r="H1510">
        <v>90</v>
      </c>
      <c r="I1510">
        <v>64</v>
      </c>
      <c r="J1510">
        <v>81</v>
      </c>
      <c r="K1510">
        <v>82</v>
      </c>
      <c r="L1510">
        <v>109</v>
      </c>
      <c r="M1510">
        <v>254</v>
      </c>
      <c r="N1510">
        <v>17</v>
      </c>
      <c r="O1510" t="s">
        <v>3549</v>
      </c>
      <c r="P1510" s="1" t="b">
        <f>NOT(OR(Table1[[#This Row],[State]]="Other Foreign Countries", Table1[[#This Row],[State]]="Unknown", Table1[[#This Row],[State]]="Puerto Rico all counties"))</f>
        <v>1</v>
      </c>
    </row>
    <row r="1511" spans="1:16" x14ac:dyDescent="0.25">
      <c r="A1511">
        <v>20095</v>
      </c>
      <c r="B1511" t="s">
        <v>1543</v>
      </c>
      <c r="C1511" t="s">
        <v>1618</v>
      </c>
      <c r="D1511">
        <v>119</v>
      </c>
      <c r="E1511">
        <v>27</v>
      </c>
      <c r="F1511">
        <v>18</v>
      </c>
      <c r="G1511">
        <v>17</v>
      </c>
      <c r="H1511">
        <v>29</v>
      </c>
      <c r="I1511">
        <v>28</v>
      </c>
      <c r="J1511">
        <v>40</v>
      </c>
      <c r="K1511">
        <v>28</v>
      </c>
      <c r="L1511">
        <v>51</v>
      </c>
      <c r="O1511" t="s">
        <v>1619</v>
      </c>
      <c r="P1511" s="1" t="b">
        <f>NOT(OR(Table1[[#This Row],[State]]="Other Foreign Countries", Table1[[#This Row],[State]]="Unknown", Table1[[#This Row],[State]]="Puerto Rico all counties"))</f>
        <v>1</v>
      </c>
    </row>
    <row r="1512" spans="1:16" x14ac:dyDescent="0.25">
      <c r="A1512">
        <v>6031</v>
      </c>
      <c r="B1512" t="s">
        <v>374</v>
      </c>
      <c r="C1512" t="s">
        <v>405</v>
      </c>
      <c r="D1512">
        <v>4195</v>
      </c>
      <c r="E1512">
        <v>907</v>
      </c>
      <c r="F1512">
        <v>399</v>
      </c>
      <c r="G1512">
        <v>455</v>
      </c>
      <c r="H1512" s="1">
        <v>1261</v>
      </c>
      <c r="I1512" s="1">
        <v>1173</v>
      </c>
      <c r="J1512" s="1">
        <v>1516</v>
      </c>
      <c r="K1512" s="1">
        <v>1450</v>
      </c>
      <c r="L1512" s="1">
        <v>1229</v>
      </c>
      <c r="M1512" s="1">
        <v>3578</v>
      </c>
      <c r="N1512">
        <v>617</v>
      </c>
      <c r="O1512" t="s">
        <v>406</v>
      </c>
      <c r="P1512" s="1" t="b">
        <f>NOT(OR(Table1[[#This Row],[State]]="Other Foreign Countries", Table1[[#This Row],[State]]="Unknown", Table1[[#This Row],[State]]="Puerto Rico all counties"))</f>
        <v>1</v>
      </c>
    </row>
    <row r="1513" spans="1:16" x14ac:dyDescent="0.25">
      <c r="A1513">
        <v>36047</v>
      </c>
      <c r="B1513" t="s">
        <v>3029</v>
      </c>
      <c r="C1513" t="s">
        <v>405</v>
      </c>
      <c r="D1513">
        <v>8494</v>
      </c>
      <c r="E1513" s="1">
        <v>1542</v>
      </c>
      <c r="F1513">
        <v>904</v>
      </c>
      <c r="G1513">
        <v>932</v>
      </c>
      <c r="H1513" s="1">
        <v>2602</v>
      </c>
      <c r="I1513" s="1">
        <v>2514</v>
      </c>
      <c r="J1513" s="1">
        <v>3519</v>
      </c>
      <c r="K1513" s="1">
        <v>2428</v>
      </c>
      <c r="L1513" s="1">
        <v>2547</v>
      </c>
      <c r="M1513" s="1">
        <v>7078</v>
      </c>
      <c r="N1513" s="1">
        <v>1414</v>
      </c>
      <c r="O1513" t="s">
        <v>3064</v>
      </c>
      <c r="P1513" s="1" t="b">
        <f>NOT(OR(Table1[[#This Row],[State]]="Other Foreign Countries", Table1[[#This Row],[State]]="Unknown", Table1[[#This Row],[State]]="Puerto Rico all counties"))</f>
        <v>1</v>
      </c>
    </row>
    <row r="1514" spans="1:16" x14ac:dyDescent="0.25">
      <c r="A1514">
        <v>46077</v>
      </c>
      <c r="B1514" t="s">
        <v>3846</v>
      </c>
      <c r="C1514" t="s">
        <v>3905</v>
      </c>
      <c r="D1514">
        <v>133</v>
      </c>
      <c r="E1514">
        <v>40</v>
      </c>
      <c r="F1514">
        <v>15</v>
      </c>
      <c r="G1514">
        <v>24</v>
      </c>
      <c r="H1514">
        <v>35</v>
      </c>
      <c r="I1514">
        <v>19</v>
      </c>
      <c r="J1514">
        <v>25</v>
      </c>
      <c r="K1514">
        <v>37</v>
      </c>
      <c r="L1514">
        <v>71</v>
      </c>
      <c r="O1514" t="s">
        <v>3906</v>
      </c>
      <c r="P1514" s="1" t="b">
        <f>NOT(OR(Table1[[#This Row],[State]]="Other Foreign Countries", Table1[[#This Row],[State]]="Unknown", Table1[[#This Row],[State]]="Puerto Rico all counties"))</f>
        <v>1</v>
      </c>
    </row>
    <row r="1515" spans="1:16" x14ac:dyDescent="0.25">
      <c r="A1515">
        <v>48271</v>
      </c>
      <c r="B1515" t="s">
        <v>2654</v>
      </c>
      <c r="C1515" t="s">
        <v>4291</v>
      </c>
      <c r="D1515">
        <v>154</v>
      </c>
      <c r="E1515">
        <v>32</v>
      </c>
      <c r="F1515">
        <v>14</v>
      </c>
      <c r="G1515">
        <v>20</v>
      </c>
      <c r="H1515">
        <v>56</v>
      </c>
      <c r="I1515">
        <v>32</v>
      </c>
      <c r="J1515">
        <v>28</v>
      </c>
      <c r="K1515">
        <v>33</v>
      </c>
      <c r="L1515">
        <v>93</v>
      </c>
      <c r="M1515">
        <v>138</v>
      </c>
      <c r="N1515">
        <v>16</v>
      </c>
      <c r="O1515" t="s">
        <v>4292</v>
      </c>
      <c r="P1515" s="1" t="b">
        <f>NOT(OR(Table1[[#This Row],[State]]="Other Foreign Countries", Table1[[#This Row],[State]]="Unknown", Table1[[#This Row],[State]]="Puerto Rico all counties"))</f>
        <v>1</v>
      </c>
    </row>
    <row r="1516" spans="1:16" x14ac:dyDescent="0.25">
      <c r="A1516">
        <v>8061</v>
      </c>
      <c r="B1516" t="s">
        <v>489</v>
      </c>
      <c r="C1516" t="s">
        <v>550</v>
      </c>
      <c r="D1516">
        <v>28</v>
      </c>
      <c r="L1516">
        <v>13</v>
      </c>
      <c r="O1516" t="s">
        <v>551</v>
      </c>
      <c r="P1516" s="1" t="b">
        <f>NOT(OR(Table1[[#This Row],[State]]="Other Foreign Countries", Table1[[#This Row],[State]]="Unknown", Table1[[#This Row],[State]]="Puerto Rico all counties"))</f>
        <v>1</v>
      </c>
    </row>
    <row r="1517" spans="1:16" x14ac:dyDescent="0.25">
      <c r="A1517">
        <v>20097</v>
      </c>
      <c r="B1517" t="s">
        <v>1543</v>
      </c>
      <c r="C1517" t="s">
        <v>550</v>
      </c>
      <c r="D1517">
        <v>26</v>
      </c>
      <c r="I1517">
        <v>11</v>
      </c>
      <c r="O1517" t="s">
        <v>1620</v>
      </c>
      <c r="P1517" s="1" t="b">
        <f>NOT(OR(Table1[[#This Row],[State]]="Other Foreign Countries", Table1[[#This Row],[State]]="Unknown", Table1[[#This Row],[State]]="Puerto Rico all counties"))</f>
        <v>1</v>
      </c>
    </row>
    <row r="1518" spans="1:16" x14ac:dyDescent="0.25">
      <c r="A1518">
        <v>40075</v>
      </c>
      <c r="B1518" t="s">
        <v>3495</v>
      </c>
      <c r="C1518" t="s">
        <v>550</v>
      </c>
      <c r="D1518">
        <v>239</v>
      </c>
      <c r="E1518">
        <v>52</v>
      </c>
      <c r="F1518">
        <v>18</v>
      </c>
      <c r="G1518">
        <v>30</v>
      </c>
      <c r="H1518">
        <v>66</v>
      </c>
      <c r="I1518">
        <v>73</v>
      </c>
      <c r="J1518">
        <v>47</v>
      </c>
      <c r="K1518">
        <v>67</v>
      </c>
      <c r="L1518">
        <v>125</v>
      </c>
      <c r="M1518">
        <v>227</v>
      </c>
      <c r="N1518">
        <v>12</v>
      </c>
      <c r="O1518" t="s">
        <v>3550</v>
      </c>
      <c r="P1518" s="1" t="b">
        <f>NOT(OR(Table1[[#This Row],[State]]="Other Foreign Countries", Table1[[#This Row],[State]]="Unknown", Table1[[#This Row],[State]]="Puerto Rico all counties"))</f>
        <v>1</v>
      </c>
    </row>
    <row r="1519" spans="1:16" x14ac:dyDescent="0.25">
      <c r="A1519">
        <v>8063</v>
      </c>
      <c r="B1519" t="s">
        <v>489</v>
      </c>
      <c r="C1519" t="s">
        <v>552</v>
      </c>
      <c r="D1519">
        <v>82</v>
      </c>
      <c r="E1519">
        <v>20</v>
      </c>
      <c r="H1519">
        <v>24</v>
      </c>
      <c r="I1519">
        <v>16</v>
      </c>
      <c r="J1519">
        <v>20</v>
      </c>
      <c r="K1519">
        <v>25</v>
      </c>
      <c r="L1519">
        <v>37</v>
      </c>
      <c r="O1519" t="s">
        <v>553</v>
      </c>
      <c r="P1519" s="1" t="b">
        <f>NOT(OR(Table1[[#This Row],[State]]="Other Foreign Countries", Table1[[#This Row],[State]]="Unknown", Table1[[#This Row],[State]]="Puerto Rico all counties"))</f>
        <v>1</v>
      </c>
    </row>
    <row r="1520" spans="1:16" x14ac:dyDescent="0.25">
      <c r="A1520">
        <v>53035</v>
      </c>
      <c r="B1520" t="s">
        <v>144</v>
      </c>
      <c r="C1520" t="s">
        <v>4796</v>
      </c>
      <c r="D1520">
        <v>15341</v>
      </c>
      <c r="E1520" s="1">
        <v>3106</v>
      </c>
      <c r="F1520" s="1">
        <v>2092</v>
      </c>
      <c r="G1520" s="1">
        <v>2267</v>
      </c>
      <c r="H1520" s="1">
        <v>4607</v>
      </c>
      <c r="I1520" s="1">
        <v>3269</v>
      </c>
      <c r="J1520" s="1">
        <v>4550</v>
      </c>
      <c r="K1520" s="1">
        <v>6160</v>
      </c>
      <c r="L1520" s="1">
        <v>4631</v>
      </c>
      <c r="M1520" s="1">
        <v>13334</v>
      </c>
      <c r="N1520" s="1">
        <v>2004</v>
      </c>
      <c r="O1520" t="s">
        <v>4797</v>
      </c>
      <c r="P1520" s="1" t="b">
        <f>NOT(OR(Table1[[#This Row],[State]]="Other Foreign Countries", Table1[[#This Row],[State]]="Unknown", Table1[[#This Row],[State]]="Puerto Rico all counties"))</f>
        <v>1</v>
      </c>
    </row>
    <row r="1521" spans="1:16" x14ac:dyDescent="0.25">
      <c r="A1521">
        <v>53037</v>
      </c>
      <c r="B1521" t="s">
        <v>144</v>
      </c>
      <c r="C1521" t="s">
        <v>4798</v>
      </c>
      <c r="D1521">
        <v>798</v>
      </c>
      <c r="E1521">
        <v>176</v>
      </c>
      <c r="F1521">
        <v>95</v>
      </c>
      <c r="G1521">
        <v>107</v>
      </c>
      <c r="H1521">
        <v>247</v>
      </c>
      <c r="I1521">
        <v>173</v>
      </c>
      <c r="J1521">
        <v>240</v>
      </c>
      <c r="K1521">
        <v>216</v>
      </c>
      <c r="L1521">
        <v>342</v>
      </c>
      <c r="M1521">
        <v>735</v>
      </c>
      <c r="N1521">
        <v>63</v>
      </c>
      <c r="O1521" t="s">
        <v>4799</v>
      </c>
      <c r="P1521" s="1" t="b">
        <f>NOT(OR(Table1[[#This Row],[State]]="Other Foreign Countries", Table1[[#This Row],[State]]="Unknown", Table1[[#This Row],[State]]="Puerto Rico all counties"))</f>
        <v>1</v>
      </c>
    </row>
    <row r="1522" spans="1:16" x14ac:dyDescent="0.25">
      <c r="A1522">
        <v>27069</v>
      </c>
      <c r="B1522" t="s">
        <v>2245</v>
      </c>
      <c r="C1522" t="s">
        <v>2302</v>
      </c>
      <c r="D1522">
        <v>85</v>
      </c>
      <c r="E1522">
        <v>23</v>
      </c>
      <c r="H1522">
        <v>22</v>
      </c>
      <c r="I1522">
        <v>16</v>
      </c>
      <c r="J1522">
        <v>13</v>
      </c>
      <c r="K1522">
        <v>20</v>
      </c>
      <c r="L1522">
        <v>52</v>
      </c>
      <c r="O1522" t="s">
        <v>2303</v>
      </c>
      <c r="P1522" s="1" t="b">
        <f>NOT(OR(Table1[[#This Row],[State]]="Other Foreign Countries", Table1[[#This Row],[State]]="Unknown", Table1[[#This Row],[State]]="Puerto Rico all counties"))</f>
        <v>1</v>
      </c>
    </row>
    <row r="1523" spans="1:16" x14ac:dyDescent="0.25">
      <c r="A1523">
        <v>41035</v>
      </c>
      <c r="B1523" t="s">
        <v>2607</v>
      </c>
      <c r="C1523" t="s">
        <v>3638</v>
      </c>
      <c r="D1523">
        <v>2680</v>
      </c>
      <c r="E1523">
        <v>524</v>
      </c>
      <c r="F1523">
        <v>299</v>
      </c>
      <c r="G1523">
        <v>304</v>
      </c>
      <c r="H1523">
        <v>861</v>
      </c>
      <c r="I1523">
        <v>692</v>
      </c>
      <c r="J1523">
        <v>660</v>
      </c>
      <c r="K1523">
        <v>767</v>
      </c>
      <c r="L1523" s="1">
        <v>1253</v>
      </c>
      <c r="M1523" s="1">
        <v>2389</v>
      </c>
      <c r="N1523">
        <v>291</v>
      </c>
      <c r="O1523" t="s">
        <v>3639</v>
      </c>
      <c r="P1523" s="1" t="b">
        <f>NOT(OR(Table1[[#This Row],[State]]="Other Foreign Countries", Table1[[#This Row],[State]]="Unknown", Table1[[#This Row],[State]]="Puerto Rico all counties"))</f>
        <v>1</v>
      </c>
    </row>
    <row r="1524" spans="1:16" x14ac:dyDescent="0.25">
      <c r="A1524">
        <v>48273</v>
      </c>
      <c r="B1524" t="s">
        <v>2654</v>
      </c>
      <c r="C1524" t="s">
        <v>4293</v>
      </c>
      <c r="D1524">
        <v>1030</v>
      </c>
      <c r="E1524">
        <v>158</v>
      </c>
      <c r="F1524">
        <v>105</v>
      </c>
      <c r="G1524">
        <v>113</v>
      </c>
      <c r="H1524">
        <v>330</v>
      </c>
      <c r="I1524">
        <v>324</v>
      </c>
      <c r="J1524">
        <v>308</v>
      </c>
      <c r="K1524">
        <v>358</v>
      </c>
      <c r="L1524">
        <v>364</v>
      </c>
      <c r="M1524">
        <v>944</v>
      </c>
      <c r="N1524">
        <v>86</v>
      </c>
      <c r="O1524" t="s">
        <v>4294</v>
      </c>
      <c r="P1524" s="1" t="b">
        <f>NOT(OR(Table1[[#This Row],[State]]="Other Foreign Countries", Table1[[#This Row],[State]]="Unknown", Table1[[#This Row],[State]]="Puerto Rico all counties"))</f>
        <v>1</v>
      </c>
    </row>
    <row r="1525" spans="1:16" x14ac:dyDescent="0.25">
      <c r="A1525">
        <v>53039</v>
      </c>
      <c r="B1525" t="s">
        <v>144</v>
      </c>
      <c r="C1525" t="s">
        <v>4800</v>
      </c>
      <c r="D1525">
        <v>757</v>
      </c>
      <c r="E1525">
        <v>257</v>
      </c>
      <c r="F1525">
        <v>108</v>
      </c>
      <c r="G1525">
        <v>89</v>
      </c>
      <c r="H1525">
        <v>174</v>
      </c>
      <c r="I1525">
        <v>129</v>
      </c>
      <c r="J1525">
        <v>113</v>
      </c>
      <c r="K1525">
        <v>222</v>
      </c>
      <c r="L1525">
        <v>422</v>
      </c>
      <c r="M1525">
        <v>688</v>
      </c>
      <c r="N1525">
        <v>69</v>
      </c>
      <c r="O1525" t="s">
        <v>4801</v>
      </c>
      <c r="P1525" s="1" t="b">
        <f>NOT(OR(Table1[[#This Row],[State]]="Other Foreign Countries", Table1[[#This Row],[State]]="Unknown", Table1[[#This Row],[State]]="Puerto Rico all counties"))</f>
        <v>1</v>
      </c>
    </row>
    <row r="1526" spans="1:16" x14ac:dyDescent="0.25">
      <c r="A1526">
        <v>21119</v>
      </c>
      <c r="B1526" t="s">
        <v>1716</v>
      </c>
      <c r="C1526" t="s">
        <v>1806</v>
      </c>
      <c r="D1526">
        <v>224</v>
      </c>
      <c r="E1526">
        <v>40</v>
      </c>
      <c r="F1526">
        <v>21</v>
      </c>
      <c r="G1526">
        <v>17</v>
      </c>
      <c r="H1526">
        <v>80</v>
      </c>
      <c r="I1526">
        <v>66</v>
      </c>
      <c r="J1526">
        <v>38</v>
      </c>
      <c r="K1526">
        <v>43</v>
      </c>
      <c r="L1526">
        <v>143</v>
      </c>
      <c r="O1526" t="s">
        <v>1807</v>
      </c>
      <c r="P1526" s="1" t="b">
        <f>NOT(OR(Table1[[#This Row],[State]]="Other Foreign Countries", Table1[[#This Row],[State]]="Unknown", Table1[[#This Row],[State]]="Puerto Rico all counties"))</f>
        <v>1</v>
      </c>
    </row>
    <row r="1527" spans="1:16" x14ac:dyDescent="0.25">
      <c r="A1527">
        <v>17095</v>
      </c>
      <c r="B1527" t="s">
        <v>1109</v>
      </c>
      <c r="C1527" t="s">
        <v>1182</v>
      </c>
      <c r="D1527">
        <v>778</v>
      </c>
      <c r="E1527">
        <v>129</v>
      </c>
      <c r="F1527">
        <v>86</v>
      </c>
      <c r="G1527">
        <v>109</v>
      </c>
      <c r="H1527">
        <v>256</v>
      </c>
      <c r="I1527">
        <v>198</v>
      </c>
      <c r="J1527">
        <v>179</v>
      </c>
      <c r="K1527">
        <v>237</v>
      </c>
      <c r="L1527">
        <v>362</v>
      </c>
      <c r="M1527">
        <v>721</v>
      </c>
      <c r="N1527">
        <v>57</v>
      </c>
      <c r="O1527" t="s">
        <v>1183</v>
      </c>
      <c r="P1527" s="1" t="b">
        <f>NOT(OR(Table1[[#This Row],[State]]="Other Foreign Countries", Table1[[#This Row],[State]]="Unknown", Table1[[#This Row],[State]]="Puerto Rico all counties"))</f>
        <v>1</v>
      </c>
    </row>
    <row r="1528" spans="1:16" x14ac:dyDescent="0.25">
      <c r="A1528">
        <v>18083</v>
      </c>
      <c r="B1528" t="s">
        <v>1266</v>
      </c>
      <c r="C1528" t="s">
        <v>1182</v>
      </c>
      <c r="D1528">
        <v>647</v>
      </c>
      <c r="E1528">
        <v>179</v>
      </c>
      <c r="F1528">
        <v>74</v>
      </c>
      <c r="G1528">
        <v>93</v>
      </c>
      <c r="H1528">
        <v>161</v>
      </c>
      <c r="I1528">
        <v>140</v>
      </c>
      <c r="J1528">
        <v>137</v>
      </c>
      <c r="K1528">
        <v>180</v>
      </c>
      <c r="L1528">
        <v>330</v>
      </c>
      <c r="M1528">
        <v>606</v>
      </c>
      <c r="N1528">
        <v>41</v>
      </c>
      <c r="O1528" t="s">
        <v>1322</v>
      </c>
      <c r="P1528" s="1" t="b">
        <f>NOT(OR(Table1[[#This Row],[State]]="Other Foreign Countries", Table1[[#This Row],[State]]="Unknown", Table1[[#This Row],[State]]="Puerto Rico all counties"))</f>
        <v>1</v>
      </c>
    </row>
    <row r="1529" spans="1:16" x14ac:dyDescent="0.25">
      <c r="A1529">
        <v>21121</v>
      </c>
      <c r="B1529" t="s">
        <v>1716</v>
      </c>
      <c r="C1529" t="s">
        <v>1182</v>
      </c>
      <c r="D1529">
        <v>483</v>
      </c>
      <c r="E1529">
        <v>91</v>
      </c>
      <c r="F1529">
        <v>42</v>
      </c>
      <c r="G1529">
        <v>61</v>
      </c>
      <c r="H1529">
        <v>174</v>
      </c>
      <c r="I1529">
        <v>115</v>
      </c>
      <c r="J1529">
        <v>117</v>
      </c>
      <c r="K1529">
        <v>157</v>
      </c>
      <c r="L1529">
        <v>209</v>
      </c>
      <c r="M1529">
        <v>456</v>
      </c>
      <c r="N1529">
        <v>27</v>
      </c>
      <c r="O1529" t="s">
        <v>1808</v>
      </c>
      <c r="P1529" s="1" t="b">
        <f>NOT(OR(Table1[[#This Row],[State]]="Other Foreign Countries", Table1[[#This Row],[State]]="Unknown", Table1[[#This Row],[State]]="Puerto Rico all counties"))</f>
        <v>1</v>
      </c>
    </row>
    <row r="1530" spans="1:16" x14ac:dyDescent="0.25">
      <c r="A1530">
        <v>23013</v>
      </c>
      <c r="B1530" t="s">
        <v>2004</v>
      </c>
      <c r="C1530" t="s">
        <v>1182</v>
      </c>
      <c r="D1530">
        <v>920</v>
      </c>
      <c r="E1530">
        <v>208</v>
      </c>
      <c r="F1530">
        <v>104</v>
      </c>
      <c r="G1530">
        <v>113</v>
      </c>
      <c r="H1530">
        <v>290</v>
      </c>
      <c r="I1530">
        <v>205</v>
      </c>
      <c r="J1530">
        <v>180</v>
      </c>
      <c r="K1530">
        <v>263</v>
      </c>
      <c r="L1530">
        <v>477</v>
      </c>
      <c r="M1530">
        <v>822</v>
      </c>
      <c r="N1530">
        <v>97</v>
      </c>
      <c r="O1530" t="s">
        <v>2014</v>
      </c>
      <c r="P1530" s="1" t="b">
        <f>NOT(OR(Table1[[#This Row],[State]]="Other Foreign Countries", Table1[[#This Row],[State]]="Unknown", Table1[[#This Row],[State]]="Puerto Rico all counties"))</f>
        <v>1</v>
      </c>
    </row>
    <row r="1531" spans="1:16" x14ac:dyDescent="0.25">
      <c r="A1531">
        <v>29103</v>
      </c>
      <c r="B1531" t="s">
        <v>2510</v>
      </c>
      <c r="C1531" t="s">
        <v>1182</v>
      </c>
      <c r="D1531">
        <v>100</v>
      </c>
      <c r="E1531">
        <v>38</v>
      </c>
      <c r="H1531">
        <v>19</v>
      </c>
      <c r="I1531">
        <v>23</v>
      </c>
      <c r="J1531">
        <v>11</v>
      </c>
      <c r="K1531">
        <v>24</v>
      </c>
      <c r="L1531">
        <v>65</v>
      </c>
      <c r="O1531" t="s">
        <v>2578</v>
      </c>
      <c r="P1531" s="1" t="b">
        <f>NOT(OR(Table1[[#This Row],[State]]="Other Foreign Countries", Table1[[#This Row],[State]]="Unknown", Table1[[#This Row],[State]]="Puerto Rico all counties"))</f>
        <v>1</v>
      </c>
    </row>
    <row r="1532" spans="1:16" x14ac:dyDescent="0.25">
      <c r="A1532">
        <v>31107</v>
      </c>
      <c r="B1532" t="s">
        <v>2758</v>
      </c>
      <c r="C1532" t="s">
        <v>1182</v>
      </c>
      <c r="D1532">
        <v>272</v>
      </c>
      <c r="E1532">
        <v>95</v>
      </c>
      <c r="F1532">
        <v>31</v>
      </c>
      <c r="G1532">
        <v>43</v>
      </c>
      <c r="H1532">
        <v>56</v>
      </c>
      <c r="I1532">
        <v>47</v>
      </c>
      <c r="J1532">
        <v>32</v>
      </c>
      <c r="K1532">
        <v>52</v>
      </c>
      <c r="L1532">
        <v>188</v>
      </c>
      <c r="M1532">
        <v>251</v>
      </c>
      <c r="N1532">
        <v>21</v>
      </c>
      <c r="O1532" t="s">
        <v>2837</v>
      </c>
      <c r="P1532" s="1" t="b">
        <f>NOT(OR(Table1[[#This Row],[State]]="Other Foreign Countries", Table1[[#This Row],[State]]="Unknown", Table1[[#This Row],[State]]="Puerto Rico all counties"))</f>
        <v>1</v>
      </c>
    </row>
    <row r="1533" spans="1:16" x14ac:dyDescent="0.25">
      <c r="A1533">
        <v>39083</v>
      </c>
      <c r="B1533" t="s">
        <v>1343</v>
      </c>
      <c r="C1533" t="s">
        <v>1182</v>
      </c>
      <c r="D1533">
        <v>1129</v>
      </c>
      <c r="E1533">
        <v>309</v>
      </c>
      <c r="F1533">
        <v>150</v>
      </c>
      <c r="G1533">
        <v>142</v>
      </c>
      <c r="H1533">
        <v>308</v>
      </c>
      <c r="I1533">
        <v>220</v>
      </c>
      <c r="J1533">
        <v>273</v>
      </c>
      <c r="K1533">
        <v>361</v>
      </c>
      <c r="L1533">
        <v>495</v>
      </c>
      <c r="M1533" s="1">
        <v>1039</v>
      </c>
      <c r="N1533">
        <v>90</v>
      </c>
      <c r="O1533" t="s">
        <v>3429</v>
      </c>
      <c r="P1533" s="1" t="b">
        <f>NOT(OR(Table1[[#This Row],[State]]="Other Foreign Countries", Table1[[#This Row],[State]]="Unknown", Table1[[#This Row],[State]]="Puerto Rico all counties"))</f>
        <v>1</v>
      </c>
    </row>
    <row r="1534" spans="1:16" x14ac:dyDescent="0.25">
      <c r="A1534">
        <v>47093</v>
      </c>
      <c r="B1534" t="s">
        <v>3951</v>
      </c>
      <c r="C1534" t="s">
        <v>1182</v>
      </c>
      <c r="D1534">
        <v>9729</v>
      </c>
      <c r="E1534" s="1">
        <v>2107</v>
      </c>
      <c r="F1534" s="1">
        <v>1060</v>
      </c>
      <c r="G1534" s="1">
        <v>1132</v>
      </c>
      <c r="H1534" s="1">
        <v>2882</v>
      </c>
      <c r="I1534" s="1">
        <v>2548</v>
      </c>
      <c r="J1534" s="1">
        <v>2966</v>
      </c>
      <c r="K1534" s="1">
        <v>3097</v>
      </c>
      <c r="L1534" s="1">
        <v>3666</v>
      </c>
      <c r="M1534" s="1">
        <v>8682</v>
      </c>
      <c r="N1534" s="1">
        <v>1045</v>
      </c>
      <c r="O1534" t="s">
        <v>4011</v>
      </c>
      <c r="P1534" s="1" t="b">
        <f>NOT(OR(Table1[[#This Row],[State]]="Other Foreign Countries", Table1[[#This Row],[State]]="Unknown", Table1[[#This Row],[State]]="Puerto Rico all counties"))</f>
        <v>1</v>
      </c>
    </row>
    <row r="1535" spans="1:16" x14ac:dyDescent="0.25">
      <c r="A1535">
        <v>48275</v>
      </c>
      <c r="B1535" t="s">
        <v>2654</v>
      </c>
      <c r="C1535" t="s">
        <v>1182</v>
      </c>
      <c r="D1535">
        <v>48</v>
      </c>
      <c r="H1535">
        <v>13</v>
      </c>
      <c r="I1535">
        <v>17</v>
      </c>
      <c r="L1535">
        <v>22</v>
      </c>
      <c r="O1535" t="s">
        <v>4295</v>
      </c>
      <c r="P1535" s="1" t="b">
        <f>NOT(OR(Table1[[#This Row],[State]]="Other Foreign Countries", Table1[[#This Row],[State]]="Unknown", Table1[[#This Row],[State]]="Puerto Rico all counties"))</f>
        <v>1</v>
      </c>
    </row>
    <row r="1536" spans="1:16" x14ac:dyDescent="0.25">
      <c r="A1536">
        <v>2150</v>
      </c>
      <c r="B1536" t="s">
        <v>150</v>
      </c>
      <c r="C1536" t="s">
        <v>181</v>
      </c>
      <c r="D1536">
        <v>361</v>
      </c>
      <c r="E1536">
        <v>67</v>
      </c>
      <c r="F1536">
        <v>36</v>
      </c>
      <c r="G1536">
        <v>38</v>
      </c>
      <c r="H1536">
        <v>108</v>
      </c>
      <c r="I1536">
        <v>112</v>
      </c>
      <c r="J1536">
        <v>114</v>
      </c>
      <c r="K1536">
        <v>159</v>
      </c>
      <c r="L1536">
        <v>88</v>
      </c>
      <c r="M1536">
        <v>318</v>
      </c>
      <c r="N1536">
        <v>43</v>
      </c>
      <c r="O1536" t="s">
        <v>182</v>
      </c>
      <c r="P1536" s="1" t="b">
        <f>NOT(OR(Table1[[#This Row],[State]]="Other Foreign Countries", Table1[[#This Row],[State]]="Unknown", Table1[[#This Row],[State]]="Puerto Rico all counties"))</f>
        <v>1</v>
      </c>
    </row>
    <row r="1537" spans="1:16" x14ac:dyDescent="0.25">
      <c r="A1537">
        <v>27071</v>
      </c>
      <c r="B1537" t="s">
        <v>2245</v>
      </c>
      <c r="C1537" t="s">
        <v>2304</v>
      </c>
      <c r="D1537">
        <v>447</v>
      </c>
      <c r="E1537">
        <v>166</v>
      </c>
      <c r="F1537">
        <v>54</v>
      </c>
      <c r="G1537">
        <v>42</v>
      </c>
      <c r="H1537">
        <v>94</v>
      </c>
      <c r="I1537">
        <v>91</v>
      </c>
      <c r="J1537">
        <v>51</v>
      </c>
      <c r="K1537">
        <v>101</v>
      </c>
      <c r="L1537">
        <v>295</v>
      </c>
      <c r="M1537">
        <v>420</v>
      </c>
      <c r="N1537">
        <v>26</v>
      </c>
      <c r="O1537" t="s">
        <v>2305</v>
      </c>
      <c r="P1537" s="1" t="b">
        <f>NOT(OR(Table1[[#This Row],[State]]="Other Foreign Countries", Table1[[#This Row],[State]]="Unknown", Table1[[#This Row],[State]]="Puerto Rico all counties"))</f>
        <v>1</v>
      </c>
    </row>
    <row r="1538" spans="1:16" x14ac:dyDescent="0.25">
      <c r="A1538">
        <v>16055</v>
      </c>
      <c r="B1538" t="s">
        <v>1032</v>
      </c>
      <c r="C1538" t="s">
        <v>1078</v>
      </c>
      <c r="D1538">
        <v>5716</v>
      </c>
      <c r="E1538" s="1">
        <v>1364</v>
      </c>
      <c r="F1538">
        <v>690</v>
      </c>
      <c r="G1538">
        <v>702</v>
      </c>
      <c r="H1538" s="1">
        <v>1556</v>
      </c>
      <c r="I1538" s="1">
        <v>1404</v>
      </c>
      <c r="J1538" s="1">
        <v>1605</v>
      </c>
      <c r="K1538" s="1">
        <v>1674</v>
      </c>
      <c r="L1538" s="1">
        <v>2437</v>
      </c>
      <c r="M1538" s="1">
        <v>5189</v>
      </c>
      <c r="N1538">
        <v>525</v>
      </c>
      <c r="O1538" t="s">
        <v>1079</v>
      </c>
      <c r="P1538" s="1" t="b">
        <f>NOT(OR(Table1[[#This Row],[State]]="Other Foreign Countries", Table1[[#This Row],[State]]="Unknown", Table1[[#This Row],[State]]="Puerto Rico all counties"))</f>
        <v>1</v>
      </c>
    </row>
    <row r="1539" spans="1:16" x14ac:dyDescent="0.25">
      <c r="A1539">
        <v>18085</v>
      </c>
      <c r="B1539" t="s">
        <v>1266</v>
      </c>
      <c r="C1539" t="s">
        <v>1323</v>
      </c>
      <c r="D1539">
        <v>1009</v>
      </c>
      <c r="E1539">
        <v>349</v>
      </c>
      <c r="F1539">
        <v>137</v>
      </c>
      <c r="G1539">
        <v>126</v>
      </c>
      <c r="H1539">
        <v>247</v>
      </c>
      <c r="I1539">
        <v>150</v>
      </c>
      <c r="J1539">
        <v>236</v>
      </c>
      <c r="K1539">
        <v>254</v>
      </c>
      <c r="L1539">
        <v>519</v>
      </c>
      <c r="M1539">
        <v>945</v>
      </c>
      <c r="N1539">
        <v>64</v>
      </c>
      <c r="O1539" t="s">
        <v>1324</v>
      </c>
      <c r="P1539" s="1" t="b">
        <f>NOT(OR(Table1[[#This Row],[State]]="Other Foreign Countries", Table1[[#This Row],[State]]="Unknown", Table1[[#This Row],[State]]="Puerto Rico all counties"))</f>
        <v>1</v>
      </c>
    </row>
    <row r="1540" spans="1:16" x14ac:dyDescent="0.25">
      <c r="A1540">
        <v>19109</v>
      </c>
      <c r="B1540" t="s">
        <v>1399</v>
      </c>
      <c r="C1540" t="s">
        <v>1473</v>
      </c>
      <c r="D1540">
        <v>271</v>
      </c>
      <c r="E1540">
        <v>74</v>
      </c>
      <c r="F1540">
        <v>40</v>
      </c>
      <c r="G1540">
        <v>33</v>
      </c>
      <c r="H1540">
        <v>71</v>
      </c>
      <c r="I1540">
        <v>53</v>
      </c>
      <c r="J1540">
        <v>39</v>
      </c>
      <c r="K1540">
        <v>80</v>
      </c>
      <c r="L1540">
        <v>152</v>
      </c>
      <c r="M1540">
        <v>250</v>
      </c>
      <c r="N1540">
        <v>21</v>
      </c>
      <c r="O1540" t="s">
        <v>1474</v>
      </c>
      <c r="P1540" s="1" t="b">
        <f>NOT(OR(Table1[[#This Row],[State]]="Other Foreign Countries", Table1[[#This Row],[State]]="Unknown", Table1[[#This Row],[State]]="Puerto Rico all counties"))</f>
        <v>1</v>
      </c>
    </row>
    <row r="1541" spans="1:16" x14ac:dyDescent="0.25">
      <c r="A1541">
        <v>2158</v>
      </c>
      <c r="B1541" t="s">
        <v>150</v>
      </c>
      <c r="C1541" t="s">
        <v>183</v>
      </c>
      <c r="D1541">
        <v>35</v>
      </c>
      <c r="E1541">
        <v>18</v>
      </c>
      <c r="L1541">
        <v>19</v>
      </c>
      <c r="O1541" t="s">
        <v>184</v>
      </c>
      <c r="P1541" s="1" t="b">
        <f>NOT(OR(Table1[[#This Row],[State]]="Other Foreign Countries", Table1[[#This Row],[State]]="Unknown", Table1[[#This Row],[State]]="Puerto Rico all counties"))</f>
        <v>1</v>
      </c>
    </row>
    <row r="1542" spans="1:16" x14ac:dyDescent="0.25">
      <c r="A1542">
        <v>55063</v>
      </c>
      <c r="B1542" t="s">
        <v>4906</v>
      </c>
      <c r="C1542" t="s">
        <v>4949</v>
      </c>
      <c r="D1542">
        <v>2624</v>
      </c>
      <c r="E1542">
        <v>735</v>
      </c>
      <c r="F1542">
        <v>374</v>
      </c>
      <c r="G1542">
        <v>346</v>
      </c>
      <c r="H1542">
        <v>695</v>
      </c>
      <c r="I1542">
        <v>474</v>
      </c>
      <c r="J1542">
        <v>660</v>
      </c>
      <c r="K1542">
        <v>732</v>
      </c>
      <c r="L1542" s="1">
        <v>1232</v>
      </c>
      <c r="M1542" s="1">
        <v>2363</v>
      </c>
      <c r="N1542">
        <v>260</v>
      </c>
      <c r="O1542" t="s">
        <v>4950</v>
      </c>
      <c r="P1542" s="1" t="b">
        <f>NOT(OR(Table1[[#This Row],[State]]="Other Foreign Countries", Table1[[#This Row],[State]]="Unknown", Table1[[#This Row],[State]]="Puerto Rico all counties"))</f>
        <v>1</v>
      </c>
    </row>
    <row r="1543" spans="1:16" x14ac:dyDescent="0.25">
      <c r="A1543">
        <v>4012</v>
      </c>
      <c r="B1543" t="s">
        <v>211</v>
      </c>
      <c r="C1543" t="s">
        <v>224</v>
      </c>
      <c r="D1543">
        <v>588</v>
      </c>
      <c r="E1543">
        <v>138</v>
      </c>
      <c r="F1543">
        <v>69</v>
      </c>
      <c r="G1543">
        <v>80</v>
      </c>
      <c r="H1543">
        <v>179</v>
      </c>
      <c r="I1543">
        <v>122</v>
      </c>
      <c r="J1543">
        <v>51</v>
      </c>
      <c r="K1543">
        <v>115</v>
      </c>
      <c r="L1543">
        <v>422</v>
      </c>
      <c r="M1543">
        <v>550</v>
      </c>
      <c r="N1543">
        <v>38</v>
      </c>
      <c r="O1543" t="s">
        <v>225</v>
      </c>
      <c r="P1543" s="1" t="b">
        <f>NOT(OR(Table1[[#This Row],[State]]="Other Foreign Countries", Table1[[#This Row],[State]]="Unknown", Table1[[#This Row],[State]]="Puerto Rico all counties"))</f>
        <v>1</v>
      </c>
    </row>
    <row r="1544" spans="1:16" x14ac:dyDescent="0.25">
      <c r="A1544">
        <v>8067</v>
      </c>
      <c r="B1544" t="s">
        <v>489</v>
      </c>
      <c r="C1544" t="s">
        <v>555</v>
      </c>
      <c r="D1544">
        <v>916</v>
      </c>
      <c r="E1544">
        <v>210</v>
      </c>
      <c r="F1544">
        <v>100</v>
      </c>
      <c r="G1544">
        <v>128</v>
      </c>
      <c r="H1544">
        <v>264</v>
      </c>
      <c r="I1544">
        <v>214</v>
      </c>
      <c r="J1544">
        <v>243</v>
      </c>
      <c r="K1544">
        <v>287</v>
      </c>
      <c r="L1544">
        <v>386</v>
      </c>
      <c r="M1544">
        <v>816</v>
      </c>
      <c r="N1544">
        <v>100</v>
      </c>
      <c r="O1544" t="s">
        <v>556</v>
      </c>
      <c r="P1544" s="1" t="b">
        <f>NOT(OR(Table1[[#This Row],[State]]="Other Foreign Countries", Table1[[#This Row],[State]]="Unknown", Table1[[#This Row],[State]]="Puerto Rico all counties"))</f>
        <v>1</v>
      </c>
    </row>
    <row r="1545" spans="1:16" x14ac:dyDescent="0.25">
      <c r="A1545">
        <v>48283</v>
      </c>
      <c r="B1545" t="s">
        <v>2654</v>
      </c>
      <c r="C1545" t="s">
        <v>4301</v>
      </c>
      <c r="D1545">
        <v>54</v>
      </c>
      <c r="G1545">
        <v>10</v>
      </c>
      <c r="H1545">
        <v>25</v>
      </c>
      <c r="J1545">
        <v>12</v>
      </c>
      <c r="K1545">
        <v>13</v>
      </c>
      <c r="L1545">
        <v>29</v>
      </c>
      <c r="O1545" t="s">
        <v>4302</v>
      </c>
      <c r="P1545" s="1" t="b">
        <f>NOT(OR(Table1[[#This Row],[State]]="Other Foreign Countries", Table1[[#This Row],[State]]="Unknown", Table1[[#This Row],[State]]="Puerto Rico all counties"))</f>
        <v>1</v>
      </c>
    </row>
    <row r="1546" spans="1:16" x14ac:dyDescent="0.25">
      <c r="A1546">
        <v>20099</v>
      </c>
      <c r="B1546" t="s">
        <v>1543</v>
      </c>
      <c r="C1546" t="s">
        <v>1621</v>
      </c>
      <c r="D1546">
        <v>302</v>
      </c>
      <c r="E1546">
        <v>63</v>
      </c>
      <c r="F1546">
        <v>36</v>
      </c>
      <c r="G1546">
        <v>37</v>
      </c>
      <c r="H1546">
        <v>94</v>
      </c>
      <c r="I1546">
        <v>72</v>
      </c>
      <c r="J1546">
        <v>65</v>
      </c>
      <c r="K1546">
        <v>99</v>
      </c>
      <c r="L1546">
        <v>138</v>
      </c>
      <c r="M1546">
        <v>267</v>
      </c>
      <c r="N1546">
        <v>35</v>
      </c>
      <c r="O1546" t="s">
        <v>1622</v>
      </c>
      <c r="P1546" s="1" t="b">
        <f>NOT(OR(Table1[[#This Row],[State]]="Other Foreign Countries", Table1[[#This Row],[State]]="Unknown", Table1[[#This Row],[State]]="Puerto Rico all counties"))</f>
        <v>1</v>
      </c>
    </row>
    <row r="1547" spans="1:16" x14ac:dyDescent="0.25">
      <c r="A1547">
        <v>27073</v>
      </c>
      <c r="B1547" t="s">
        <v>2245</v>
      </c>
      <c r="C1547" t="s">
        <v>2306</v>
      </c>
      <c r="D1547">
        <v>251</v>
      </c>
      <c r="E1547">
        <v>130</v>
      </c>
      <c r="F1547">
        <v>35</v>
      </c>
      <c r="G1547">
        <v>22</v>
      </c>
      <c r="H1547">
        <v>45</v>
      </c>
      <c r="I1547">
        <v>19</v>
      </c>
      <c r="J1547">
        <v>41</v>
      </c>
      <c r="K1547">
        <v>40</v>
      </c>
      <c r="L1547">
        <v>170</v>
      </c>
      <c r="O1547" t="s">
        <v>2307</v>
      </c>
      <c r="P1547" s="1" t="b">
        <f>NOT(OR(Table1[[#This Row],[State]]="Other Foreign Countries", Table1[[#This Row],[State]]="Unknown", Table1[[#This Row],[State]]="Puerto Rico all counties"))</f>
        <v>1</v>
      </c>
    </row>
    <row r="1548" spans="1:16" x14ac:dyDescent="0.25">
      <c r="A1548">
        <v>42069</v>
      </c>
      <c r="B1548" t="s">
        <v>3665</v>
      </c>
      <c r="C1548" t="s">
        <v>3715</v>
      </c>
      <c r="D1548">
        <v>3036</v>
      </c>
      <c r="E1548">
        <v>627</v>
      </c>
      <c r="F1548">
        <v>309</v>
      </c>
      <c r="G1548">
        <v>350</v>
      </c>
      <c r="H1548">
        <v>940</v>
      </c>
      <c r="I1548">
        <v>810</v>
      </c>
      <c r="J1548">
        <v>761</v>
      </c>
      <c r="K1548">
        <v>801</v>
      </c>
      <c r="L1548" s="1">
        <v>1474</v>
      </c>
      <c r="M1548" s="1">
        <v>2783</v>
      </c>
      <c r="N1548">
        <v>253</v>
      </c>
      <c r="O1548" t="s">
        <v>3716</v>
      </c>
      <c r="P1548" s="1" t="b">
        <f>NOT(OR(Table1[[#This Row],[State]]="Other Foreign Countries", Table1[[#This Row],[State]]="Unknown", Table1[[#This Row],[State]]="Puerto Rico all counties"))</f>
        <v>1</v>
      </c>
    </row>
    <row r="1549" spans="1:16" x14ac:dyDescent="0.25">
      <c r="A1549">
        <v>29105</v>
      </c>
      <c r="B1549" t="s">
        <v>2510</v>
      </c>
      <c r="C1549" t="s">
        <v>2579</v>
      </c>
      <c r="D1549">
        <v>1255</v>
      </c>
      <c r="E1549">
        <v>255</v>
      </c>
      <c r="F1549">
        <v>110</v>
      </c>
      <c r="G1549">
        <v>134</v>
      </c>
      <c r="H1549">
        <v>381</v>
      </c>
      <c r="I1549">
        <v>375</v>
      </c>
      <c r="J1549">
        <v>243</v>
      </c>
      <c r="K1549">
        <v>501</v>
      </c>
      <c r="L1549">
        <v>511</v>
      </c>
      <c r="M1549" s="1">
        <v>1132</v>
      </c>
      <c r="N1549">
        <v>122</v>
      </c>
      <c r="O1549" t="s">
        <v>2580</v>
      </c>
      <c r="P1549" s="1" t="b">
        <f>NOT(OR(Table1[[#This Row],[State]]="Other Foreign Countries", Table1[[#This Row],[State]]="Unknown", Table1[[#This Row],[State]]="Puerto Rico all counties"))</f>
        <v>1</v>
      </c>
    </row>
    <row r="1550" spans="1:16" x14ac:dyDescent="0.25">
      <c r="A1550">
        <v>5073</v>
      </c>
      <c r="B1550" t="s">
        <v>242</v>
      </c>
      <c r="C1550" t="s">
        <v>306</v>
      </c>
      <c r="D1550">
        <v>113</v>
      </c>
      <c r="E1550">
        <v>21</v>
      </c>
      <c r="F1550">
        <v>19</v>
      </c>
      <c r="G1550">
        <v>12</v>
      </c>
      <c r="H1550">
        <v>33</v>
      </c>
      <c r="I1550">
        <v>28</v>
      </c>
      <c r="J1550">
        <v>18</v>
      </c>
      <c r="K1550">
        <v>33</v>
      </c>
      <c r="L1550">
        <v>62</v>
      </c>
      <c r="O1550" t="s">
        <v>307</v>
      </c>
      <c r="P1550" s="1" t="b">
        <f>NOT(OR(Table1[[#This Row],[State]]="Other Foreign Countries", Table1[[#This Row],[State]]="Unknown", Table1[[#This Row],[State]]="Puerto Rico all counties"))</f>
        <v>1</v>
      </c>
    </row>
    <row r="1551" spans="1:16" x14ac:dyDescent="0.25">
      <c r="A1551">
        <v>12067</v>
      </c>
      <c r="B1551" t="s">
        <v>637</v>
      </c>
      <c r="C1551" t="s">
        <v>306</v>
      </c>
      <c r="D1551">
        <v>190</v>
      </c>
      <c r="E1551">
        <v>44</v>
      </c>
      <c r="F1551">
        <v>17</v>
      </c>
      <c r="G1551">
        <v>24</v>
      </c>
      <c r="H1551">
        <v>53</v>
      </c>
      <c r="I1551">
        <v>52</v>
      </c>
      <c r="J1551">
        <v>39</v>
      </c>
      <c r="K1551">
        <v>62</v>
      </c>
      <c r="L1551">
        <v>89</v>
      </c>
      <c r="M1551">
        <v>171</v>
      </c>
      <c r="N1551">
        <v>19</v>
      </c>
      <c r="O1551" t="s">
        <v>695</v>
      </c>
      <c r="P1551" s="1" t="b">
        <f>NOT(OR(Table1[[#This Row],[State]]="Other Foreign Countries", Table1[[#This Row],[State]]="Unknown", Table1[[#This Row],[State]]="Puerto Rico all counties"))</f>
        <v>1</v>
      </c>
    </row>
    <row r="1552" spans="1:16" x14ac:dyDescent="0.25">
      <c r="A1552">
        <v>22055</v>
      </c>
      <c r="B1552" t="s">
        <v>1892</v>
      </c>
      <c r="C1552" t="s">
        <v>306</v>
      </c>
      <c r="D1552">
        <v>4569</v>
      </c>
      <c r="E1552">
        <v>894</v>
      </c>
      <c r="F1552">
        <v>414</v>
      </c>
      <c r="G1552">
        <v>503</v>
      </c>
      <c r="H1552" s="1">
        <v>1373</v>
      </c>
      <c r="I1552" s="1">
        <v>1385</v>
      </c>
      <c r="J1552" s="1">
        <v>1461</v>
      </c>
      <c r="K1552" s="1">
        <v>1573</v>
      </c>
      <c r="L1552" s="1">
        <v>1535</v>
      </c>
      <c r="M1552" s="1">
        <v>3953</v>
      </c>
      <c r="N1552">
        <v>616</v>
      </c>
      <c r="O1552" t="s">
        <v>1941</v>
      </c>
      <c r="P1552" s="1" t="b">
        <f>NOT(OR(Table1[[#This Row],[State]]="Other Foreign Countries", Table1[[#This Row],[State]]="Unknown", Table1[[#This Row],[State]]="Puerto Rico all counties"))</f>
        <v>1</v>
      </c>
    </row>
    <row r="1553" spans="1:16" x14ac:dyDescent="0.25">
      <c r="A1553">
        <v>28071</v>
      </c>
      <c r="B1553" t="s">
        <v>322</v>
      </c>
      <c r="C1553" t="s">
        <v>306</v>
      </c>
      <c r="D1553">
        <v>619</v>
      </c>
      <c r="E1553">
        <v>98</v>
      </c>
      <c r="F1553">
        <v>56</v>
      </c>
      <c r="G1553">
        <v>81</v>
      </c>
      <c r="H1553">
        <v>192</v>
      </c>
      <c r="I1553">
        <v>192</v>
      </c>
      <c r="J1553">
        <v>183</v>
      </c>
      <c r="K1553">
        <v>193</v>
      </c>
      <c r="L1553">
        <v>243</v>
      </c>
      <c r="M1553">
        <v>557</v>
      </c>
      <c r="N1553">
        <v>61</v>
      </c>
      <c r="O1553" t="s">
        <v>2443</v>
      </c>
      <c r="P1553" s="1" t="b">
        <f>NOT(OR(Table1[[#This Row],[State]]="Other Foreign Countries", Table1[[#This Row],[State]]="Unknown", Table1[[#This Row],[State]]="Puerto Rico all counties"))</f>
        <v>1</v>
      </c>
    </row>
    <row r="1554" spans="1:16" x14ac:dyDescent="0.25">
      <c r="A1554">
        <v>29107</v>
      </c>
      <c r="B1554" t="s">
        <v>2510</v>
      </c>
      <c r="C1554" t="s">
        <v>306</v>
      </c>
      <c r="D1554">
        <v>759</v>
      </c>
      <c r="E1554">
        <v>172</v>
      </c>
      <c r="F1554">
        <v>71</v>
      </c>
      <c r="G1554">
        <v>115</v>
      </c>
      <c r="H1554">
        <v>234</v>
      </c>
      <c r="I1554">
        <v>167</v>
      </c>
      <c r="J1554">
        <v>194</v>
      </c>
      <c r="K1554">
        <v>232</v>
      </c>
      <c r="L1554">
        <v>333</v>
      </c>
      <c r="M1554">
        <v>704</v>
      </c>
      <c r="N1554">
        <v>55</v>
      </c>
      <c r="O1554" t="s">
        <v>2581</v>
      </c>
      <c r="P1554" s="1" t="b">
        <f>NOT(OR(Table1[[#This Row],[State]]="Other Foreign Countries", Table1[[#This Row],[State]]="Unknown", Table1[[#This Row],[State]]="Puerto Rico all counties"))</f>
        <v>1</v>
      </c>
    </row>
    <row r="1555" spans="1:16" x14ac:dyDescent="0.25">
      <c r="A1555">
        <v>55065</v>
      </c>
      <c r="B1555" t="s">
        <v>4906</v>
      </c>
      <c r="C1555" t="s">
        <v>306</v>
      </c>
      <c r="D1555">
        <v>229</v>
      </c>
      <c r="E1555">
        <v>69</v>
      </c>
      <c r="F1555">
        <v>28</v>
      </c>
      <c r="G1555">
        <v>33</v>
      </c>
      <c r="H1555">
        <v>57</v>
      </c>
      <c r="I1555">
        <v>42</v>
      </c>
      <c r="J1555">
        <v>54</v>
      </c>
      <c r="K1555">
        <v>60</v>
      </c>
      <c r="L1555">
        <v>115</v>
      </c>
      <c r="M1555">
        <v>209</v>
      </c>
      <c r="N1555">
        <v>20</v>
      </c>
      <c r="O1555" t="s">
        <v>4951</v>
      </c>
      <c r="P1555" s="1" t="b">
        <f>NOT(OR(Table1[[#This Row],[State]]="Other Foreign Countries", Table1[[#This Row],[State]]="Unknown", Table1[[#This Row],[State]]="Puerto Rico all counties"))</f>
        <v>1</v>
      </c>
    </row>
    <row r="1556" spans="1:16" x14ac:dyDescent="0.25">
      <c r="A1556">
        <v>22057</v>
      </c>
      <c r="B1556" t="s">
        <v>1892</v>
      </c>
      <c r="C1556" t="s">
        <v>1942</v>
      </c>
      <c r="D1556">
        <v>1050</v>
      </c>
      <c r="E1556">
        <v>186</v>
      </c>
      <c r="F1556">
        <v>108</v>
      </c>
      <c r="G1556">
        <v>122</v>
      </c>
      <c r="H1556">
        <v>349</v>
      </c>
      <c r="I1556">
        <v>285</v>
      </c>
      <c r="J1556">
        <v>309</v>
      </c>
      <c r="K1556">
        <v>294</v>
      </c>
      <c r="L1556">
        <v>447</v>
      </c>
      <c r="M1556">
        <v>928</v>
      </c>
      <c r="N1556">
        <v>121</v>
      </c>
      <c r="O1556" t="s">
        <v>1943</v>
      </c>
      <c r="P1556" s="1" t="b">
        <f>NOT(OR(Table1[[#This Row],[State]]="Other Foreign Countries", Table1[[#This Row],[State]]="Unknown", Table1[[#This Row],[State]]="Puerto Rico all counties"))</f>
        <v>1</v>
      </c>
    </row>
    <row r="1557" spans="1:16" x14ac:dyDescent="0.25">
      <c r="A1557">
        <v>18087</v>
      </c>
      <c r="B1557" t="s">
        <v>1266</v>
      </c>
      <c r="C1557" t="s">
        <v>1325</v>
      </c>
      <c r="D1557">
        <v>305</v>
      </c>
      <c r="E1557">
        <v>99</v>
      </c>
      <c r="F1557">
        <v>34</v>
      </c>
      <c r="G1557">
        <v>41</v>
      </c>
      <c r="H1557">
        <v>77</v>
      </c>
      <c r="I1557">
        <v>54</v>
      </c>
      <c r="J1557">
        <v>60</v>
      </c>
      <c r="K1557">
        <v>58</v>
      </c>
      <c r="L1557">
        <v>187</v>
      </c>
      <c r="M1557">
        <v>287</v>
      </c>
      <c r="N1557">
        <v>18</v>
      </c>
      <c r="O1557" t="s">
        <v>1326</v>
      </c>
      <c r="P1557" s="1" t="b">
        <f>NOT(OR(Table1[[#This Row],[State]]="Other Foreign Countries", Table1[[#This Row],[State]]="Unknown", Table1[[#This Row],[State]]="Puerto Rico all counties"))</f>
        <v>1</v>
      </c>
    </row>
    <row r="1558" spans="1:16" x14ac:dyDescent="0.25">
      <c r="A1558">
        <v>6033</v>
      </c>
      <c r="B1558" t="s">
        <v>374</v>
      </c>
      <c r="C1558" t="s">
        <v>407</v>
      </c>
      <c r="D1558">
        <v>1517</v>
      </c>
      <c r="E1558">
        <v>328</v>
      </c>
      <c r="F1558">
        <v>171</v>
      </c>
      <c r="G1558">
        <v>160</v>
      </c>
      <c r="H1558">
        <v>407</v>
      </c>
      <c r="I1558">
        <v>451</v>
      </c>
      <c r="J1558">
        <v>241</v>
      </c>
      <c r="K1558">
        <v>327</v>
      </c>
      <c r="L1558">
        <v>949</v>
      </c>
      <c r="M1558" s="1">
        <v>1412</v>
      </c>
      <c r="N1558">
        <v>105</v>
      </c>
      <c r="O1558" t="s">
        <v>408</v>
      </c>
      <c r="P1558" s="1" t="b">
        <f>NOT(OR(Table1[[#This Row],[State]]="Other Foreign Countries", Table1[[#This Row],[State]]="Unknown", Table1[[#This Row],[State]]="Puerto Rico all counties"))</f>
        <v>1</v>
      </c>
    </row>
    <row r="1559" spans="1:16" x14ac:dyDescent="0.25">
      <c r="A1559">
        <v>8065</v>
      </c>
      <c r="B1559" t="s">
        <v>489</v>
      </c>
      <c r="C1559" t="s">
        <v>407</v>
      </c>
      <c r="D1559">
        <v>98</v>
      </c>
      <c r="E1559">
        <v>22</v>
      </c>
      <c r="F1559">
        <v>11</v>
      </c>
      <c r="G1559">
        <v>10</v>
      </c>
      <c r="H1559">
        <v>28</v>
      </c>
      <c r="I1559">
        <v>27</v>
      </c>
      <c r="J1559">
        <v>33</v>
      </c>
      <c r="K1559">
        <v>28</v>
      </c>
      <c r="L1559">
        <v>37</v>
      </c>
      <c r="M1559">
        <v>80</v>
      </c>
      <c r="N1559">
        <v>18</v>
      </c>
      <c r="O1559" t="s">
        <v>554</v>
      </c>
      <c r="P1559" s="1" t="b">
        <f>NOT(OR(Table1[[#This Row],[State]]="Other Foreign Countries", Table1[[#This Row],[State]]="Unknown", Table1[[#This Row],[State]]="Puerto Rico all counties"))</f>
        <v>1</v>
      </c>
    </row>
    <row r="1560" spans="1:16" x14ac:dyDescent="0.25">
      <c r="A1560">
        <v>12069</v>
      </c>
      <c r="B1560" t="s">
        <v>637</v>
      </c>
      <c r="C1560" t="s">
        <v>407</v>
      </c>
      <c r="D1560">
        <v>12521</v>
      </c>
      <c r="E1560" s="1">
        <v>2567</v>
      </c>
      <c r="F1560" s="1">
        <v>1222</v>
      </c>
      <c r="G1560" s="1">
        <v>1358</v>
      </c>
      <c r="H1560" s="1">
        <v>3642</v>
      </c>
      <c r="I1560" s="1">
        <v>3732</v>
      </c>
      <c r="J1560" s="1">
        <v>2755</v>
      </c>
      <c r="K1560" s="1">
        <v>3779</v>
      </c>
      <c r="L1560" s="1">
        <v>5987</v>
      </c>
      <c r="M1560" s="1">
        <v>11165</v>
      </c>
      <c r="N1560" s="1">
        <v>1355</v>
      </c>
      <c r="O1560" t="s">
        <v>696</v>
      </c>
      <c r="P1560" s="1" t="b">
        <f>NOT(OR(Table1[[#This Row],[State]]="Other Foreign Countries", Table1[[#This Row],[State]]="Unknown", Table1[[#This Row],[State]]="Puerto Rico all counties"))</f>
        <v>1</v>
      </c>
    </row>
    <row r="1561" spans="1:16" x14ac:dyDescent="0.25">
      <c r="A1561">
        <v>17097</v>
      </c>
      <c r="B1561" t="s">
        <v>1109</v>
      </c>
      <c r="C1561" t="s">
        <v>407</v>
      </c>
      <c r="D1561">
        <v>9623</v>
      </c>
      <c r="E1561" s="1">
        <v>1588</v>
      </c>
      <c r="F1561" s="1">
        <v>1002</v>
      </c>
      <c r="G1561" s="1">
        <v>1074</v>
      </c>
      <c r="H1561" s="1">
        <v>3172</v>
      </c>
      <c r="I1561" s="1">
        <v>2787</v>
      </c>
      <c r="J1561" s="1">
        <v>4187</v>
      </c>
      <c r="K1561" s="1">
        <v>2760</v>
      </c>
      <c r="L1561" s="1">
        <v>2676</v>
      </c>
      <c r="M1561" s="1">
        <v>8092</v>
      </c>
      <c r="N1561" s="1">
        <v>1530</v>
      </c>
      <c r="O1561" t="s">
        <v>1184</v>
      </c>
      <c r="P1561" s="1" t="b">
        <f>NOT(OR(Table1[[#This Row],[State]]="Other Foreign Countries", Table1[[#This Row],[State]]="Unknown", Table1[[#This Row],[State]]="Puerto Rico all counties"))</f>
        <v>1</v>
      </c>
    </row>
    <row r="1562" spans="1:16" x14ac:dyDescent="0.25">
      <c r="A1562">
        <v>18089</v>
      </c>
      <c r="B1562" t="s">
        <v>1266</v>
      </c>
      <c r="C1562" t="s">
        <v>407</v>
      </c>
      <c r="D1562">
        <v>6346</v>
      </c>
      <c r="E1562" s="1">
        <v>1216</v>
      </c>
      <c r="F1562">
        <v>739</v>
      </c>
      <c r="G1562">
        <v>768</v>
      </c>
      <c r="H1562" s="1">
        <v>2024</v>
      </c>
      <c r="I1562" s="1">
        <v>1599</v>
      </c>
      <c r="J1562" s="1">
        <v>1648</v>
      </c>
      <c r="K1562" s="1">
        <v>2075</v>
      </c>
      <c r="L1562" s="1">
        <v>2623</v>
      </c>
      <c r="M1562" s="1">
        <v>5695</v>
      </c>
      <c r="N1562">
        <v>650</v>
      </c>
      <c r="O1562" t="s">
        <v>1327</v>
      </c>
      <c r="P1562" s="1" t="b">
        <f>NOT(OR(Table1[[#This Row],[State]]="Other Foreign Countries", Table1[[#This Row],[State]]="Unknown", Table1[[#This Row],[State]]="Puerto Rico all counties"))</f>
        <v>1</v>
      </c>
    </row>
    <row r="1563" spans="1:16" x14ac:dyDescent="0.25">
      <c r="A1563">
        <v>26085</v>
      </c>
      <c r="B1563" t="s">
        <v>2099</v>
      </c>
      <c r="C1563" t="s">
        <v>407</v>
      </c>
      <c r="D1563">
        <v>310</v>
      </c>
      <c r="E1563">
        <v>61</v>
      </c>
      <c r="F1563">
        <v>36</v>
      </c>
      <c r="G1563">
        <v>39</v>
      </c>
      <c r="H1563">
        <v>94</v>
      </c>
      <c r="I1563">
        <v>80</v>
      </c>
      <c r="J1563">
        <v>52</v>
      </c>
      <c r="K1563">
        <v>86</v>
      </c>
      <c r="L1563">
        <v>172</v>
      </c>
      <c r="M1563">
        <v>295</v>
      </c>
      <c r="N1563">
        <v>15</v>
      </c>
      <c r="O1563" t="s">
        <v>2173</v>
      </c>
      <c r="P1563" s="1" t="b">
        <f>NOT(OR(Table1[[#This Row],[State]]="Other Foreign Countries", Table1[[#This Row],[State]]="Unknown", Table1[[#This Row],[State]]="Puerto Rico all counties"))</f>
        <v>1</v>
      </c>
    </row>
    <row r="1564" spans="1:16" x14ac:dyDescent="0.25">
      <c r="A1564">
        <v>27075</v>
      </c>
      <c r="B1564" t="s">
        <v>2245</v>
      </c>
      <c r="C1564" t="s">
        <v>407</v>
      </c>
      <c r="D1564">
        <v>354</v>
      </c>
      <c r="E1564">
        <v>127</v>
      </c>
      <c r="F1564">
        <v>38</v>
      </c>
      <c r="G1564">
        <v>48</v>
      </c>
      <c r="H1564">
        <v>65</v>
      </c>
      <c r="I1564">
        <v>76</v>
      </c>
      <c r="J1564">
        <v>44</v>
      </c>
      <c r="K1564">
        <v>77</v>
      </c>
      <c r="L1564">
        <v>233</v>
      </c>
      <c r="M1564">
        <v>338</v>
      </c>
      <c r="N1564">
        <v>16</v>
      </c>
      <c r="O1564" t="s">
        <v>2308</v>
      </c>
      <c r="P1564" s="1" t="b">
        <f>NOT(OR(Table1[[#This Row],[State]]="Other Foreign Countries", Table1[[#This Row],[State]]="Unknown", Table1[[#This Row],[State]]="Puerto Rico all counties"))</f>
        <v>1</v>
      </c>
    </row>
    <row r="1565" spans="1:16" x14ac:dyDescent="0.25">
      <c r="A1565">
        <v>30047</v>
      </c>
      <c r="B1565" t="s">
        <v>2665</v>
      </c>
      <c r="C1565" t="s">
        <v>407</v>
      </c>
      <c r="D1565">
        <v>785</v>
      </c>
      <c r="E1565">
        <v>150</v>
      </c>
      <c r="F1565">
        <v>86</v>
      </c>
      <c r="G1565">
        <v>99</v>
      </c>
      <c r="H1565">
        <v>243</v>
      </c>
      <c r="I1565">
        <v>207</v>
      </c>
      <c r="J1565">
        <v>178</v>
      </c>
      <c r="K1565">
        <v>219</v>
      </c>
      <c r="L1565">
        <v>388</v>
      </c>
      <c r="M1565">
        <v>689</v>
      </c>
      <c r="N1565">
        <v>96</v>
      </c>
      <c r="O1565" t="s">
        <v>2705</v>
      </c>
      <c r="P1565" s="1" t="b">
        <f>NOT(OR(Table1[[#This Row],[State]]="Other Foreign Countries", Table1[[#This Row],[State]]="Unknown", Table1[[#This Row],[State]]="Puerto Rico all counties"))</f>
        <v>1</v>
      </c>
    </row>
    <row r="1566" spans="1:16" x14ac:dyDescent="0.25">
      <c r="A1566">
        <v>39085</v>
      </c>
      <c r="B1566" t="s">
        <v>1343</v>
      </c>
      <c r="C1566" t="s">
        <v>407</v>
      </c>
      <c r="D1566">
        <v>4061</v>
      </c>
      <c r="E1566" s="1">
        <v>1080</v>
      </c>
      <c r="F1566">
        <v>538</v>
      </c>
      <c r="G1566">
        <v>491</v>
      </c>
      <c r="H1566" s="1">
        <v>1048</v>
      </c>
      <c r="I1566">
        <v>904</v>
      </c>
      <c r="J1566" s="1">
        <v>1047</v>
      </c>
      <c r="K1566" s="1">
        <v>1109</v>
      </c>
      <c r="L1566" s="1">
        <v>1905</v>
      </c>
      <c r="M1566" s="1">
        <v>3729</v>
      </c>
      <c r="N1566">
        <v>332</v>
      </c>
      <c r="O1566" t="s">
        <v>3430</v>
      </c>
      <c r="P1566" s="1" t="b">
        <f>NOT(OR(Table1[[#This Row],[State]]="Other Foreign Countries", Table1[[#This Row],[State]]="Unknown", Table1[[#This Row],[State]]="Puerto Rico all counties"))</f>
        <v>1</v>
      </c>
    </row>
    <row r="1567" spans="1:16" x14ac:dyDescent="0.25">
      <c r="A1567">
        <v>41037</v>
      </c>
      <c r="B1567" t="s">
        <v>2607</v>
      </c>
      <c r="C1567" t="s">
        <v>407</v>
      </c>
      <c r="D1567">
        <v>310</v>
      </c>
      <c r="E1567">
        <v>65</v>
      </c>
      <c r="F1567">
        <v>29</v>
      </c>
      <c r="G1567">
        <v>48</v>
      </c>
      <c r="H1567">
        <v>102</v>
      </c>
      <c r="I1567">
        <v>66</v>
      </c>
      <c r="J1567">
        <v>51</v>
      </c>
      <c r="K1567">
        <v>85</v>
      </c>
      <c r="L1567">
        <v>174</v>
      </c>
      <c r="M1567">
        <v>290</v>
      </c>
      <c r="N1567">
        <v>20</v>
      </c>
      <c r="O1567" t="s">
        <v>3640</v>
      </c>
      <c r="P1567" s="1" t="b">
        <f>NOT(OR(Table1[[#This Row],[State]]="Other Foreign Countries", Table1[[#This Row],[State]]="Unknown", Table1[[#This Row],[State]]="Puerto Rico all counties"))</f>
        <v>1</v>
      </c>
    </row>
    <row r="1568" spans="1:16" x14ac:dyDescent="0.25">
      <c r="A1568">
        <v>46079</v>
      </c>
      <c r="B1568" t="s">
        <v>3846</v>
      </c>
      <c r="C1568" t="s">
        <v>407</v>
      </c>
      <c r="D1568">
        <v>294</v>
      </c>
      <c r="E1568">
        <v>101</v>
      </c>
      <c r="F1568">
        <v>35</v>
      </c>
      <c r="G1568">
        <v>41</v>
      </c>
      <c r="H1568">
        <v>68</v>
      </c>
      <c r="I1568">
        <v>49</v>
      </c>
      <c r="J1568">
        <v>62</v>
      </c>
      <c r="K1568">
        <v>76</v>
      </c>
      <c r="L1568">
        <v>156</v>
      </c>
      <c r="M1568">
        <v>261</v>
      </c>
      <c r="N1568">
        <v>33</v>
      </c>
      <c r="O1568" t="s">
        <v>3907</v>
      </c>
      <c r="P1568" s="1" t="b">
        <f>NOT(OR(Table1[[#This Row],[State]]="Other Foreign Countries", Table1[[#This Row],[State]]="Unknown", Table1[[#This Row],[State]]="Puerto Rico all counties"))</f>
        <v>1</v>
      </c>
    </row>
    <row r="1569" spans="1:16" x14ac:dyDescent="0.25">
      <c r="A1569">
        <v>47095</v>
      </c>
      <c r="B1569" t="s">
        <v>3951</v>
      </c>
      <c r="C1569" t="s">
        <v>407</v>
      </c>
      <c r="D1569">
        <v>82</v>
      </c>
      <c r="E1569">
        <v>23</v>
      </c>
      <c r="H1569">
        <v>25</v>
      </c>
      <c r="I1569">
        <v>19</v>
      </c>
      <c r="J1569">
        <v>11</v>
      </c>
      <c r="K1569">
        <v>33</v>
      </c>
      <c r="L1569">
        <v>38</v>
      </c>
      <c r="O1569" t="s">
        <v>4012</v>
      </c>
      <c r="P1569" s="1" t="b">
        <f>NOT(OR(Table1[[#This Row],[State]]="Other Foreign Countries", Table1[[#This Row],[State]]="Unknown", Table1[[#This Row],[State]]="Puerto Rico all counties"))</f>
        <v>1</v>
      </c>
    </row>
    <row r="1570" spans="1:16" x14ac:dyDescent="0.25">
      <c r="A1570">
        <v>2164</v>
      </c>
      <c r="B1570" t="s">
        <v>150</v>
      </c>
      <c r="C1570" t="s">
        <v>185</v>
      </c>
      <c r="D1570">
        <v>14</v>
      </c>
      <c r="O1570" t="s">
        <v>186</v>
      </c>
      <c r="P1570" s="1" t="b">
        <f>NOT(OR(Table1[[#This Row],[State]]="Other Foreign Countries", Table1[[#This Row],[State]]="Unknown", Table1[[#This Row],[State]]="Puerto Rico all counties"))</f>
        <v>1</v>
      </c>
    </row>
    <row r="1571" spans="1:16" x14ac:dyDescent="0.25">
      <c r="A1571">
        <v>27077</v>
      </c>
      <c r="B1571" t="s">
        <v>2245</v>
      </c>
      <c r="C1571" t="s">
        <v>2309</v>
      </c>
      <c r="D1571">
        <v>106</v>
      </c>
      <c r="E1571">
        <v>35</v>
      </c>
      <c r="F1571">
        <v>14</v>
      </c>
      <c r="G1571">
        <v>15</v>
      </c>
      <c r="H1571">
        <v>30</v>
      </c>
      <c r="I1571">
        <v>12</v>
      </c>
      <c r="J1571">
        <v>14</v>
      </c>
      <c r="K1571">
        <v>32</v>
      </c>
      <c r="L1571">
        <v>60</v>
      </c>
      <c r="O1571" t="s">
        <v>2310</v>
      </c>
      <c r="P1571" s="1" t="b">
        <f>NOT(OR(Table1[[#This Row],[State]]="Other Foreign Countries", Table1[[#This Row],[State]]="Unknown", Table1[[#This Row],[State]]="Puerto Rico all counties"))</f>
        <v>1</v>
      </c>
    </row>
    <row r="1572" spans="1:16" x14ac:dyDescent="0.25">
      <c r="A1572">
        <v>1075</v>
      </c>
      <c r="B1572" t="s">
        <v>15</v>
      </c>
      <c r="C1572" t="s">
        <v>90</v>
      </c>
      <c r="D1572">
        <v>267</v>
      </c>
      <c r="E1572">
        <v>34</v>
      </c>
      <c r="F1572">
        <v>34</v>
      </c>
      <c r="G1572">
        <v>42</v>
      </c>
      <c r="H1572">
        <v>83</v>
      </c>
      <c r="I1572">
        <v>74</v>
      </c>
      <c r="J1572">
        <v>49</v>
      </c>
      <c r="K1572">
        <v>91</v>
      </c>
      <c r="L1572">
        <v>127</v>
      </c>
      <c r="M1572">
        <v>253</v>
      </c>
      <c r="N1572">
        <v>14</v>
      </c>
      <c r="O1572" t="s">
        <v>91</v>
      </c>
      <c r="P1572" s="1" t="b">
        <f>NOT(OR(Table1[[#This Row],[State]]="Other Foreign Countries", Table1[[#This Row],[State]]="Unknown", Table1[[#This Row],[State]]="Puerto Rico all counties"))</f>
        <v>1</v>
      </c>
    </row>
    <row r="1573" spans="1:16" x14ac:dyDescent="0.25">
      <c r="A1573">
        <v>13171</v>
      </c>
      <c r="B1573" t="s">
        <v>754</v>
      </c>
      <c r="C1573" t="s">
        <v>90</v>
      </c>
      <c r="D1573">
        <v>490</v>
      </c>
      <c r="E1573">
        <v>87</v>
      </c>
      <c r="F1573">
        <v>57</v>
      </c>
      <c r="G1573">
        <v>57</v>
      </c>
      <c r="H1573">
        <v>138</v>
      </c>
      <c r="I1573">
        <v>151</v>
      </c>
      <c r="J1573">
        <v>142</v>
      </c>
      <c r="K1573">
        <v>156</v>
      </c>
      <c r="L1573">
        <v>192</v>
      </c>
      <c r="M1573">
        <v>427</v>
      </c>
      <c r="N1573">
        <v>63</v>
      </c>
      <c r="O1573" t="s">
        <v>900</v>
      </c>
      <c r="P1573" s="1" t="b">
        <f>NOT(OR(Table1[[#This Row],[State]]="Other Foreign Countries", Table1[[#This Row],[State]]="Unknown", Table1[[#This Row],[State]]="Puerto Rico all counties"))</f>
        <v>1</v>
      </c>
    </row>
    <row r="1574" spans="1:16" x14ac:dyDescent="0.25">
      <c r="A1574">
        <v>28073</v>
      </c>
      <c r="B1574" t="s">
        <v>322</v>
      </c>
      <c r="C1574" t="s">
        <v>90</v>
      </c>
      <c r="D1574">
        <v>1627</v>
      </c>
      <c r="E1574">
        <v>255</v>
      </c>
      <c r="F1574">
        <v>133</v>
      </c>
      <c r="G1574">
        <v>189</v>
      </c>
      <c r="H1574">
        <v>524</v>
      </c>
      <c r="I1574">
        <v>526</v>
      </c>
      <c r="J1574">
        <v>387</v>
      </c>
      <c r="K1574">
        <v>703</v>
      </c>
      <c r="L1574">
        <v>537</v>
      </c>
      <c r="M1574" s="1">
        <v>1402</v>
      </c>
      <c r="N1574">
        <v>225</v>
      </c>
      <c r="O1574" t="s">
        <v>2444</v>
      </c>
      <c r="P1574" s="1" t="b">
        <f>NOT(OR(Table1[[#This Row],[State]]="Other Foreign Countries", Table1[[#This Row],[State]]="Unknown", Table1[[#This Row],[State]]="Puerto Rico all counties"))</f>
        <v>1</v>
      </c>
    </row>
    <row r="1575" spans="1:16" x14ac:dyDescent="0.25">
      <c r="A1575">
        <v>48277</v>
      </c>
      <c r="B1575" t="s">
        <v>2654</v>
      </c>
      <c r="C1575" t="s">
        <v>90</v>
      </c>
      <c r="D1575">
        <v>1159</v>
      </c>
      <c r="E1575">
        <v>242</v>
      </c>
      <c r="F1575">
        <v>100</v>
      </c>
      <c r="G1575">
        <v>127</v>
      </c>
      <c r="H1575">
        <v>364</v>
      </c>
      <c r="I1575">
        <v>326</v>
      </c>
      <c r="J1575">
        <v>308</v>
      </c>
      <c r="K1575">
        <v>337</v>
      </c>
      <c r="L1575">
        <v>514</v>
      </c>
      <c r="M1575" s="1">
        <v>1042</v>
      </c>
      <c r="N1575">
        <v>117</v>
      </c>
      <c r="O1575" t="s">
        <v>4296</v>
      </c>
      <c r="P1575" s="1" t="b">
        <f>NOT(OR(Table1[[#This Row],[State]]="Other Foreign Countries", Table1[[#This Row],[State]]="Unknown", Table1[[#This Row],[State]]="Puerto Rico all counties"))</f>
        <v>1</v>
      </c>
    </row>
    <row r="1576" spans="1:16" x14ac:dyDescent="0.25">
      <c r="A1576">
        <v>48279</v>
      </c>
      <c r="B1576" t="s">
        <v>2654</v>
      </c>
      <c r="C1576" t="s">
        <v>4297</v>
      </c>
      <c r="D1576">
        <v>193</v>
      </c>
      <c r="E1576">
        <v>41</v>
      </c>
      <c r="F1576">
        <v>24</v>
      </c>
      <c r="G1576">
        <v>22</v>
      </c>
      <c r="H1576">
        <v>65</v>
      </c>
      <c r="I1576">
        <v>41</v>
      </c>
      <c r="J1576">
        <v>52</v>
      </c>
      <c r="K1576">
        <v>64</v>
      </c>
      <c r="L1576">
        <v>77</v>
      </c>
      <c r="M1576">
        <v>176</v>
      </c>
      <c r="N1576">
        <v>17</v>
      </c>
      <c r="O1576" t="s">
        <v>4298</v>
      </c>
      <c r="P1576" s="1" t="b">
        <f>NOT(OR(Table1[[#This Row],[State]]="Other Foreign Countries", Table1[[#This Row],[State]]="Unknown", Table1[[#This Row],[State]]="Puerto Rico all counties"))</f>
        <v>1</v>
      </c>
    </row>
    <row r="1577" spans="1:16" x14ac:dyDescent="0.25">
      <c r="A1577">
        <v>50015</v>
      </c>
      <c r="B1577" t="s">
        <v>4531</v>
      </c>
      <c r="C1577" t="s">
        <v>4544</v>
      </c>
      <c r="D1577">
        <v>338</v>
      </c>
      <c r="E1577">
        <v>90</v>
      </c>
      <c r="F1577">
        <v>42</v>
      </c>
      <c r="G1577">
        <v>51</v>
      </c>
      <c r="H1577">
        <v>94</v>
      </c>
      <c r="I1577">
        <v>61</v>
      </c>
      <c r="J1577">
        <v>76</v>
      </c>
      <c r="K1577">
        <v>110</v>
      </c>
      <c r="L1577">
        <v>152</v>
      </c>
      <c r="M1577">
        <v>308</v>
      </c>
      <c r="N1577">
        <v>30</v>
      </c>
      <c r="O1577" t="s">
        <v>4545</v>
      </c>
      <c r="P1577" s="1" t="b">
        <f>NOT(OR(Table1[[#This Row],[State]]="Other Foreign Countries", Table1[[#This Row],[State]]="Unknown", Table1[[#This Row],[State]]="Puerto Rico all counties"))</f>
        <v>1</v>
      </c>
    </row>
    <row r="1578" spans="1:16" x14ac:dyDescent="0.25">
      <c r="A1578">
        <v>38045</v>
      </c>
      <c r="B1578" t="s">
        <v>3286</v>
      </c>
      <c r="C1578" t="s">
        <v>3325</v>
      </c>
      <c r="D1578">
        <v>68</v>
      </c>
      <c r="E1578">
        <v>24</v>
      </c>
      <c r="H1578">
        <v>18</v>
      </c>
      <c r="I1578">
        <v>14</v>
      </c>
      <c r="L1578">
        <v>37</v>
      </c>
      <c r="O1578" t="s">
        <v>3326</v>
      </c>
      <c r="P1578" s="1" t="b">
        <f>NOT(OR(Table1[[#This Row],[State]]="Other Foreign Countries", Table1[[#This Row],[State]]="Unknown", Table1[[#This Row],[State]]="Puerto Rico all counties"))</f>
        <v>1</v>
      </c>
    </row>
    <row r="1579" spans="1:16" x14ac:dyDescent="0.25">
      <c r="A1579">
        <v>48281</v>
      </c>
      <c r="B1579" t="s">
        <v>2654</v>
      </c>
      <c r="C1579" t="s">
        <v>4299</v>
      </c>
      <c r="D1579">
        <v>2276</v>
      </c>
      <c r="E1579">
        <v>254</v>
      </c>
      <c r="F1579">
        <v>149</v>
      </c>
      <c r="G1579">
        <v>200</v>
      </c>
      <c r="H1579">
        <v>739</v>
      </c>
      <c r="I1579">
        <v>934</v>
      </c>
      <c r="J1579">
        <v>511</v>
      </c>
      <c r="K1579">
        <v>992</v>
      </c>
      <c r="L1579">
        <v>773</v>
      </c>
      <c r="M1579" s="1">
        <v>1878</v>
      </c>
      <c r="N1579">
        <v>398</v>
      </c>
      <c r="O1579" t="s">
        <v>4300</v>
      </c>
      <c r="P1579" s="1" t="b">
        <f>NOT(OR(Table1[[#This Row],[State]]="Other Foreign Countries", Table1[[#This Row],[State]]="Unknown", Table1[[#This Row],[State]]="Puerto Rico all counties"))</f>
        <v>1</v>
      </c>
    </row>
    <row r="1580" spans="1:16" x14ac:dyDescent="0.25">
      <c r="A1580">
        <v>31109</v>
      </c>
      <c r="B1580" t="s">
        <v>2758</v>
      </c>
      <c r="C1580" t="s">
        <v>2838</v>
      </c>
      <c r="D1580">
        <v>7032</v>
      </c>
      <c r="E1580" s="1">
        <v>2141</v>
      </c>
      <c r="F1580">
        <v>827</v>
      </c>
      <c r="G1580">
        <v>859</v>
      </c>
      <c r="H1580" s="1">
        <v>1637</v>
      </c>
      <c r="I1580" s="1">
        <v>1568</v>
      </c>
      <c r="J1580" s="1">
        <v>1794</v>
      </c>
      <c r="K1580" s="1">
        <v>1950</v>
      </c>
      <c r="L1580" s="1">
        <v>3288</v>
      </c>
      <c r="M1580" s="1">
        <v>6343</v>
      </c>
      <c r="N1580">
        <v>685</v>
      </c>
      <c r="O1580" t="s">
        <v>2839</v>
      </c>
      <c r="P1580" s="1" t="b">
        <f>NOT(OR(Table1[[#This Row],[State]]="Other Foreign Countries", Table1[[#This Row],[State]]="Unknown", Table1[[#This Row],[State]]="Puerto Rico all counties"))</f>
        <v>1</v>
      </c>
    </row>
    <row r="1581" spans="1:16" x14ac:dyDescent="0.25">
      <c r="A1581">
        <v>42071</v>
      </c>
      <c r="B1581" t="s">
        <v>3665</v>
      </c>
      <c r="C1581" t="s">
        <v>2838</v>
      </c>
      <c r="D1581">
        <v>5475</v>
      </c>
      <c r="E1581" s="1">
        <v>1189</v>
      </c>
      <c r="F1581">
        <v>684</v>
      </c>
      <c r="G1581">
        <v>694</v>
      </c>
      <c r="H1581" s="1">
        <v>1514</v>
      </c>
      <c r="I1581" s="1">
        <v>1394</v>
      </c>
      <c r="J1581" s="1">
        <v>1621</v>
      </c>
      <c r="K1581" s="1">
        <v>1562</v>
      </c>
      <c r="L1581" s="1">
        <v>2292</v>
      </c>
      <c r="M1581" s="1">
        <v>4900</v>
      </c>
      <c r="N1581">
        <v>575</v>
      </c>
      <c r="O1581" t="s">
        <v>3717</v>
      </c>
      <c r="P1581" s="1" t="b">
        <f>NOT(OR(Table1[[#This Row],[State]]="Other Foreign Countries", Table1[[#This Row],[State]]="Unknown", Table1[[#This Row],[State]]="Puerto Rico all counties"))</f>
        <v>1</v>
      </c>
    </row>
    <row r="1582" spans="1:16" x14ac:dyDescent="0.25">
      <c r="A1582">
        <v>45057</v>
      </c>
      <c r="B1582" t="s">
        <v>3772</v>
      </c>
      <c r="C1582" t="s">
        <v>2838</v>
      </c>
      <c r="D1582">
        <v>2249</v>
      </c>
      <c r="E1582">
        <v>350</v>
      </c>
      <c r="F1582">
        <v>211</v>
      </c>
      <c r="G1582">
        <v>242</v>
      </c>
      <c r="H1582">
        <v>655</v>
      </c>
      <c r="I1582">
        <v>791</v>
      </c>
      <c r="J1582">
        <v>511</v>
      </c>
      <c r="K1582">
        <v>766</v>
      </c>
      <c r="L1582">
        <v>972</v>
      </c>
      <c r="M1582" s="1">
        <v>1975</v>
      </c>
      <c r="N1582">
        <v>274</v>
      </c>
      <c r="O1582" t="s">
        <v>3820</v>
      </c>
      <c r="P1582" s="1" t="b">
        <f>NOT(OR(Table1[[#This Row],[State]]="Other Foreign Countries", Table1[[#This Row],[State]]="Unknown", Table1[[#This Row],[State]]="Puerto Rico all counties"))</f>
        <v>1</v>
      </c>
    </row>
    <row r="1583" spans="1:16" x14ac:dyDescent="0.25">
      <c r="A1583">
        <v>51103</v>
      </c>
      <c r="B1583" t="s">
        <v>4555</v>
      </c>
      <c r="C1583" t="s">
        <v>2838</v>
      </c>
      <c r="D1583">
        <v>232</v>
      </c>
      <c r="E1583">
        <v>59</v>
      </c>
      <c r="F1583">
        <v>27</v>
      </c>
      <c r="G1583">
        <v>24</v>
      </c>
      <c r="H1583">
        <v>65</v>
      </c>
      <c r="I1583">
        <v>57</v>
      </c>
      <c r="J1583">
        <v>27</v>
      </c>
      <c r="K1583">
        <v>63</v>
      </c>
      <c r="L1583">
        <v>142</v>
      </c>
      <c r="M1583">
        <v>212</v>
      </c>
      <c r="N1583">
        <v>20</v>
      </c>
      <c r="O1583" t="s">
        <v>4632</v>
      </c>
      <c r="P1583" s="1" t="b">
        <f>NOT(OR(Table1[[#This Row],[State]]="Other Foreign Countries", Table1[[#This Row],[State]]="Unknown", Table1[[#This Row],[State]]="Puerto Rico all counties"))</f>
        <v>1</v>
      </c>
    </row>
    <row r="1584" spans="1:16" x14ac:dyDescent="0.25">
      <c r="A1584">
        <v>32015</v>
      </c>
      <c r="B1584" t="s">
        <v>326</v>
      </c>
      <c r="C1584" t="s">
        <v>2903</v>
      </c>
      <c r="D1584">
        <v>90</v>
      </c>
      <c r="E1584">
        <v>19</v>
      </c>
      <c r="F1584">
        <v>12</v>
      </c>
      <c r="G1584">
        <v>11</v>
      </c>
      <c r="H1584">
        <v>28</v>
      </c>
      <c r="I1584">
        <v>20</v>
      </c>
      <c r="J1584">
        <v>22</v>
      </c>
      <c r="K1584">
        <v>28</v>
      </c>
      <c r="L1584">
        <v>40</v>
      </c>
      <c r="O1584" t="s">
        <v>2904</v>
      </c>
      <c r="P1584" s="1" t="b">
        <f>NOT(OR(Table1[[#This Row],[State]]="Other Foreign Countries", Table1[[#This Row],[State]]="Unknown", Table1[[#This Row],[State]]="Puerto Rico all counties"))</f>
        <v>1</v>
      </c>
    </row>
    <row r="1585" spans="1:16" x14ac:dyDescent="0.25">
      <c r="A1585">
        <v>20101</v>
      </c>
      <c r="B1585" t="s">
        <v>1543</v>
      </c>
      <c r="C1585" t="s">
        <v>1623</v>
      </c>
      <c r="D1585">
        <v>24</v>
      </c>
      <c r="E1585">
        <v>10</v>
      </c>
      <c r="O1585" t="s">
        <v>1624</v>
      </c>
      <c r="P1585" s="1" t="b">
        <f>NOT(OR(Table1[[#This Row],[State]]="Other Foreign Countries", Table1[[#This Row],[State]]="Unknown", Table1[[#This Row],[State]]="Puerto Rico all counties"))</f>
        <v>1</v>
      </c>
    </row>
    <row r="1586" spans="1:16" x14ac:dyDescent="0.25">
      <c r="A1586">
        <v>41039</v>
      </c>
      <c r="B1586" t="s">
        <v>2607</v>
      </c>
      <c r="C1586" t="s">
        <v>1623</v>
      </c>
      <c r="D1586">
        <v>8333</v>
      </c>
      <c r="E1586" s="1">
        <v>1671</v>
      </c>
      <c r="F1586">
        <v>923</v>
      </c>
      <c r="G1586" s="1">
        <v>1054</v>
      </c>
      <c r="H1586" s="1">
        <v>2564</v>
      </c>
      <c r="I1586" s="1">
        <v>2121</v>
      </c>
      <c r="J1586" s="1">
        <v>2238</v>
      </c>
      <c r="K1586" s="1">
        <v>2169</v>
      </c>
      <c r="L1586" s="1">
        <v>3926</v>
      </c>
      <c r="M1586" s="1">
        <v>7420</v>
      </c>
      <c r="N1586">
        <v>911</v>
      </c>
      <c r="O1586" t="s">
        <v>3641</v>
      </c>
      <c r="P1586" s="1" t="b">
        <f>NOT(OR(Table1[[#This Row],[State]]="Other Foreign Countries", Table1[[#This Row],[State]]="Unknown", Table1[[#This Row],[State]]="Puerto Rico all counties"))</f>
        <v>1</v>
      </c>
    </row>
    <row r="1587" spans="1:16" x14ac:dyDescent="0.25">
      <c r="A1587">
        <v>55067</v>
      </c>
      <c r="B1587" t="s">
        <v>4906</v>
      </c>
      <c r="C1587" t="s">
        <v>4952</v>
      </c>
      <c r="D1587">
        <v>532</v>
      </c>
      <c r="E1587">
        <v>129</v>
      </c>
      <c r="F1587">
        <v>81</v>
      </c>
      <c r="G1587">
        <v>71</v>
      </c>
      <c r="H1587">
        <v>144</v>
      </c>
      <c r="I1587">
        <v>107</v>
      </c>
      <c r="J1587">
        <v>93</v>
      </c>
      <c r="K1587">
        <v>122</v>
      </c>
      <c r="L1587">
        <v>317</v>
      </c>
      <c r="M1587">
        <v>496</v>
      </c>
      <c r="N1587">
        <v>36</v>
      </c>
      <c r="O1587" t="s">
        <v>4953</v>
      </c>
      <c r="P1587" s="1" t="b">
        <f>NOT(OR(Table1[[#This Row],[State]]="Other Foreign Countries", Table1[[#This Row],[State]]="Unknown", Table1[[#This Row],[State]]="Puerto Rico all counties"))</f>
        <v>1</v>
      </c>
    </row>
    <row r="1588" spans="1:16" x14ac:dyDescent="0.25">
      <c r="A1588">
        <v>13173</v>
      </c>
      <c r="B1588" t="s">
        <v>754</v>
      </c>
      <c r="C1588" t="s">
        <v>901</v>
      </c>
      <c r="D1588">
        <v>390</v>
      </c>
      <c r="E1588">
        <v>46</v>
      </c>
      <c r="F1588">
        <v>34</v>
      </c>
      <c r="G1588">
        <v>44</v>
      </c>
      <c r="H1588">
        <v>138</v>
      </c>
      <c r="I1588">
        <v>128</v>
      </c>
      <c r="J1588">
        <v>137</v>
      </c>
      <c r="K1588">
        <v>153</v>
      </c>
      <c r="L1588">
        <v>100</v>
      </c>
      <c r="M1588">
        <v>326</v>
      </c>
      <c r="N1588">
        <v>64</v>
      </c>
      <c r="O1588" t="s">
        <v>902</v>
      </c>
      <c r="P1588" s="1" t="b">
        <f>NOT(OR(Table1[[#This Row],[State]]="Other Foreign Countries", Table1[[#This Row],[State]]="Unknown", Table1[[#This Row],[State]]="Puerto Rico all counties"))</f>
        <v>1</v>
      </c>
    </row>
    <row r="1589" spans="1:16" x14ac:dyDescent="0.25">
      <c r="A1589">
        <v>26087</v>
      </c>
      <c r="B1589" t="s">
        <v>2099</v>
      </c>
      <c r="C1589" t="s">
        <v>2174</v>
      </c>
      <c r="D1589">
        <v>1794</v>
      </c>
      <c r="E1589">
        <v>483</v>
      </c>
      <c r="F1589">
        <v>224</v>
      </c>
      <c r="G1589">
        <v>206</v>
      </c>
      <c r="H1589">
        <v>486</v>
      </c>
      <c r="I1589">
        <v>395</v>
      </c>
      <c r="J1589">
        <v>430</v>
      </c>
      <c r="K1589">
        <v>524</v>
      </c>
      <c r="L1589">
        <v>840</v>
      </c>
      <c r="M1589" s="1">
        <v>1664</v>
      </c>
      <c r="N1589">
        <v>130</v>
      </c>
      <c r="O1589" t="s">
        <v>2175</v>
      </c>
      <c r="P1589" s="1" t="b">
        <f>NOT(OR(Table1[[#This Row],[State]]="Other Foreign Countries", Table1[[#This Row],[State]]="Unknown", Table1[[#This Row],[State]]="Puerto Rico all counties"))</f>
        <v>1</v>
      </c>
    </row>
    <row r="1590" spans="1:16" x14ac:dyDescent="0.25">
      <c r="A1590">
        <v>18091</v>
      </c>
      <c r="B1590" t="s">
        <v>1266</v>
      </c>
      <c r="C1590" t="s">
        <v>1328</v>
      </c>
      <c r="D1590">
        <v>1619</v>
      </c>
      <c r="E1590">
        <v>388</v>
      </c>
      <c r="F1590">
        <v>187</v>
      </c>
      <c r="G1590">
        <v>204</v>
      </c>
      <c r="H1590">
        <v>447</v>
      </c>
      <c r="I1590">
        <v>393</v>
      </c>
      <c r="J1590">
        <v>408</v>
      </c>
      <c r="K1590">
        <v>485</v>
      </c>
      <c r="L1590">
        <v>726</v>
      </c>
      <c r="M1590" s="1">
        <v>1501</v>
      </c>
      <c r="N1590">
        <v>118</v>
      </c>
      <c r="O1590" t="s">
        <v>1329</v>
      </c>
      <c r="P1590" s="1" t="b">
        <f>NOT(OR(Table1[[#This Row],[State]]="Other Foreign Countries", Table1[[#This Row],[State]]="Unknown", Table1[[#This Row],[State]]="Puerto Rico all counties"))</f>
        <v>1</v>
      </c>
    </row>
    <row r="1591" spans="1:16" x14ac:dyDescent="0.25">
      <c r="A1591">
        <v>56021</v>
      </c>
      <c r="B1591" t="s">
        <v>3117</v>
      </c>
      <c r="C1591" t="s">
        <v>5026</v>
      </c>
      <c r="D1591">
        <v>5769</v>
      </c>
      <c r="E1591" s="1">
        <v>1260</v>
      </c>
      <c r="F1591">
        <v>672</v>
      </c>
      <c r="G1591">
        <v>771</v>
      </c>
      <c r="H1591" s="1">
        <v>1647</v>
      </c>
      <c r="I1591" s="1">
        <v>1419</v>
      </c>
      <c r="J1591" s="1">
        <v>1556</v>
      </c>
      <c r="K1591" s="1">
        <v>2242</v>
      </c>
      <c r="L1591" s="1">
        <v>1971</v>
      </c>
      <c r="M1591" s="1">
        <v>4996</v>
      </c>
      <c r="N1591">
        <v>773</v>
      </c>
      <c r="O1591" t="s">
        <v>5027</v>
      </c>
      <c r="P1591" s="1" t="b">
        <f>NOT(OR(Table1[[#This Row],[State]]="Other Foreign Countries", Table1[[#This Row],[State]]="Unknown", Table1[[#This Row],[State]]="Puerto Rico all counties"))</f>
        <v>1</v>
      </c>
    </row>
    <row r="1592" spans="1:16" x14ac:dyDescent="0.25">
      <c r="A1592">
        <v>8069</v>
      </c>
      <c r="B1592" t="s">
        <v>489</v>
      </c>
      <c r="C1592" t="s">
        <v>557</v>
      </c>
      <c r="D1592">
        <v>6780</v>
      </c>
      <c r="E1592" s="1">
        <v>1765</v>
      </c>
      <c r="F1592">
        <v>875</v>
      </c>
      <c r="G1592">
        <v>884</v>
      </c>
      <c r="H1592" s="1">
        <v>1826</v>
      </c>
      <c r="I1592" s="1">
        <v>1430</v>
      </c>
      <c r="J1592" s="1">
        <v>2512</v>
      </c>
      <c r="K1592" s="1">
        <v>1734</v>
      </c>
      <c r="L1592" s="1">
        <v>2534</v>
      </c>
      <c r="M1592" s="1">
        <v>5992</v>
      </c>
      <c r="N1592">
        <v>786</v>
      </c>
      <c r="O1592" t="s">
        <v>558</v>
      </c>
      <c r="P1592" s="1" t="b">
        <f>NOT(OR(Table1[[#This Row],[State]]="Other Foreign Countries", Table1[[#This Row],[State]]="Unknown", Table1[[#This Row],[State]]="Puerto Rico all counties"))</f>
        <v>1</v>
      </c>
    </row>
    <row r="1593" spans="1:16" x14ac:dyDescent="0.25">
      <c r="A1593">
        <v>21123</v>
      </c>
      <c r="B1593" t="s">
        <v>1716</v>
      </c>
      <c r="C1593" t="s">
        <v>1809</v>
      </c>
      <c r="D1593">
        <v>376</v>
      </c>
      <c r="E1593">
        <v>77</v>
      </c>
      <c r="F1593">
        <v>48</v>
      </c>
      <c r="G1593">
        <v>48</v>
      </c>
      <c r="H1593">
        <v>99</v>
      </c>
      <c r="I1593">
        <v>104</v>
      </c>
      <c r="J1593">
        <v>72</v>
      </c>
      <c r="K1593">
        <v>149</v>
      </c>
      <c r="L1593">
        <v>155</v>
      </c>
      <c r="M1593">
        <v>333</v>
      </c>
      <c r="N1593">
        <v>43</v>
      </c>
      <c r="O1593" t="s">
        <v>1810</v>
      </c>
      <c r="P1593" s="1" t="b">
        <f>NOT(OR(Table1[[#This Row],[State]]="Other Foreign Countries", Table1[[#This Row],[State]]="Unknown", Table1[[#This Row],[State]]="Puerto Rico all counties"))</f>
        <v>1</v>
      </c>
    </row>
    <row r="1594" spans="1:16" x14ac:dyDescent="0.25">
      <c r="A1594">
        <v>8071</v>
      </c>
      <c r="B1594" t="s">
        <v>489</v>
      </c>
      <c r="C1594" t="s">
        <v>559</v>
      </c>
      <c r="D1594">
        <v>384</v>
      </c>
      <c r="E1594">
        <v>71</v>
      </c>
      <c r="F1594">
        <v>32</v>
      </c>
      <c r="G1594">
        <v>36</v>
      </c>
      <c r="H1594">
        <v>107</v>
      </c>
      <c r="I1594">
        <v>138</v>
      </c>
      <c r="J1594">
        <v>63</v>
      </c>
      <c r="K1594">
        <v>115</v>
      </c>
      <c r="L1594">
        <v>206</v>
      </c>
      <c r="M1594">
        <v>344</v>
      </c>
      <c r="N1594">
        <v>40</v>
      </c>
      <c r="O1594" t="s">
        <v>560</v>
      </c>
      <c r="P1594" s="1" t="b">
        <f>NOT(OR(Table1[[#This Row],[State]]="Other Foreign Countries", Table1[[#This Row],[State]]="Unknown", Table1[[#This Row],[State]]="Puerto Rico all counties"))</f>
        <v>1</v>
      </c>
    </row>
    <row r="1595" spans="1:16" x14ac:dyDescent="0.25">
      <c r="A1595">
        <v>17099</v>
      </c>
      <c r="B1595" t="s">
        <v>1109</v>
      </c>
      <c r="C1595" t="s">
        <v>1185</v>
      </c>
      <c r="D1595">
        <v>1441</v>
      </c>
      <c r="E1595">
        <v>324</v>
      </c>
      <c r="F1595">
        <v>160</v>
      </c>
      <c r="G1595">
        <v>158</v>
      </c>
      <c r="H1595">
        <v>469</v>
      </c>
      <c r="I1595">
        <v>330</v>
      </c>
      <c r="J1595">
        <v>400</v>
      </c>
      <c r="K1595">
        <v>408</v>
      </c>
      <c r="L1595">
        <v>633</v>
      </c>
      <c r="M1595" s="1">
        <v>1328</v>
      </c>
      <c r="N1595">
        <v>113</v>
      </c>
      <c r="O1595" t="s">
        <v>1186</v>
      </c>
      <c r="P1595" s="1" t="b">
        <f>NOT(OR(Table1[[#This Row],[State]]="Other Foreign Countries", Table1[[#This Row],[State]]="Unknown", Table1[[#This Row],[State]]="Puerto Rico all counties"))</f>
        <v>1</v>
      </c>
    </row>
    <row r="1596" spans="1:16" x14ac:dyDescent="0.25">
      <c r="A1596">
        <v>22059</v>
      </c>
      <c r="B1596" t="s">
        <v>1892</v>
      </c>
      <c r="C1596" t="s">
        <v>1185</v>
      </c>
      <c r="D1596">
        <v>218</v>
      </c>
      <c r="E1596">
        <v>29</v>
      </c>
      <c r="F1596">
        <v>19</v>
      </c>
      <c r="G1596">
        <v>27</v>
      </c>
      <c r="H1596">
        <v>66</v>
      </c>
      <c r="I1596">
        <v>77</v>
      </c>
      <c r="J1596">
        <v>47</v>
      </c>
      <c r="K1596">
        <v>73</v>
      </c>
      <c r="L1596">
        <v>98</v>
      </c>
      <c r="M1596">
        <v>205</v>
      </c>
      <c r="N1596">
        <v>13</v>
      </c>
      <c r="O1596" t="s">
        <v>1944</v>
      </c>
      <c r="P1596" s="1" t="b">
        <f>NOT(OR(Table1[[#This Row],[State]]="Other Foreign Countries", Table1[[#This Row],[State]]="Unknown", Table1[[#This Row],[State]]="Puerto Rico all counties"))</f>
        <v>1</v>
      </c>
    </row>
    <row r="1597" spans="1:16" x14ac:dyDescent="0.25">
      <c r="A1597">
        <v>6035</v>
      </c>
      <c r="B1597" t="s">
        <v>374</v>
      </c>
      <c r="C1597" t="s">
        <v>409</v>
      </c>
      <c r="D1597">
        <v>741</v>
      </c>
      <c r="E1597">
        <v>206</v>
      </c>
      <c r="F1597">
        <v>80</v>
      </c>
      <c r="G1597">
        <v>86</v>
      </c>
      <c r="H1597">
        <v>194</v>
      </c>
      <c r="I1597">
        <v>175</v>
      </c>
      <c r="J1597">
        <v>222</v>
      </c>
      <c r="K1597">
        <v>229</v>
      </c>
      <c r="L1597">
        <v>290</v>
      </c>
      <c r="M1597">
        <v>682</v>
      </c>
      <c r="N1597">
        <v>59</v>
      </c>
      <c r="O1597" t="s">
        <v>410</v>
      </c>
      <c r="P1597" s="1" t="b">
        <f>NOT(OR(Table1[[#This Row],[State]]="Other Foreign Countries", Table1[[#This Row],[State]]="Unknown", Table1[[#This Row],[State]]="Puerto Rico all counties"))</f>
        <v>1</v>
      </c>
    </row>
    <row r="1598" spans="1:16" x14ac:dyDescent="0.25">
      <c r="A1598">
        <v>16057</v>
      </c>
      <c r="B1598" t="s">
        <v>1032</v>
      </c>
      <c r="C1598" t="s">
        <v>1080</v>
      </c>
      <c r="D1598">
        <v>695</v>
      </c>
      <c r="E1598">
        <v>157</v>
      </c>
      <c r="F1598">
        <v>101</v>
      </c>
      <c r="G1598">
        <v>77</v>
      </c>
      <c r="H1598">
        <v>211</v>
      </c>
      <c r="I1598">
        <v>149</v>
      </c>
      <c r="J1598">
        <v>226</v>
      </c>
      <c r="K1598">
        <v>208</v>
      </c>
      <c r="L1598">
        <v>261</v>
      </c>
      <c r="M1598">
        <v>641</v>
      </c>
      <c r="N1598">
        <v>54</v>
      </c>
      <c r="O1598" t="s">
        <v>1081</v>
      </c>
      <c r="P1598" s="1" t="b">
        <f>NOT(OR(Table1[[#This Row],[State]]="Other Foreign Countries", Table1[[#This Row],[State]]="Unknown", Table1[[#This Row],[State]]="Puerto Rico all counties"))</f>
        <v>1</v>
      </c>
    </row>
    <row r="1599" spans="1:16" x14ac:dyDescent="0.25">
      <c r="A1599">
        <v>40077</v>
      </c>
      <c r="B1599" t="s">
        <v>3495</v>
      </c>
      <c r="C1599" t="s">
        <v>3551</v>
      </c>
      <c r="D1599">
        <v>372</v>
      </c>
      <c r="E1599">
        <v>75</v>
      </c>
      <c r="F1599">
        <v>33</v>
      </c>
      <c r="G1599">
        <v>39</v>
      </c>
      <c r="H1599">
        <v>125</v>
      </c>
      <c r="I1599">
        <v>100</v>
      </c>
      <c r="J1599">
        <v>42</v>
      </c>
      <c r="K1599">
        <v>121</v>
      </c>
      <c r="L1599">
        <v>209</v>
      </c>
      <c r="M1599">
        <v>345</v>
      </c>
      <c r="N1599">
        <v>27</v>
      </c>
      <c r="O1599" t="s">
        <v>3552</v>
      </c>
      <c r="P1599" s="1" t="b">
        <f>NOT(OR(Table1[[#This Row],[State]]="Other Foreign Countries", Table1[[#This Row],[State]]="Unknown", Table1[[#This Row],[State]]="Puerto Rico all counties"))</f>
        <v>1</v>
      </c>
    </row>
    <row r="1600" spans="1:16" x14ac:dyDescent="0.25">
      <c r="A1600">
        <v>1077</v>
      </c>
      <c r="B1600" t="s">
        <v>15</v>
      </c>
      <c r="C1600" t="s">
        <v>92</v>
      </c>
      <c r="D1600">
        <v>2074</v>
      </c>
      <c r="E1600">
        <v>394</v>
      </c>
      <c r="F1600">
        <v>223</v>
      </c>
      <c r="G1600">
        <v>225</v>
      </c>
      <c r="H1600">
        <v>628</v>
      </c>
      <c r="I1600">
        <v>604</v>
      </c>
      <c r="J1600">
        <v>472</v>
      </c>
      <c r="K1600">
        <v>620</v>
      </c>
      <c r="L1600">
        <v>982</v>
      </c>
      <c r="M1600" s="1">
        <v>1886</v>
      </c>
      <c r="N1600">
        <v>188</v>
      </c>
      <c r="O1600" t="s">
        <v>93</v>
      </c>
      <c r="P1600" s="1" t="b">
        <f>NOT(OR(Table1[[#This Row],[State]]="Other Foreign Countries", Table1[[#This Row],[State]]="Unknown", Table1[[#This Row],[State]]="Puerto Rico all counties"))</f>
        <v>1</v>
      </c>
    </row>
    <row r="1601" spans="1:16" x14ac:dyDescent="0.25">
      <c r="A1601">
        <v>28075</v>
      </c>
      <c r="B1601" t="s">
        <v>322</v>
      </c>
      <c r="C1601" t="s">
        <v>92</v>
      </c>
      <c r="D1601">
        <v>1851</v>
      </c>
      <c r="E1601">
        <v>276</v>
      </c>
      <c r="F1601">
        <v>165</v>
      </c>
      <c r="G1601">
        <v>220</v>
      </c>
      <c r="H1601">
        <v>628</v>
      </c>
      <c r="I1601">
        <v>562</v>
      </c>
      <c r="J1601">
        <v>499</v>
      </c>
      <c r="K1601">
        <v>699</v>
      </c>
      <c r="L1601">
        <v>653</v>
      </c>
      <c r="M1601" s="1">
        <v>1575</v>
      </c>
      <c r="N1601">
        <v>276</v>
      </c>
      <c r="O1601" t="s">
        <v>2445</v>
      </c>
      <c r="P1601" s="1" t="b">
        <f>NOT(OR(Table1[[#This Row],[State]]="Other Foreign Countries", Table1[[#This Row],[State]]="Unknown", Table1[[#This Row],[State]]="Puerto Rico all counties"))</f>
        <v>1</v>
      </c>
    </row>
    <row r="1602" spans="1:16" x14ac:dyDescent="0.25">
      <c r="A1602">
        <v>47097</v>
      </c>
      <c r="B1602" t="s">
        <v>3951</v>
      </c>
      <c r="C1602" t="s">
        <v>92</v>
      </c>
      <c r="D1602">
        <v>379</v>
      </c>
      <c r="E1602">
        <v>80</v>
      </c>
      <c r="F1602">
        <v>45</v>
      </c>
      <c r="G1602">
        <v>54</v>
      </c>
      <c r="H1602">
        <v>102</v>
      </c>
      <c r="I1602">
        <v>98</v>
      </c>
      <c r="J1602">
        <v>78</v>
      </c>
      <c r="K1602">
        <v>106</v>
      </c>
      <c r="L1602">
        <v>195</v>
      </c>
      <c r="M1602">
        <v>346</v>
      </c>
      <c r="N1602">
        <v>33</v>
      </c>
      <c r="O1602" t="s">
        <v>4013</v>
      </c>
      <c r="P1602" s="1" t="b">
        <f>NOT(OR(Table1[[#This Row],[State]]="Other Foreign Countries", Table1[[#This Row],[State]]="Unknown", Table1[[#This Row],[State]]="Puerto Rico all counties"))</f>
        <v>1</v>
      </c>
    </row>
    <row r="1603" spans="1:16" x14ac:dyDescent="0.25">
      <c r="A1603">
        <v>21125</v>
      </c>
      <c r="B1603" t="s">
        <v>1716</v>
      </c>
      <c r="C1603" t="s">
        <v>1811</v>
      </c>
      <c r="D1603">
        <v>1188</v>
      </c>
      <c r="E1603">
        <v>226</v>
      </c>
      <c r="F1603">
        <v>130</v>
      </c>
      <c r="G1603">
        <v>142</v>
      </c>
      <c r="H1603">
        <v>347</v>
      </c>
      <c r="I1603">
        <v>343</v>
      </c>
      <c r="J1603">
        <v>287</v>
      </c>
      <c r="K1603">
        <v>379</v>
      </c>
      <c r="L1603">
        <v>522</v>
      </c>
      <c r="M1603" s="1">
        <v>1119</v>
      </c>
      <c r="N1603">
        <v>69</v>
      </c>
      <c r="O1603" t="s">
        <v>1812</v>
      </c>
      <c r="P1603" s="1" t="b">
        <f>NOT(OR(Table1[[#This Row],[State]]="Other Foreign Countries", Table1[[#This Row],[State]]="Unknown", Table1[[#This Row],[State]]="Puerto Rico all counties"))</f>
        <v>1</v>
      </c>
    </row>
    <row r="1604" spans="1:16" x14ac:dyDescent="0.25">
      <c r="A1604">
        <v>13175</v>
      </c>
      <c r="B1604" t="s">
        <v>754</v>
      </c>
      <c r="C1604" t="s">
        <v>903</v>
      </c>
      <c r="D1604">
        <v>1546</v>
      </c>
      <c r="E1604">
        <v>214</v>
      </c>
      <c r="F1604">
        <v>127</v>
      </c>
      <c r="G1604">
        <v>174</v>
      </c>
      <c r="H1604">
        <v>514</v>
      </c>
      <c r="I1604">
        <v>517</v>
      </c>
      <c r="J1604">
        <v>309</v>
      </c>
      <c r="K1604">
        <v>565</v>
      </c>
      <c r="L1604">
        <v>672</v>
      </c>
      <c r="M1604" s="1">
        <v>1331</v>
      </c>
      <c r="N1604">
        <v>215</v>
      </c>
      <c r="O1604" t="s">
        <v>904</v>
      </c>
      <c r="P1604" s="1" t="b">
        <f>NOT(OR(Table1[[#This Row],[State]]="Other Foreign Countries", Table1[[#This Row],[State]]="Unknown", Table1[[#This Row],[State]]="Puerto Rico all counties"))</f>
        <v>1</v>
      </c>
    </row>
    <row r="1605" spans="1:16" x14ac:dyDescent="0.25">
      <c r="A1605">
        <v>45059</v>
      </c>
      <c r="B1605" t="s">
        <v>3772</v>
      </c>
      <c r="C1605" t="s">
        <v>903</v>
      </c>
      <c r="D1605">
        <v>1487</v>
      </c>
      <c r="E1605">
        <v>244</v>
      </c>
      <c r="F1605">
        <v>150</v>
      </c>
      <c r="G1605">
        <v>190</v>
      </c>
      <c r="H1605">
        <v>458</v>
      </c>
      <c r="I1605">
        <v>445</v>
      </c>
      <c r="J1605">
        <v>298</v>
      </c>
      <c r="K1605">
        <v>459</v>
      </c>
      <c r="L1605">
        <v>730</v>
      </c>
      <c r="M1605" s="1">
        <v>1357</v>
      </c>
      <c r="N1605">
        <v>130</v>
      </c>
      <c r="O1605" t="s">
        <v>3821</v>
      </c>
      <c r="P1605" s="1" t="b">
        <f>NOT(OR(Table1[[#This Row],[State]]="Other Foreign Countries", Table1[[#This Row],[State]]="Unknown", Table1[[#This Row],[State]]="Puerto Rico all counties"))</f>
        <v>1</v>
      </c>
    </row>
    <row r="1606" spans="1:16" x14ac:dyDescent="0.25">
      <c r="A1606">
        <v>48285</v>
      </c>
      <c r="B1606" t="s">
        <v>2654</v>
      </c>
      <c r="C1606" t="s">
        <v>4303</v>
      </c>
      <c r="D1606">
        <v>383</v>
      </c>
      <c r="E1606">
        <v>94</v>
      </c>
      <c r="F1606">
        <v>35</v>
      </c>
      <c r="G1606">
        <v>45</v>
      </c>
      <c r="H1606">
        <v>109</v>
      </c>
      <c r="I1606">
        <v>100</v>
      </c>
      <c r="J1606">
        <v>79</v>
      </c>
      <c r="K1606">
        <v>95</v>
      </c>
      <c r="L1606">
        <v>209</v>
      </c>
      <c r="M1606">
        <v>347</v>
      </c>
      <c r="N1606">
        <v>36</v>
      </c>
      <c r="O1606" t="s">
        <v>4304</v>
      </c>
      <c r="P1606" s="1" t="b">
        <f>NOT(OR(Table1[[#This Row],[State]]="Other Foreign Countries", Table1[[#This Row],[State]]="Unknown", Table1[[#This Row],[State]]="Puerto Rico all counties"))</f>
        <v>1</v>
      </c>
    </row>
    <row r="1607" spans="1:16" x14ac:dyDescent="0.25">
      <c r="A1607">
        <v>1079</v>
      </c>
      <c r="B1607" t="s">
        <v>15</v>
      </c>
      <c r="C1607" t="s">
        <v>94</v>
      </c>
      <c r="D1607">
        <v>540</v>
      </c>
      <c r="E1607">
        <v>100</v>
      </c>
      <c r="F1607">
        <v>56</v>
      </c>
      <c r="G1607">
        <v>56</v>
      </c>
      <c r="H1607">
        <v>177</v>
      </c>
      <c r="I1607">
        <v>151</v>
      </c>
      <c r="J1607">
        <v>118</v>
      </c>
      <c r="K1607">
        <v>179</v>
      </c>
      <c r="L1607">
        <v>243</v>
      </c>
      <c r="M1607">
        <v>505</v>
      </c>
      <c r="N1607">
        <v>35</v>
      </c>
      <c r="O1607" t="s">
        <v>95</v>
      </c>
      <c r="P1607" s="1" t="b">
        <f>NOT(OR(Table1[[#This Row],[State]]="Other Foreign Countries", Table1[[#This Row],[State]]="Unknown", Table1[[#This Row],[State]]="Puerto Rico all counties"))</f>
        <v>1</v>
      </c>
    </row>
    <row r="1608" spans="1:16" x14ac:dyDescent="0.25">
      <c r="A1608">
        <v>5075</v>
      </c>
      <c r="B1608" t="s">
        <v>242</v>
      </c>
      <c r="C1608" t="s">
        <v>94</v>
      </c>
      <c r="D1608">
        <v>278</v>
      </c>
      <c r="E1608">
        <v>48</v>
      </c>
      <c r="F1608">
        <v>36</v>
      </c>
      <c r="G1608">
        <v>42</v>
      </c>
      <c r="H1608">
        <v>82</v>
      </c>
      <c r="I1608">
        <v>70</v>
      </c>
      <c r="J1608">
        <v>67</v>
      </c>
      <c r="K1608">
        <v>83</v>
      </c>
      <c r="L1608">
        <v>128</v>
      </c>
      <c r="M1608">
        <v>256</v>
      </c>
      <c r="N1608">
        <v>22</v>
      </c>
      <c r="O1608" t="s">
        <v>308</v>
      </c>
      <c r="P1608" s="1" t="b">
        <f>NOT(OR(Table1[[#This Row],[State]]="Other Foreign Countries", Table1[[#This Row],[State]]="Unknown", Table1[[#This Row],[State]]="Puerto Rico all counties"))</f>
        <v>1</v>
      </c>
    </row>
    <row r="1609" spans="1:16" x14ac:dyDescent="0.25">
      <c r="A1609">
        <v>17101</v>
      </c>
      <c r="B1609" t="s">
        <v>1109</v>
      </c>
      <c r="C1609" t="s">
        <v>94</v>
      </c>
      <c r="D1609">
        <v>216</v>
      </c>
      <c r="E1609">
        <v>51</v>
      </c>
      <c r="F1609">
        <v>27</v>
      </c>
      <c r="G1609">
        <v>29</v>
      </c>
      <c r="H1609">
        <v>54</v>
      </c>
      <c r="I1609">
        <v>55</v>
      </c>
      <c r="J1609">
        <v>34</v>
      </c>
      <c r="K1609">
        <v>74</v>
      </c>
      <c r="L1609">
        <v>108</v>
      </c>
      <c r="M1609">
        <v>202</v>
      </c>
      <c r="N1609">
        <v>14</v>
      </c>
      <c r="O1609" t="s">
        <v>1187</v>
      </c>
      <c r="P1609" s="1" t="b">
        <f>NOT(OR(Table1[[#This Row],[State]]="Other Foreign Countries", Table1[[#This Row],[State]]="Unknown", Table1[[#This Row],[State]]="Puerto Rico all counties"))</f>
        <v>1</v>
      </c>
    </row>
    <row r="1610" spans="1:16" x14ac:dyDescent="0.25">
      <c r="A1610">
        <v>18093</v>
      </c>
      <c r="B1610" t="s">
        <v>1266</v>
      </c>
      <c r="C1610" t="s">
        <v>94</v>
      </c>
      <c r="D1610">
        <v>1228</v>
      </c>
      <c r="E1610">
        <v>359</v>
      </c>
      <c r="F1610">
        <v>153</v>
      </c>
      <c r="G1610">
        <v>154</v>
      </c>
      <c r="H1610">
        <v>341</v>
      </c>
      <c r="I1610">
        <v>221</v>
      </c>
      <c r="J1610">
        <v>313</v>
      </c>
      <c r="K1610">
        <v>443</v>
      </c>
      <c r="L1610">
        <v>472</v>
      </c>
      <c r="M1610" s="1">
        <v>1132</v>
      </c>
      <c r="N1610">
        <v>95</v>
      </c>
      <c r="O1610" t="s">
        <v>1330</v>
      </c>
      <c r="P1610" s="1" t="b">
        <f>NOT(OR(Table1[[#This Row],[State]]="Other Foreign Countries", Table1[[#This Row],[State]]="Unknown", Table1[[#This Row],[State]]="Puerto Rico all counties"))</f>
        <v>1</v>
      </c>
    </row>
    <row r="1611" spans="1:16" x14ac:dyDescent="0.25">
      <c r="A1611">
        <v>21127</v>
      </c>
      <c r="B1611" t="s">
        <v>1716</v>
      </c>
      <c r="C1611" t="s">
        <v>94</v>
      </c>
      <c r="D1611">
        <v>269</v>
      </c>
      <c r="E1611">
        <v>43</v>
      </c>
      <c r="F1611">
        <v>25</v>
      </c>
      <c r="G1611">
        <v>38</v>
      </c>
      <c r="H1611">
        <v>79</v>
      </c>
      <c r="I1611">
        <v>84</v>
      </c>
      <c r="J1611">
        <v>52</v>
      </c>
      <c r="K1611">
        <v>82</v>
      </c>
      <c r="L1611">
        <v>135</v>
      </c>
      <c r="M1611">
        <v>255</v>
      </c>
      <c r="N1611">
        <v>14</v>
      </c>
      <c r="O1611" t="s">
        <v>1813</v>
      </c>
      <c r="P1611" s="1" t="b">
        <f>NOT(OR(Table1[[#This Row],[State]]="Other Foreign Countries", Table1[[#This Row],[State]]="Unknown", Table1[[#This Row],[State]]="Puerto Rico all counties"))</f>
        <v>1</v>
      </c>
    </row>
    <row r="1612" spans="1:16" x14ac:dyDescent="0.25">
      <c r="A1612">
        <v>28077</v>
      </c>
      <c r="B1612" t="s">
        <v>322</v>
      </c>
      <c r="C1612" t="s">
        <v>94</v>
      </c>
      <c r="D1612">
        <v>233</v>
      </c>
      <c r="E1612">
        <v>36</v>
      </c>
      <c r="F1612">
        <v>22</v>
      </c>
      <c r="G1612">
        <v>38</v>
      </c>
      <c r="H1612">
        <v>72</v>
      </c>
      <c r="I1612">
        <v>65</v>
      </c>
      <c r="J1612">
        <v>55</v>
      </c>
      <c r="K1612">
        <v>72</v>
      </c>
      <c r="L1612">
        <v>106</v>
      </c>
      <c r="M1612">
        <v>204</v>
      </c>
      <c r="N1612">
        <v>29</v>
      </c>
      <c r="O1612" t="s">
        <v>2446</v>
      </c>
      <c r="P1612" s="1" t="b">
        <f>NOT(OR(Table1[[#This Row],[State]]="Other Foreign Countries", Table1[[#This Row],[State]]="Unknown", Table1[[#This Row],[State]]="Puerto Rico all counties"))</f>
        <v>1</v>
      </c>
    </row>
    <row r="1613" spans="1:16" x14ac:dyDescent="0.25">
      <c r="A1613">
        <v>29109</v>
      </c>
      <c r="B1613" t="s">
        <v>2510</v>
      </c>
      <c r="C1613" t="s">
        <v>94</v>
      </c>
      <c r="D1613">
        <v>832</v>
      </c>
      <c r="E1613">
        <v>197</v>
      </c>
      <c r="F1613">
        <v>102</v>
      </c>
      <c r="G1613">
        <v>100</v>
      </c>
      <c r="H1613">
        <v>258</v>
      </c>
      <c r="I1613">
        <v>175</v>
      </c>
      <c r="J1613">
        <v>208</v>
      </c>
      <c r="K1613">
        <v>258</v>
      </c>
      <c r="L1613">
        <v>366</v>
      </c>
      <c r="M1613">
        <v>741</v>
      </c>
      <c r="N1613">
        <v>91</v>
      </c>
      <c r="O1613" t="s">
        <v>2582</v>
      </c>
      <c r="P1613" s="1" t="b">
        <f>NOT(OR(Table1[[#This Row],[State]]="Other Foreign Countries", Table1[[#This Row],[State]]="Unknown", Table1[[#This Row],[State]]="Puerto Rico all counties"))</f>
        <v>1</v>
      </c>
    </row>
    <row r="1614" spans="1:16" x14ac:dyDescent="0.25">
      <c r="A1614">
        <v>39087</v>
      </c>
      <c r="B1614" t="s">
        <v>1343</v>
      </c>
      <c r="C1614" t="s">
        <v>94</v>
      </c>
      <c r="D1614">
        <v>1414</v>
      </c>
      <c r="E1614">
        <v>284</v>
      </c>
      <c r="F1614">
        <v>148</v>
      </c>
      <c r="G1614">
        <v>139</v>
      </c>
      <c r="H1614">
        <v>438</v>
      </c>
      <c r="I1614">
        <v>405</v>
      </c>
      <c r="J1614">
        <v>269</v>
      </c>
      <c r="K1614">
        <v>505</v>
      </c>
      <c r="L1614">
        <v>640</v>
      </c>
      <c r="M1614" s="1">
        <v>1323</v>
      </c>
      <c r="N1614">
        <v>91</v>
      </c>
      <c r="O1614" t="s">
        <v>3431</v>
      </c>
      <c r="P1614" s="1" t="b">
        <f>NOT(OR(Table1[[#This Row],[State]]="Other Foreign Countries", Table1[[#This Row],[State]]="Unknown", Table1[[#This Row],[State]]="Puerto Rico all counties"))</f>
        <v>1</v>
      </c>
    </row>
    <row r="1615" spans="1:16" x14ac:dyDescent="0.25">
      <c r="A1615">
        <v>42073</v>
      </c>
      <c r="B1615" t="s">
        <v>3665</v>
      </c>
      <c r="C1615" t="s">
        <v>94</v>
      </c>
      <c r="D1615">
        <v>1435</v>
      </c>
      <c r="E1615">
        <v>359</v>
      </c>
      <c r="F1615">
        <v>188</v>
      </c>
      <c r="G1615">
        <v>175</v>
      </c>
      <c r="H1615">
        <v>376</v>
      </c>
      <c r="I1615">
        <v>337</v>
      </c>
      <c r="J1615">
        <v>345</v>
      </c>
      <c r="K1615">
        <v>450</v>
      </c>
      <c r="L1615">
        <v>640</v>
      </c>
      <c r="M1615" s="1">
        <v>1319</v>
      </c>
      <c r="N1615">
        <v>114</v>
      </c>
      <c r="O1615" t="s">
        <v>3718</v>
      </c>
      <c r="P1615" s="1" t="b">
        <f>NOT(OR(Table1[[#This Row],[State]]="Other Foreign Countries", Table1[[#This Row],[State]]="Unknown", Table1[[#This Row],[State]]="Puerto Rico all counties"))</f>
        <v>1</v>
      </c>
    </row>
    <row r="1616" spans="1:16" x14ac:dyDescent="0.25">
      <c r="A1616">
        <v>46081</v>
      </c>
      <c r="B1616" t="s">
        <v>3846</v>
      </c>
      <c r="C1616" t="s">
        <v>94</v>
      </c>
      <c r="D1616">
        <v>859</v>
      </c>
      <c r="E1616">
        <v>189</v>
      </c>
      <c r="F1616">
        <v>97</v>
      </c>
      <c r="G1616">
        <v>135</v>
      </c>
      <c r="H1616">
        <v>246</v>
      </c>
      <c r="I1616">
        <v>192</v>
      </c>
      <c r="J1616">
        <v>152</v>
      </c>
      <c r="K1616">
        <v>307</v>
      </c>
      <c r="L1616">
        <v>400</v>
      </c>
      <c r="M1616">
        <v>760</v>
      </c>
      <c r="N1616">
        <v>99</v>
      </c>
      <c r="O1616" t="s">
        <v>3908</v>
      </c>
      <c r="P1616" s="1" t="b">
        <f>NOT(OR(Table1[[#This Row],[State]]="Other Foreign Countries", Table1[[#This Row],[State]]="Unknown", Table1[[#This Row],[State]]="Puerto Rico all counties"))</f>
        <v>1</v>
      </c>
    </row>
    <row r="1617" spans="1:16" x14ac:dyDescent="0.25">
      <c r="A1617">
        <v>47099</v>
      </c>
      <c r="B1617" t="s">
        <v>3951</v>
      </c>
      <c r="C1617" t="s">
        <v>94</v>
      </c>
      <c r="D1617">
        <v>820</v>
      </c>
      <c r="E1617">
        <v>167</v>
      </c>
      <c r="F1617">
        <v>80</v>
      </c>
      <c r="G1617">
        <v>94</v>
      </c>
      <c r="H1617">
        <v>258</v>
      </c>
      <c r="I1617">
        <v>221</v>
      </c>
      <c r="J1617">
        <v>214</v>
      </c>
      <c r="K1617">
        <v>248</v>
      </c>
      <c r="L1617">
        <v>358</v>
      </c>
      <c r="M1617">
        <v>752</v>
      </c>
      <c r="N1617">
        <v>68</v>
      </c>
      <c r="O1617" t="s">
        <v>4014</v>
      </c>
      <c r="P1617" s="1" t="b">
        <f>NOT(OR(Table1[[#This Row],[State]]="Other Foreign Countries", Table1[[#This Row],[State]]="Unknown", Table1[[#This Row],[State]]="Puerto Rico all counties"))</f>
        <v>1</v>
      </c>
    </row>
    <row r="1618" spans="1:16" x14ac:dyDescent="0.25">
      <c r="A1618">
        <v>40079</v>
      </c>
      <c r="B1618" t="s">
        <v>3495</v>
      </c>
      <c r="C1618" t="s">
        <v>3553</v>
      </c>
      <c r="D1618">
        <v>1509</v>
      </c>
      <c r="E1618">
        <v>238</v>
      </c>
      <c r="F1618">
        <v>137</v>
      </c>
      <c r="G1618">
        <v>176</v>
      </c>
      <c r="H1618">
        <v>515</v>
      </c>
      <c r="I1618">
        <v>443</v>
      </c>
      <c r="J1618">
        <v>264</v>
      </c>
      <c r="K1618">
        <v>470</v>
      </c>
      <c r="L1618">
        <v>775</v>
      </c>
      <c r="M1618" s="1">
        <v>1387</v>
      </c>
      <c r="N1618">
        <v>122</v>
      </c>
      <c r="O1618" t="s">
        <v>3554</v>
      </c>
      <c r="P1618" s="1" t="b">
        <f>NOT(OR(Table1[[#This Row],[State]]="Other Foreign Countries", Table1[[#This Row],[State]]="Unknown", Table1[[#This Row],[State]]="Puerto Rico all counties"))</f>
        <v>1</v>
      </c>
    </row>
    <row r="1619" spans="1:16" x14ac:dyDescent="0.25">
      <c r="A1619">
        <v>27079</v>
      </c>
      <c r="B1619" t="s">
        <v>2245</v>
      </c>
      <c r="C1619" t="s">
        <v>2311</v>
      </c>
      <c r="D1619">
        <v>703</v>
      </c>
      <c r="E1619">
        <v>295</v>
      </c>
      <c r="F1619">
        <v>108</v>
      </c>
      <c r="G1619">
        <v>68</v>
      </c>
      <c r="H1619">
        <v>130</v>
      </c>
      <c r="I1619">
        <v>102</v>
      </c>
      <c r="J1619">
        <v>131</v>
      </c>
      <c r="K1619">
        <v>167</v>
      </c>
      <c r="L1619">
        <v>405</v>
      </c>
      <c r="M1619">
        <v>643</v>
      </c>
      <c r="N1619">
        <v>60</v>
      </c>
      <c r="O1619" t="s">
        <v>2312</v>
      </c>
      <c r="P1619" s="1" t="b">
        <f>NOT(OR(Table1[[#This Row],[State]]="Other Foreign Countries", Table1[[#This Row],[State]]="Unknown", Table1[[#This Row],[State]]="Puerto Rico all counties"))</f>
        <v>1</v>
      </c>
    </row>
    <row r="1620" spans="1:16" x14ac:dyDescent="0.25">
      <c r="A1620">
        <v>35025</v>
      </c>
      <c r="B1620" t="s">
        <v>2971</v>
      </c>
      <c r="C1620" t="s">
        <v>2996</v>
      </c>
      <c r="D1620">
        <v>663</v>
      </c>
      <c r="E1620">
        <v>153</v>
      </c>
      <c r="F1620">
        <v>83</v>
      </c>
      <c r="G1620">
        <v>78</v>
      </c>
      <c r="H1620">
        <v>197</v>
      </c>
      <c r="I1620">
        <v>152</v>
      </c>
      <c r="J1620">
        <v>202</v>
      </c>
      <c r="K1620">
        <v>222</v>
      </c>
      <c r="L1620">
        <v>239</v>
      </c>
      <c r="M1620">
        <v>608</v>
      </c>
      <c r="N1620">
        <v>55</v>
      </c>
      <c r="O1620" t="s">
        <v>2997</v>
      </c>
      <c r="P1620" s="1" t="b">
        <f>NOT(OR(Table1[[#This Row],[State]]="Other Foreign Countries", Table1[[#This Row],[State]]="Unknown", Table1[[#This Row],[State]]="Puerto Rico all counties"))</f>
        <v>1</v>
      </c>
    </row>
    <row r="1621" spans="1:16" x14ac:dyDescent="0.25">
      <c r="A1621">
        <v>28079</v>
      </c>
      <c r="B1621" t="s">
        <v>322</v>
      </c>
      <c r="C1621" t="s">
        <v>2447</v>
      </c>
      <c r="D1621">
        <v>351</v>
      </c>
      <c r="E1621">
        <v>51</v>
      </c>
      <c r="F1621">
        <v>25</v>
      </c>
      <c r="G1621">
        <v>45</v>
      </c>
      <c r="H1621">
        <v>112</v>
      </c>
      <c r="I1621">
        <v>118</v>
      </c>
      <c r="J1621">
        <v>63</v>
      </c>
      <c r="K1621">
        <v>128</v>
      </c>
      <c r="L1621">
        <v>160</v>
      </c>
      <c r="M1621">
        <v>310</v>
      </c>
      <c r="N1621">
        <v>41</v>
      </c>
      <c r="O1621" t="s">
        <v>2448</v>
      </c>
      <c r="P1621" s="1" t="b">
        <f>NOT(OR(Table1[[#This Row],[State]]="Other Foreign Countries", Table1[[#This Row],[State]]="Unknown", Table1[[#This Row],[State]]="Puerto Rico all counties"))</f>
        <v>1</v>
      </c>
    </row>
    <row r="1622" spans="1:16" x14ac:dyDescent="0.25">
      <c r="A1622">
        <v>20103</v>
      </c>
      <c r="B1622" t="s">
        <v>1543</v>
      </c>
      <c r="C1622" t="s">
        <v>1625</v>
      </c>
      <c r="D1622">
        <v>4767</v>
      </c>
      <c r="E1622">
        <v>775</v>
      </c>
      <c r="F1622">
        <v>522</v>
      </c>
      <c r="G1622">
        <v>579</v>
      </c>
      <c r="H1622" s="1">
        <v>1412</v>
      </c>
      <c r="I1622" s="1">
        <v>1479</v>
      </c>
      <c r="J1622" s="1">
        <v>1046</v>
      </c>
      <c r="K1622" s="1">
        <v>2106</v>
      </c>
      <c r="L1622" s="1">
        <v>1615</v>
      </c>
      <c r="M1622" s="1">
        <v>4074</v>
      </c>
      <c r="N1622">
        <v>692</v>
      </c>
      <c r="O1622" t="s">
        <v>1626</v>
      </c>
      <c r="P1622" s="1" t="b">
        <f>NOT(OR(Table1[[#This Row],[State]]="Other Foreign Countries", Table1[[#This Row],[State]]="Unknown", Table1[[#This Row],[State]]="Puerto Rico all counties"))</f>
        <v>1</v>
      </c>
    </row>
    <row r="1623" spans="1:16" x14ac:dyDescent="0.25">
      <c r="A1623">
        <v>42075</v>
      </c>
      <c r="B1623" t="s">
        <v>3665</v>
      </c>
      <c r="C1623" t="s">
        <v>3719</v>
      </c>
      <c r="D1623">
        <v>2870</v>
      </c>
      <c r="E1623">
        <v>584</v>
      </c>
      <c r="F1623">
        <v>340</v>
      </c>
      <c r="G1623">
        <v>319</v>
      </c>
      <c r="H1623">
        <v>828</v>
      </c>
      <c r="I1623">
        <v>799</v>
      </c>
      <c r="J1623">
        <v>670</v>
      </c>
      <c r="K1623" s="1">
        <v>1020</v>
      </c>
      <c r="L1623" s="1">
        <v>1180</v>
      </c>
      <c r="M1623" s="1">
        <v>2557</v>
      </c>
      <c r="N1623">
        <v>313</v>
      </c>
      <c r="O1623" t="s">
        <v>3720</v>
      </c>
      <c r="P1623" s="1" t="b">
        <f>NOT(OR(Table1[[#This Row],[State]]="Other Foreign Countries", Table1[[#This Row],[State]]="Unknown", Table1[[#This Row],[State]]="Puerto Rico all counties"))</f>
        <v>1</v>
      </c>
    </row>
    <row r="1624" spans="1:16" x14ac:dyDescent="0.25">
      <c r="A1624">
        <v>1081</v>
      </c>
      <c r="B1624" t="s">
        <v>15</v>
      </c>
      <c r="C1624" t="s">
        <v>96</v>
      </c>
      <c r="D1624">
        <v>5822</v>
      </c>
      <c r="E1624">
        <v>687</v>
      </c>
      <c r="F1624">
        <v>388</v>
      </c>
      <c r="G1624">
        <v>530</v>
      </c>
      <c r="H1624" s="1">
        <v>1638</v>
      </c>
      <c r="I1624" s="1">
        <v>2579</v>
      </c>
      <c r="J1624" s="1">
        <v>1672</v>
      </c>
      <c r="K1624" s="1">
        <v>2490</v>
      </c>
      <c r="L1624" s="1">
        <v>1660</v>
      </c>
      <c r="M1624" s="1">
        <v>4955</v>
      </c>
      <c r="N1624">
        <v>866</v>
      </c>
      <c r="O1624" t="s">
        <v>97</v>
      </c>
      <c r="P1624" s="1" t="b">
        <f>NOT(OR(Table1[[#This Row],[State]]="Other Foreign Countries", Table1[[#This Row],[State]]="Unknown", Table1[[#This Row],[State]]="Puerto Rico all counties"))</f>
        <v>1</v>
      </c>
    </row>
    <row r="1625" spans="1:16" x14ac:dyDescent="0.25">
      <c r="A1625">
        <v>5077</v>
      </c>
      <c r="B1625" t="s">
        <v>242</v>
      </c>
      <c r="C1625" t="s">
        <v>96</v>
      </c>
      <c r="D1625">
        <v>92</v>
      </c>
      <c r="E1625">
        <v>15</v>
      </c>
      <c r="F1625">
        <v>11</v>
      </c>
      <c r="G1625">
        <v>11</v>
      </c>
      <c r="H1625">
        <v>30</v>
      </c>
      <c r="I1625">
        <v>25</v>
      </c>
      <c r="J1625">
        <v>13</v>
      </c>
      <c r="K1625">
        <v>29</v>
      </c>
      <c r="L1625">
        <v>50</v>
      </c>
      <c r="O1625" t="s">
        <v>309</v>
      </c>
      <c r="P1625" s="1" t="b">
        <f>NOT(OR(Table1[[#This Row],[State]]="Other Foreign Countries", Table1[[#This Row],[State]]="Unknown", Table1[[#This Row],[State]]="Puerto Rico all counties"))</f>
        <v>1</v>
      </c>
    </row>
    <row r="1626" spans="1:16" x14ac:dyDescent="0.25">
      <c r="A1626">
        <v>12071</v>
      </c>
      <c r="B1626" t="s">
        <v>637</v>
      </c>
      <c r="C1626" t="s">
        <v>96</v>
      </c>
      <c r="D1626">
        <v>14600</v>
      </c>
      <c r="E1626" s="1">
        <v>3397</v>
      </c>
      <c r="F1626" s="1">
        <v>1615</v>
      </c>
      <c r="G1626" s="1">
        <v>1702</v>
      </c>
      <c r="H1626" s="1">
        <v>4155</v>
      </c>
      <c r="I1626" s="1">
        <v>3731</v>
      </c>
      <c r="J1626" s="1">
        <v>3292</v>
      </c>
      <c r="K1626" s="1">
        <v>4028</v>
      </c>
      <c r="L1626" s="1">
        <v>7280</v>
      </c>
      <c r="M1626" s="1">
        <v>13222</v>
      </c>
      <c r="N1626" s="1">
        <v>1377</v>
      </c>
      <c r="O1626" t="s">
        <v>697</v>
      </c>
      <c r="P1626" s="1" t="b">
        <f>NOT(OR(Table1[[#This Row],[State]]="Other Foreign Countries", Table1[[#This Row],[State]]="Unknown", Table1[[#This Row],[State]]="Puerto Rico all counties"))</f>
        <v>1</v>
      </c>
    </row>
    <row r="1627" spans="1:16" x14ac:dyDescent="0.25">
      <c r="A1627">
        <v>13177</v>
      </c>
      <c r="B1627" t="s">
        <v>754</v>
      </c>
      <c r="C1627" t="s">
        <v>96</v>
      </c>
      <c r="D1627">
        <v>1342</v>
      </c>
      <c r="E1627">
        <v>154</v>
      </c>
      <c r="F1627">
        <v>86</v>
      </c>
      <c r="G1627">
        <v>125</v>
      </c>
      <c r="H1627">
        <v>401</v>
      </c>
      <c r="I1627">
        <v>576</v>
      </c>
      <c r="J1627">
        <v>385</v>
      </c>
      <c r="K1627">
        <v>628</v>
      </c>
      <c r="L1627">
        <v>329</v>
      </c>
      <c r="M1627" s="1">
        <v>1137</v>
      </c>
      <c r="N1627">
        <v>205</v>
      </c>
      <c r="O1627" t="s">
        <v>905</v>
      </c>
      <c r="P1627" s="1" t="b">
        <f>NOT(OR(Table1[[#This Row],[State]]="Other Foreign Countries", Table1[[#This Row],[State]]="Unknown", Table1[[#This Row],[State]]="Puerto Rico all counties"))</f>
        <v>1</v>
      </c>
    </row>
    <row r="1628" spans="1:16" x14ac:dyDescent="0.25">
      <c r="A1628">
        <v>17103</v>
      </c>
      <c r="B1628" t="s">
        <v>1109</v>
      </c>
      <c r="C1628" t="s">
        <v>96</v>
      </c>
      <c r="D1628">
        <v>456</v>
      </c>
      <c r="E1628">
        <v>93</v>
      </c>
      <c r="F1628">
        <v>52</v>
      </c>
      <c r="G1628">
        <v>55</v>
      </c>
      <c r="H1628">
        <v>140</v>
      </c>
      <c r="I1628">
        <v>116</v>
      </c>
      <c r="J1628">
        <v>127</v>
      </c>
      <c r="K1628">
        <v>146</v>
      </c>
      <c r="L1628">
        <v>183</v>
      </c>
      <c r="M1628">
        <v>419</v>
      </c>
      <c r="N1628">
        <v>37</v>
      </c>
      <c r="O1628" t="s">
        <v>1188</v>
      </c>
      <c r="P1628" s="1" t="b">
        <f>NOT(OR(Table1[[#This Row],[State]]="Other Foreign Countries", Table1[[#This Row],[State]]="Unknown", Table1[[#This Row],[State]]="Puerto Rico all counties"))</f>
        <v>1</v>
      </c>
    </row>
    <row r="1629" spans="1:16" x14ac:dyDescent="0.25">
      <c r="A1629">
        <v>19111</v>
      </c>
      <c r="B1629" t="s">
        <v>1399</v>
      </c>
      <c r="C1629" t="s">
        <v>96</v>
      </c>
      <c r="D1629">
        <v>562</v>
      </c>
      <c r="E1629">
        <v>120</v>
      </c>
      <c r="F1629">
        <v>80</v>
      </c>
      <c r="G1629">
        <v>73</v>
      </c>
      <c r="H1629">
        <v>163</v>
      </c>
      <c r="I1629">
        <v>126</v>
      </c>
      <c r="J1629">
        <v>150</v>
      </c>
      <c r="K1629">
        <v>176</v>
      </c>
      <c r="L1629">
        <v>236</v>
      </c>
      <c r="M1629">
        <v>526</v>
      </c>
      <c r="N1629">
        <v>36</v>
      </c>
      <c r="O1629" t="s">
        <v>1475</v>
      </c>
      <c r="P1629" s="1" t="b">
        <f>NOT(OR(Table1[[#This Row],[State]]="Other Foreign Countries", Table1[[#This Row],[State]]="Unknown", Table1[[#This Row],[State]]="Puerto Rico all counties"))</f>
        <v>1</v>
      </c>
    </row>
    <row r="1630" spans="1:16" x14ac:dyDescent="0.25">
      <c r="A1630">
        <v>21129</v>
      </c>
      <c r="B1630" t="s">
        <v>1716</v>
      </c>
      <c r="C1630" t="s">
        <v>96</v>
      </c>
      <c r="D1630">
        <v>129</v>
      </c>
      <c r="E1630">
        <v>23</v>
      </c>
      <c r="F1630">
        <v>12</v>
      </c>
      <c r="G1630">
        <v>14</v>
      </c>
      <c r="H1630">
        <v>48</v>
      </c>
      <c r="I1630">
        <v>32</v>
      </c>
      <c r="J1630">
        <v>21</v>
      </c>
      <c r="K1630">
        <v>39</v>
      </c>
      <c r="L1630">
        <v>69</v>
      </c>
      <c r="M1630">
        <v>118</v>
      </c>
      <c r="N1630">
        <v>11</v>
      </c>
      <c r="O1630" t="s">
        <v>1814</v>
      </c>
      <c r="P1630" s="1" t="b">
        <f>NOT(OR(Table1[[#This Row],[State]]="Other Foreign Countries", Table1[[#This Row],[State]]="Unknown", Table1[[#This Row],[State]]="Puerto Rico all counties"))</f>
        <v>1</v>
      </c>
    </row>
    <row r="1631" spans="1:16" x14ac:dyDescent="0.25">
      <c r="A1631">
        <v>28081</v>
      </c>
      <c r="B1631" t="s">
        <v>322</v>
      </c>
      <c r="C1631" t="s">
        <v>96</v>
      </c>
      <c r="D1631">
        <v>1368</v>
      </c>
      <c r="E1631">
        <v>248</v>
      </c>
      <c r="F1631">
        <v>119</v>
      </c>
      <c r="G1631">
        <v>155</v>
      </c>
      <c r="H1631">
        <v>414</v>
      </c>
      <c r="I1631">
        <v>432</v>
      </c>
      <c r="J1631">
        <v>388</v>
      </c>
      <c r="K1631">
        <v>452</v>
      </c>
      <c r="L1631">
        <v>528</v>
      </c>
      <c r="M1631" s="1">
        <v>1226</v>
      </c>
      <c r="N1631">
        <v>142</v>
      </c>
      <c r="O1631" t="s">
        <v>2449</v>
      </c>
      <c r="P1631" s="1" t="b">
        <f>NOT(OR(Table1[[#This Row],[State]]="Other Foreign Countries", Table1[[#This Row],[State]]="Unknown", Table1[[#This Row],[State]]="Puerto Rico all counties"))</f>
        <v>1</v>
      </c>
    </row>
    <row r="1632" spans="1:16" x14ac:dyDescent="0.25">
      <c r="A1632">
        <v>37105</v>
      </c>
      <c r="B1632" t="s">
        <v>3121</v>
      </c>
      <c r="C1632" t="s">
        <v>96</v>
      </c>
      <c r="D1632">
        <v>2228</v>
      </c>
      <c r="E1632">
        <v>276</v>
      </c>
      <c r="F1632">
        <v>185</v>
      </c>
      <c r="G1632">
        <v>226</v>
      </c>
      <c r="H1632">
        <v>704</v>
      </c>
      <c r="I1632">
        <v>837</v>
      </c>
      <c r="J1632">
        <v>690</v>
      </c>
      <c r="K1632">
        <v>855</v>
      </c>
      <c r="L1632">
        <v>683</v>
      </c>
      <c r="M1632" s="1">
        <v>1898</v>
      </c>
      <c r="N1632">
        <v>330</v>
      </c>
      <c r="O1632" t="s">
        <v>3210</v>
      </c>
      <c r="P1632" s="1" t="b">
        <f>NOT(OR(Table1[[#This Row],[State]]="Other Foreign Countries", Table1[[#This Row],[State]]="Unknown", Table1[[#This Row],[State]]="Puerto Rico all counties"))</f>
        <v>1</v>
      </c>
    </row>
    <row r="1633" spans="1:16" x14ac:dyDescent="0.25">
      <c r="A1633">
        <v>45061</v>
      </c>
      <c r="B1633" t="s">
        <v>3772</v>
      </c>
      <c r="C1633" t="s">
        <v>96</v>
      </c>
      <c r="D1633">
        <v>422</v>
      </c>
      <c r="E1633">
        <v>59</v>
      </c>
      <c r="F1633">
        <v>39</v>
      </c>
      <c r="G1633">
        <v>53</v>
      </c>
      <c r="H1633">
        <v>136</v>
      </c>
      <c r="I1633">
        <v>135</v>
      </c>
      <c r="J1633">
        <v>73</v>
      </c>
      <c r="K1633">
        <v>158</v>
      </c>
      <c r="L1633">
        <v>191</v>
      </c>
      <c r="M1633">
        <v>360</v>
      </c>
      <c r="N1633">
        <v>62</v>
      </c>
      <c r="O1633" t="s">
        <v>3822</v>
      </c>
      <c r="P1633" s="1" t="b">
        <f>NOT(OR(Table1[[#This Row],[State]]="Other Foreign Countries", Table1[[#This Row],[State]]="Unknown", Table1[[#This Row],[State]]="Puerto Rico all counties"))</f>
        <v>1</v>
      </c>
    </row>
    <row r="1634" spans="1:16" x14ac:dyDescent="0.25">
      <c r="A1634">
        <v>48287</v>
      </c>
      <c r="B1634" t="s">
        <v>2654</v>
      </c>
      <c r="C1634" t="s">
        <v>96</v>
      </c>
      <c r="D1634">
        <v>339</v>
      </c>
      <c r="E1634">
        <v>64</v>
      </c>
      <c r="F1634">
        <v>41</v>
      </c>
      <c r="G1634">
        <v>45</v>
      </c>
      <c r="H1634">
        <v>97</v>
      </c>
      <c r="I1634">
        <v>92</v>
      </c>
      <c r="J1634">
        <v>95</v>
      </c>
      <c r="K1634">
        <v>91</v>
      </c>
      <c r="L1634">
        <v>153</v>
      </c>
      <c r="M1634">
        <v>314</v>
      </c>
      <c r="N1634">
        <v>25</v>
      </c>
      <c r="O1634" t="s">
        <v>4305</v>
      </c>
      <c r="P1634" s="1" t="b">
        <f>NOT(OR(Table1[[#This Row],[State]]="Other Foreign Countries", Table1[[#This Row],[State]]="Unknown", Table1[[#This Row],[State]]="Puerto Rico all counties"))</f>
        <v>1</v>
      </c>
    </row>
    <row r="1635" spans="1:16" x14ac:dyDescent="0.25">
      <c r="A1635">
        <v>51105</v>
      </c>
      <c r="B1635" t="s">
        <v>4555</v>
      </c>
      <c r="C1635" t="s">
        <v>96</v>
      </c>
      <c r="D1635">
        <v>493</v>
      </c>
      <c r="E1635">
        <v>84</v>
      </c>
      <c r="F1635">
        <v>44</v>
      </c>
      <c r="G1635">
        <v>61</v>
      </c>
      <c r="H1635">
        <v>163</v>
      </c>
      <c r="I1635">
        <v>141</v>
      </c>
      <c r="J1635">
        <v>86</v>
      </c>
      <c r="K1635">
        <v>170</v>
      </c>
      <c r="L1635">
        <v>237</v>
      </c>
      <c r="M1635">
        <v>456</v>
      </c>
      <c r="N1635">
        <v>37</v>
      </c>
      <c r="O1635" t="s">
        <v>4633</v>
      </c>
      <c r="P1635" s="1" t="b">
        <f>NOT(OR(Table1[[#This Row],[State]]="Other Foreign Countries", Table1[[#This Row],[State]]="Unknown", Table1[[#This Row],[State]]="Puerto Rico all counties"))</f>
        <v>1</v>
      </c>
    </row>
    <row r="1636" spans="1:16" x14ac:dyDescent="0.25">
      <c r="A1636">
        <v>26089</v>
      </c>
      <c r="B1636" t="s">
        <v>2099</v>
      </c>
      <c r="C1636" t="s">
        <v>2176</v>
      </c>
      <c r="D1636">
        <v>368</v>
      </c>
      <c r="E1636">
        <v>125</v>
      </c>
      <c r="F1636">
        <v>47</v>
      </c>
      <c r="G1636">
        <v>50</v>
      </c>
      <c r="H1636">
        <v>78</v>
      </c>
      <c r="I1636">
        <v>68</v>
      </c>
      <c r="J1636">
        <v>51</v>
      </c>
      <c r="K1636">
        <v>90</v>
      </c>
      <c r="L1636">
        <v>227</v>
      </c>
      <c r="M1636">
        <v>335</v>
      </c>
      <c r="N1636">
        <v>33</v>
      </c>
      <c r="O1636" t="s">
        <v>2177</v>
      </c>
      <c r="P1636" s="1" t="b">
        <f>NOT(OR(Table1[[#This Row],[State]]="Other Foreign Countries", Table1[[#This Row],[State]]="Unknown", Table1[[#This Row],[State]]="Puerto Rico all counties"))</f>
        <v>1</v>
      </c>
    </row>
    <row r="1637" spans="1:16" x14ac:dyDescent="0.25">
      <c r="A1637">
        <v>28083</v>
      </c>
      <c r="B1637" t="s">
        <v>322</v>
      </c>
      <c r="C1637" t="s">
        <v>2450</v>
      </c>
      <c r="D1637">
        <v>345</v>
      </c>
      <c r="E1637">
        <v>56</v>
      </c>
      <c r="F1637">
        <v>32</v>
      </c>
      <c r="G1637">
        <v>46</v>
      </c>
      <c r="H1637">
        <v>121</v>
      </c>
      <c r="I1637">
        <v>90</v>
      </c>
      <c r="J1637">
        <v>63</v>
      </c>
      <c r="K1637">
        <v>132</v>
      </c>
      <c r="L1637">
        <v>150</v>
      </c>
      <c r="M1637">
        <v>313</v>
      </c>
      <c r="N1637">
        <v>32</v>
      </c>
      <c r="O1637" t="s">
        <v>2451</v>
      </c>
      <c r="P1637" s="1" t="b">
        <f>NOT(OR(Table1[[#This Row],[State]]="Other Foreign Countries", Table1[[#This Row],[State]]="Unknown", Table1[[#This Row],[State]]="Puerto Rico all counties"))</f>
        <v>1</v>
      </c>
    </row>
    <row r="1638" spans="1:16" x14ac:dyDescent="0.25">
      <c r="A1638">
        <v>42077</v>
      </c>
      <c r="B1638" t="s">
        <v>3665</v>
      </c>
      <c r="C1638" t="s">
        <v>3721</v>
      </c>
      <c r="D1638">
        <v>3387</v>
      </c>
      <c r="E1638">
        <v>712</v>
      </c>
      <c r="F1638">
        <v>395</v>
      </c>
      <c r="G1638">
        <v>430</v>
      </c>
      <c r="H1638">
        <v>974</v>
      </c>
      <c r="I1638">
        <v>876</v>
      </c>
      <c r="J1638" s="1">
        <v>1021</v>
      </c>
      <c r="K1638">
        <v>927</v>
      </c>
      <c r="L1638" s="1">
        <v>1439</v>
      </c>
      <c r="M1638" s="1">
        <v>3057</v>
      </c>
      <c r="N1638">
        <v>330</v>
      </c>
      <c r="O1638" t="s">
        <v>3722</v>
      </c>
      <c r="P1638" s="1" t="b">
        <f>NOT(OR(Table1[[#This Row],[State]]="Other Foreign Countries", Table1[[#This Row],[State]]="Unknown", Table1[[#This Row],[State]]="Puerto Rico all counties"))</f>
        <v>1</v>
      </c>
    </row>
    <row r="1639" spans="1:16" x14ac:dyDescent="0.25">
      <c r="A1639">
        <v>16059</v>
      </c>
      <c r="B1639" t="s">
        <v>1032</v>
      </c>
      <c r="C1639" t="s">
        <v>1082</v>
      </c>
      <c r="D1639">
        <v>267</v>
      </c>
      <c r="E1639">
        <v>47</v>
      </c>
      <c r="F1639">
        <v>40</v>
      </c>
      <c r="G1639">
        <v>36</v>
      </c>
      <c r="H1639">
        <v>76</v>
      </c>
      <c r="I1639">
        <v>68</v>
      </c>
      <c r="J1639">
        <v>34</v>
      </c>
      <c r="K1639">
        <v>87</v>
      </c>
      <c r="L1639">
        <v>146</v>
      </c>
      <c r="M1639">
        <v>246</v>
      </c>
      <c r="N1639">
        <v>21</v>
      </c>
      <c r="O1639" t="s">
        <v>1083</v>
      </c>
      <c r="P1639" s="1" t="b">
        <f>NOT(OR(Table1[[#This Row],[State]]="Other Foreign Countries", Table1[[#This Row],[State]]="Unknown", Table1[[#This Row],[State]]="Puerto Rico all counties"))</f>
        <v>1</v>
      </c>
    </row>
    <row r="1640" spans="1:16" x14ac:dyDescent="0.25">
      <c r="A1640">
        <v>26091</v>
      </c>
      <c r="B1640" t="s">
        <v>2099</v>
      </c>
      <c r="C1640" t="s">
        <v>2178</v>
      </c>
      <c r="D1640">
        <v>1768</v>
      </c>
      <c r="E1640">
        <v>415</v>
      </c>
      <c r="F1640">
        <v>237</v>
      </c>
      <c r="G1640">
        <v>229</v>
      </c>
      <c r="H1640">
        <v>509</v>
      </c>
      <c r="I1640">
        <v>378</v>
      </c>
      <c r="J1640">
        <v>450</v>
      </c>
      <c r="K1640">
        <v>511</v>
      </c>
      <c r="L1640">
        <v>807</v>
      </c>
      <c r="M1640" s="1">
        <v>1614</v>
      </c>
      <c r="N1640">
        <v>153</v>
      </c>
      <c r="O1640" t="s">
        <v>2179</v>
      </c>
      <c r="P1640" s="1" t="b">
        <f>NOT(OR(Table1[[#This Row],[State]]="Other Foreign Countries", Table1[[#This Row],[State]]="Unknown", Table1[[#This Row],[State]]="Puerto Rico all counties"))</f>
        <v>1</v>
      </c>
    </row>
    <row r="1641" spans="1:16" x14ac:dyDescent="0.25">
      <c r="A1641">
        <v>37107</v>
      </c>
      <c r="B1641" t="s">
        <v>3121</v>
      </c>
      <c r="C1641" t="s">
        <v>3211</v>
      </c>
      <c r="D1641">
        <v>1716</v>
      </c>
      <c r="E1641">
        <v>256</v>
      </c>
      <c r="F1641">
        <v>150</v>
      </c>
      <c r="G1641">
        <v>208</v>
      </c>
      <c r="H1641">
        <v>538</v>
      </c>
      <c r="I1641">
        <v>564</v>
      </c>
      <c r="J1641">
        <v>375</v>
      </c>
      <c r="K1641">
        <v>541</v>
      </c>
      <c r="L1641">
        <v>800</v>
      </c>
      <c r="M1641" s="1">
        <v>1508</v>
      </c>
      <c r="N1641">
        <v>208</v>
      </c>
      <c r="O1641" t="s">
        <v>3212</v>
      </c>
      <c r="P1641" s="1" t="b">
        <f>NOT(OR(Table1[[#This Row],[State]]="Other Foreign Countries", Table1[[#This Row],[State]]="Unknown", Table1[[#This Row],[State]]="Puerto Rico all counties"))</f>
        <v>1</v>
      </c>
    </row>
    <row r="1642" spans="1:16" x14ac:dyDescent="0.25">
      <c r="A1642">
        <v>12073</v>
      </c>
      <c r="B1642" t="s">
        <v>637</v>
      </c>
      <c r="C1642" t="s">
        <v>698</v>
      </c>
      <c r="D1642">
        <v>5212</v>
      </c>
      <c r="E1642" s="1">
        <v>1048</v>
      </c>
      <c r="F1642">
        <v>569</v>
      </c>
      <c r="G1642">
        <v>601</v>
      </c>
      <c r="H1642" s="1">
        <v>1524</v>
      </c>
      <c r="I1642" s="1">
        <v>1470</v>
      </c>
      <c r="J1642" s="1">
        <v>1467</v>
      </c>
      <c r="K1642" s="1">
        <v>1778</v>
      </c>
      <c r="L1642" s="1">
        <v>1967</v>
      </c>
      <c r="M1642" s="1">
        <v>4378</v>
      </c>
      <c r="N1642">
        <v>833</v>
      </c>
      <c r="O1642" t="s">
        <v>699</v>
      </c>
      <c r="P1642" s="1" t="b">
        <f>NOT(OR(Table1[[#This Row],[State]]="Other Foreign Countries", Table1[[#This Row],[State]]="Unknown", Table1[[#This Row],[State]]="Puerto Rico all counties"))</f>
        <v>1</v>
      </c>
    </row>
    <row r="1643" spans="1:16" x14ac:dyDescent="0.25">
      <c r="A1643">
        <v>48289</v>
      </c>
      <c r="B1643" t="s">
        <v>2654</v>
      </c>
      <c r="C1643" t="s">
        <v>698</v>
      </c>
      <c r="D1643">
        <v>479</v>
      </c>
      <c r="E1643">
        <v>87</v>
      </c>
      <c r="F1643">
        <v>35</v>
      </c>
      <c r="G1643">
        <v>60</v>
      </c>
      <c r="H1643">
        <v>164</v>
      </c>
      <c r="I1643">
        <v>133</v>
      </c>
      <c r="J1643">
        <v>104</v>
      </c>
      <c r="K1643">
        <v>132</v>
      </c>
      <c r="L1643">
        <v>243</v>
      </c>
      <c r="M1643">
        <v>439</v>
      </c>
      <c r="N1643">
        <v>40</v>
      </c>
      <c r="O1643" t="s">
        <v>4306</v>
      </c>
      <c r="P1643" s="1" t="b">
        <f>NOT(OR(Table1[[#This Row],[State]]="Other Foreign Countries", Table1[[#This Row],[State]]="Unknown", Table1[[#This Row],[State]]="Puerto Rico all counties"))</f>
        <v>1</v>
      </c>
    </row>
    <row r="1644" spans="1:16" x14ac:dyDescent="0.25">
      <c r="A1644">
        <v>21131</v>
      </c>
      <c r="B1644" t="s">
        <v>1716</v>
      </c>
      <c r="C1644" t="s">
        <v>1815</v>
      </c>
      <c r="D1644">
        <v>108</v>
      </c>
      <c r="E1644">
        <v>24</v>
      </c>
      <c r="F1644">
        <v>12</v>
      </c>
      <c r="G1644">
        <v>12</v>
      </c>
      <c r="H1644">
        <v>32</v>
      </c>
      <c r="I1644">
        <v>28</v>
      </c>
      <c r="J1644">
        <v>15</v>
      </c>
      <c r="K1644">
        <v>34</v>
      </c>
      <c r="L1644">
        <v>59</v>
      </c>
      <c r="O1644" t="s">
        <v>1816</v>
      </c>
      <c r="P1644" s="1" t="b">
        <f>NOT(OR(Table1[[#This Row],[State]]="Other Foreign Countries", Table1[[#This Row],[State]]="Unknown", Table1[[#This Row],[State]]="Puerto Rico all counties"))</f>
        <v>1</v>
      </c>
    </row>
    <row r="1645" spans="1:16" x14ac:dyDescent="0.25">
      <c r="A1645">
        <v>21133</v>
      </c>
      <c r="B1645" t="s">
        <v>1716</v>
      </c>
      <c r="C1645" t="s">
        <v>1817</v>
      </c>
      <c r="D1645">
        <v>279</v>
      </c>
      <c r="E1645">
        <v>53</v>
      </c>
      <c r="F1645">
        <v>28</v>
      </c>
      <c r="G1645">
        <v>34</v>
      </c>
      <c r="H1645">
        <v>93</v>
      </c>
      <c r="I1645">
        <v>71</v>
      </c>
      <c r="J1645">
        <v>33</v>
      </c>
      <c r="K1645">
        <v>73</v>
      </c>
      <c r="L1645">
        <v>173</v>
      </c>
      <c r="O1645" t="s">
        <v>1818</v>
      </c>
      <c r="P1645" s="1" t="b">
        <f>NOT(OR(Table1[[#This Row],[State]]="Other Foreign Countries", Table1[[#This Row],[State]]="Unknown", Table1[[#This Row],[State]]="Puerto Rico all counties"))</f>
        <v>1</v>
      </c>
    </row>
    <row r="1646" spans="1:16" x14ac:dyDescent="0.25">
      <c r="A1646">
        <v>12075</v>
      </c>
      <c r="B1646" t="s">
        <v>637</v>
      </c>
      <c r="C1646" t="s">
        <v>700</v>
      </c>
      <c r="D1646">
        <v>1601</v>
      </c>
      <c r="E1646">
        <v>312</v>
      </c>
      <c r="F1646">
        <v>166</v>
      </c>
      <c r="G1646">
        <v>217</v>
      </c>
      <c r="H1646">
        <v>467</v>
      </c>
      <c r="I1646">
        <v>439</v>
      </c>
      <c r="J1646">
        <v>315</v>
      </c>
      <c r="K1646">
        <v>481</v>
      </c>
      <c r="L1646">
        <v>805</v>
      </c>
      <c r="M1646" s="1">
        <v>1413</v>
      </c>
      <c r="N1646">
        <v>188</v>
      </c>
      <c r="O1646" t="s">
        <v>701</v>
      </c>
      <c r="P1646" s="1" t="b">
        <f>NOT(OR(Table1[[#This Row],[State]]="Other Foreign Countries", Table1[[#This Row],[State]]="Unknown", Table1[[#This Row],[State]]="Puerto Rico all counties"))</f>
        <v>1</v>
      </c>
    </row>
    <row r="1647" spans="1:16" x14ac:dyDescent="0.25">
      <c r="A1647">
        <v>16061</v>
      </c>
      <c r="B1647" t="s">
        <v>1032</v>
      </c>
      <c r="C1647" t="s">
        <v>1084</v>
      </c>
      <c r="D1647">
        <v>147</v>
      </c>
      <c r="E1647">
        <v>31</v>
      </c>
      <c r="F1647">
        <v>20</v>
      </c>
      <c r="G1647">
        <v>18</v>
      </c>
      <c r="H1647">
        <v>42</v>
      </c>
      <c r="I1647">
        <v>36</v>
      </c>
      <c r="J1647">
        <v>25</v>
      </c>
      <c r="K1647">
        <v>39</v>
      </c>
      <c r="L1647">
        <v>83</v>
      </c>
      <c r="M1647">
        <v>129</v>
      </c>
      <c r="N1647">
        <v>18</v>
      </c>
      <c r="O1647" t="s">
        <v>1085</v>
      </c>
      <c r="P1647" s="1" t="b">
        <f>NOT(OR(Table1[[#This Row],[State]]="Other Foreign Countries", Table1[[#This Row],[State]]="Unknown", Table1[[#This Row],[State]]="Puerto Rico all counties"))</f>
        <v>1</v>
      </c>
    </row>
    <row r="1648" spans="1:16" x14ac:dyDescent="0.25">
      <c r="A1648">
        <v>21135</v>
      </c>
      <c r="B1648" t="s">
        <v>1716</v>
      </c>
      <c r="C1648" t="s">
        <v>1084</v>
      </c>
      <c r="D1648">
        <v>217</v>
      </c>
      <c r="E1648">
        <v>60</v>
      </c>
      <c r="F1648">
        <v>18</v>
      </c>
      <c r="G1648">
        <v>28</v>
      </c>
      <c r="H1648">
        <v>64</v>
      </c>
      <c r="I1648">
        <v>47</v>
      </c>
      <c r="J1648">
        <v>33</v>
      </c>
      <c r="K1648">
        <v>78</v>
      </c>
      <c r="L1648">
        <v>106</v>
      </c>
      <c r="M1648">
        <v>197</v>
      </c>
      <c r="N1648">
        <v>19</v>
      </c>
      <c r="O1648" t="s">
        <v>1819</v>
      </c>
      <c r="P1648" s="1" t="b">
        <f>NOT(OR(Table1[[#This Row],[State]]="Other Foreign Countries", Table1[[#This Row],[State]]="Unknown", Table1[[#This Row],[State]]="Puerto Rico all counties"))</f>
        <v>1</v>
      </c>
    </row>
    <row r="1649" spans="1:16" x14ac:dyDescent="0.25">
      <c r="A1649">
        <v>29111</v>
      </c>
      <c r="B1649" t="s">
        <v>2510</v>
      </c>
      <c r="C1649" t="s">
        <v>1084</v>
      </c>
      <c r="D1649">
        <v>178</v>
      </c>
      <c r="E1649">
        <v>35</v>
      </c>
      <c r="F1649">
        <v>24</v>
      </c>
      <c r="G1649">
        <v>23</v>
      </c>
      <c r="H1649">
        <v>48</v>
      </c>
      <c r="I1649">
        <v>48</v>
      </c>
      <c r="J1649">
        <v>35</v>
      </c>
      <c r="K1649">
        <v>47</v>
      </c>
      <c r="L1649">
        <v>96</v>
      </c>
      <c r="M1649">
        <v>161</v>
      </c>
      <c r="N1649">
        <v>17</v>
      </c>
      <c r="O1649" t="s">
        <v>2583</v>
      </c>
      <c r="P1649" s="1" t="b">
        <f>NOT(OR(Table1[[#This Row],[State]]="Other Foreign Countries", Table1[[#This Row],[State]]="Unknown", Table1[[#This Row],[State]]="Puerto Rico all counties"))</f>
        <v>1</v>
      </c>
    </row>
    <row r="1650" spans="1:16" x14ac:dyDescent="0.25">
      <c r="A1650">
        <v>36049</v>
      </c>
      <c r="B1650" t="s">
        <v>3029</v>
      </c>
      <c r="C1650" t="s">
        <v>1084</v>
      </c>
      <c r="D1650">
        <v>591</v>
      </c>
      <c r="E1650">
        <v>87</v>
      </c>
      <c r="F1650">
        <v>73</v>
      </c>
      <c r="G1650">
        <v>82</v>
      </c>
      <c r="H1650">
        <v>185</v>
      </c>
      <c r="I1650">
        <v>164</v>
      </c>
      <c r="J1650">
        <v>147</v>
      </c>
      <c r="K1650">
        <v>241</v>
      </c>
      <c r="L1650">
        <v>203</v>
      </c>
      <c r="M1650">
        <v>525</v>
      </c>
      <c r="N1650">
        <v>66</v>
      </c>
      <c r="O1650" t="s">
        <v>3065</v>
      </c>
      <c r="P1650" s="1" t="b">
        <f>NOT(OR(Table1[[#This Row],[State]]="Other Foreign Countries", Table1[[#This Row],[State]]="Unknown", Table1[[#This Row],[State]]="Puerto Rico all counties"))</f>
        <v>1</v>
      </c>
    </row>
    <row r="1651" spans="1:16" x14ac:dyDescent="0.25">
      <c r="A1651">
        <v>47101</v>
      </c>
      <c r="B1651" t="s">
        <v>3951</v>
      </c>
      <c r="C1651" t="s">
        <v>1084</v>
      </c>
      <c r="D1651">
        <v>327</v>
      </c>
      <c r="E1651">
        <v>67</v>
      </c>
      <c r="F1651">
        <v>30</v>
      </c>
      <c r="G1651">
        <v>30</v>
      </c>
      <c r="H1651">
        <v>109</v>
      </c>
      <c r="I1651">
        <v>91</v>
      </c>
      <c r="J1651">
        <v>71</v>
      </c>
      <c r="K1651">
        <v>106</v>
      </c>
      <c r="L1651">
        <v>150</v>
      </c>
      <c r="M1651">
        <v>301</v>
      </c>
      <c r="N1651">
        <v>26</v>
      </c>
      <c r="O1651" t="s">
        <v>4015</v>
      </c>
      <c r="P1651" s="1" t="b">
        <f>NOT(OR(Table1[[#This Row],[State]]="Other Foreign Countries", Table1[[#This Row],[State]]="Unknown", Table1[[#This Row],[State]]="Puerto Rico all counties"))</f>
        <v>1</v>
      </c>
    </row>
    <row r="1652" spans="1:16" x14ac:dyDescent="0.25">
      <c r="A1652">
        <v>53041</v>
      </c>
      <c r="B1652" t="s">
        <v>144</v>
      </c>
      <c r="C1652" t="s">
        <v>1084</v>
      </c>
      <c r="D1652">
        <v>2347</v>
      </c>
      <c r="E1652">
        <v>435</v>
      </c>
      <c r="F1652">
        <v>242</v>
      </c>
      <c r="G1652">
        <v>283</v>
      </c>
      <c r="H1652">
        <v>789</v>
      </c>
      <c r="I1652">
        <v>598</v>
      </c>
      <c r="J1652">
        <v>633</v>
      </c>
      <c r="K1652">
        <v>707</v>
      </c>
      <c r="L1652" s="1">
        <v>1007</v>
      </c>
      <c r="M1652" s="1">
        <v>2109</v>
      </c>
      <c r="N1652">
        <v>238</v>
      </c>
      <c r="O1652" t="s">
        <v>4802</v>
      </c>
      <c r="P1652" s="1" t="b">
        <f>NOT(OR(Table1[[#This Row],[State]]="Other Foreign Countries", Table1[[#This Row],[State]]="Unknown", Table1[[#This Row],[State]]="Puerto Rico all counties"))</f>
        <v>1</v>
      </c>
    </row>
    <row r="1653" spans="1:16" x14ac:dyDescent="0.25">
      <c r="A1653">
        <v>54041</v>
      </c>
      <c r="B1653" t="s">
        <v>4833</v>
      </c>
      <c r="C1653" t="s">
        <v>1084</v>
      </c>
      <c r="D1653">
        <v>396</v>
      </c>
      <c r="E1653">
        <v>85</v>
      </c>
      <c r="F1653">
        <v>39</v>
      </c>
      <c r="G1653">
        <v>43</v>
      </c>
      <c r="H1653">
        <v>130</v>
      </c>
      <c r="I1653">
        <v>99</v>
      </c>
      <c r="J1653">
        <v>70</v>
      </c>
      <c r="K1653">
        <v>133</v>
      </c>
      <c r="L1653">
        <v>193</v>
      </c>
      <c r="M1653">
        <v>372</v>
      </c>
      <c r="N1653">
        <v>24</v>
      </c>
      <c r="O1653" t="s">
        <v>4861</v>
      </c>
      <c r="P1653" s="1" t="b">
        <f>NOT(OR(Table1[[#This Row],[State]]="Other Foreign Countries", Table1[[#This Row],[State]]="Unknown", Table1[[#This Row],[State]]="Puerto Rico all counties"))</f>
        <v>1</v>
      </c>
    </row>
    <row r="1654" spans="1:16" x14ac:dyDescent="0.25">
      <c r="A1654">
        <v>30049</v>
      </c>
      <c r="B1654" t="s">
        <v>2665</v>
      </c>
      <c r="C1654" t="s">
        <v>2706</v>
      </c>
      <c r="D1654">
        <v>2956</v>
      </c>
      <c r="E1654">
        <v>602</v>
      </c>
      <c r="F1654">
        <v>337</v>
      </c>
      <c r="G1654">
        <v>349</v>
      </c>
      <c r="H1654">
        <v>874</v>
      </c>
      <c r="I1654">
        <v>794</v>
      </c>
      <c r="J1654">
        <v>759</v>
      </c>
      <c r="K1654" s="1">
        <v>1144</v>
      </c>
      <c r="L1654" s="1">
        <v>1053</v>
      </c>
      <c r="M1654" s="1">
        <v>2575</v>
      </c>
      <c r="N1654">
        <v>380</v>
      </c>
      <c r="O1654" t="s">
        <v>2707</v>
      </c>
      <c r="P1654" s="1" t="b">
        <f>NOT(OR(Table1[[#This Row],[State]]="Other Foreign Countries", Table1[[#This Row],[State]]="Unknown", Table1[[#This Row],[State]]="Puerto Rico all counties"))</f>
        <v>1</v>
      </c>
    </row>
    <row r="1655" spans="1:16" x14ac:dyDescent="0.25">
      <c r="A1655">
        <v>45063</v>
      </c>
      <c r="B1655" t="s">
        <v>3772</v>
      </c>
      <c r="C1655" t="s">
        <v>3823</v>
      </c>
      <c r="D1655">
        <v>9171</v>
      </c>
      <c r="E1655" s="1">
        <v>1306</v>
      </c>
      <c r="F1655">
        <v>809</v>
      </c>
      <c r="G1655" s="1">
        <v>1032</v>
      </c>
      <c r="H1655" s="1">
        <v>2781</v>
      </c>
      <c r="I1655" s="1">
        <v>3243</v>
      </c>
      <c r="J1655" s="1">
        <v>2802</v>
      </c>
      <c r="K1655" s="1">
        <v>3434</v>
      </c>
      <c r="L1655" s="1">
        <v>2935</v>
      </c>
      <c r="M1655" s="1">
        <v>7872</v>
      </c>
      <c r="N1655" s="1">
        <v>1299</v>
      </c>
      <c r="O1655" t="s">
        <v>3824</v>
      </c>
      <c r="P1655" s="1" t="b">
        <f>NOT(OR(Table1[[#This Row],[State]]="Other Foreign Countries", Table1[[#This Row],[State]]="Unknown", Table1[[#This Row],[State]]="Puerto Rico all counties"))</f>
        <v>1</v>
      </c>
    </row>
    <row r="1656" spans="1:16" x14ac:dyDescent="0.25">
      <c r="A1656">
        <v>51678</v>
      </c>
      <c r="B1656" t="s">
        <v>4555</v>
      </c>
      <c r="C1656" t="s">
        <v>4730</v>
      </c>
      <c r="D1656">
        <v>100</v>
      </c>
      <c r="E1656">
        <v>28</v>
      </c>
      <c r="F1656">
        <v>11</v>
      </c>
      <c r="G1656">
        <v>11</v>
      </c>
      <c r="H1656">
        <v>21</v>
      </c>
      <c r="I1656">
        <v>29</v>
      </c>
      <c r="J1656">
        <v>18</v>
      </c>
      <c r="K1656">
        <v>32</v>
      </c>
      <c r="L1656">
        <v>50</v>
      </c>
      <c r="O1656" t="s">
        <v>4731</v>
      </c>
      <c r="P1656" s="1" t="b">
        <f>NOT(OR(Table1[[#This Row],[State]]="Other Foreign Countries", Table1[[#This Row],[State]]="Unknown", Table1[[#This Row],[State]]="Puerto Rico all counties"))</f>
        <v>1</v>
      </c>
    </row>
    <row r="1657" spans="1:16" x14ac:dyDescent="0.25">
      <c r="A1657">
        <v>12077</v>
      </c>
      <c r="B1657" t="s">
        <v>637</v>
      </c>
      <c r="C1657" t="s">
        <v>702</v>
      </c>
      <c r="D1657">
        <v>140</v>
      </c>
      <c r="E1657">
        <v>31</v>
      </c>
      <c r="F1657">
        <v>12</v>
      </c>
      <c r="G1657">
        <v>13</v>
      </c>
      <c r="H1657">
        <v>46</v>
      </c>
      <c r="I1657">
        <v>38</v>
      </c>
      <c r="J1657">
        <v>24</v>
      </c>
      <c r="K1657">
        <v>45</v>
      </c>
      <c r="L1657">
        <v>71</v>
      </c>
      <c r="M1657">
        <v>126</v>
      </c>
      <c r="N1657">
        <v>14</v>
      </c>
      <c r="O1657" t="s">
        <v>703</v>
      </c>
      <c r="P1657" s="1" t="b">
        <f>NOT(OR(Table1[[#This Row],[State]]="Other Foreign Countries", Table1[[#This Row],[State]]="Unknown", Table1[[#This Row],[State]]="Puerto Rico all counties"))</f>
        <v>1</v>
      </c>
    </row>
    <row r="1658" spans="1:16" x14ac:dyDescent="0.25">
      <c r="A1658">
        <v>13179</v>
      </c>
      <c r="B1658" t="s">
        <v>754</v>
      </c>
      <c r="C1658" t="s">
        <v>702</v>
      </c>
      <c r="D1658">
        <v>7306</v>
      </c>
      <c r="E1658">
        <v>609</v>
      </c>
      <c r="F1658">
        <v>505</v>
      </c>
      <c r="G1658">
        <v>636</v>
      </c>
      <c r="H1658" s="1">
        <v>2426</v>
      </c>
      <c r="I1658" s="1">
        <v>3130</v>
      </c>
      <c r="J1658" s="1">
        <v>2804</v>
      </c>
      <c r="K1658" s="1">
        <v>2863</v>
      </c>
      <c r="L1658" s="1">
        <v>1639</v>
      </c>
      <c r="M1658" s="1">
        <v>5468</v>
      </c>
      <c r="N1658" s="1">
        <v>1837</v>
      </c>
      <c r="O1658" t="s">
        <v>906</v>
      </c>
      <c r="P1658" s="1" t="b">
        <f>NOT(OR(Table1[[#This Row],[State]]="Other Foreign Countries", Table1[[#This Row],[State]]="Unknown", Table1[[#This Row],[State]]="Puerto Rico all counties"))</f>
        <v>1</v>
      </c>
    </row>
    <row r="1659" spans="1:16" x14ac:dyDescent="0.25">
      <c r="A1659">
        <v>30051</v>
      </c>
      <c r="B1659" t="s">
        <v>2665</v>
      </c>
      <c r="C1659" t="s">
        <v>702</v>
      </c>
      <c r="D1659">
        <v>28</v>
      </c>
      <c r="L1659">
        <v>17</v>
      </c>
      <c r="O1659" t="s">
        <v>2708</v>
      </c>
      <c r="P1659" s="1" t="b">
        <f>NOT(OR(Table1[[#This Row],[State]]="Other Foreign Countries", Table1[[#This Row],[State]]="Unknown", Table1[[#This Row],[State]]="Puerto Rico all counties"))</f>
        <v>1</v>
      </c>
    </row>
    <row r="1660" spans="1:16" x14ac:dyDescent="0.25">
      <c r="A1660">
        <v>48291</v>
      </c>
      <c r="B1660" t="s">
        <v>2654</v>
      </c>
      <c r="C1660" t="s">
        <v>702</v>
      </c>
      <c r="D1660">
        <v>1706</v>
      </c>
      <c r="E1660">
        <v>307</v>
      </c>
      <c r="F1660">
        <v>153</v>
      </c>
      <c r="G1660">
        <v>216</v>
      </c>
      <c r="H1660">
        <v>533</v>
      </c>
      <c r="I1660">
        <v>497</v>
      </c>
      <c r="J1660">
        <v>618</v>
      </c>
      <c r="K1660">
        <v>534</v>
      </c>
      <c r="L1660">
        <v>554</v>
      </c>
      <c r="M1660" s="1">
        <v>1511</v>
      </c>
      <c r="N1660">
        <v>195</v>
      </c>
      <c r="O1660" t="s">
        <v>4307</v>
      </c>
      <c r="P1660" s="1" t="b">
        <f>NOT(OR(Table1[[#This Row],[State]]="Other Foreign Countries", Table1[[#This Row],[State]]="Unknown", Table1[[#This Row],[State]]="Puerto Rico all counties"))</f>
        <v>1</v>
      </c>
    </row>
    <row r="1661" spans="1:16" x14ac:dyDescent="0.25">
      <c r="A1661">
        <v>39089</v>
      </c>
      <c r="B1661" t="s">
        <v>1343</v>
      </c>
      <c r="C1661" t="s">
        <v>3432</v>
      </c>
      <c r="D1661">
        <v>4110</v>
      </c>
      <c r="E1661" s="1">
        <v>1209</v>
      </c>
      <c r="F1661">
        <v>565</v>
      </c>
      <c r="G1661">
        <v>527</v>
      </c>
      <c r="H1661" s="1">
        <v>1053</v>
      </c>
      <c r="I1661">
        <v>756</v>
      </c>
      <c r="J1661" s="1">
        <v>1148</v>
      </c>
      <c r="K1661" s="1">
        <v>1219</v>
      </c>
      <c r="L1661" s="1">
        <v>1743</v>
      </c>
      <c r="M1661" s="1">
        <v>3736</v>
      </c>
      <c r="N1661">
        <v>372</v>
      </c>
      <c r="O1661" t="s">
        <v>3433</v>
      </c>
      <c r="P1661" s="1" t="b">
        <f>NOT(OR(Table1[[#This Row],[State]]="Other Foreign Countries", Table1[[#This Row],[State]]="Unknown", Table1[[#This Row],[State]]="Puerto Rico all counties"))</f>
        <v>1</v>
      </c>
    </row>
    <row r="1662" spans="1:16" x14ac:dyDescent="0.25">
      <c r="A1662">
        <v>1083</v>
      </c>
      <c r="B1662" t="s">
        <v>15</v>
      </c>
      <c r="C1662" t="s">
        <v>98</v>
      </c>
      <c r="D1662">
        <v>4576</v>
      </c>
      <c r="E1662">
        <v>595</v>
      </c>
      <c r="F1662">
        <v>398</v>
      </c>
      <c r="G1662">
        <v>453</v>
      </c>
      <c r="H1662" s="1">
        <v>1304</v>
      </c>
      <c r="I1662" s="1">
        <v>1826</v>
      </c>
      <c r="J1662" s="1">
        <v>1254</v>
      </c>
      <c r="K1662" s="1">
        <v>2094</v>
      </c>
      <c r="L1662" s="1">
        <v>1228</v>
      </c>
      <c r="M1662" s="1">
        <v>3898</v>
      </c>
      <c r="N1662">
        <v>678</v>
      </c>
      <c r="O1662" t="s">
        <v>99</v>
      </c>
      <c r="P1662" s="1" t="b">
        <f>NOT(OR(Table1[[#This Row],[State]]="Other Foreign Countries", Table1[[#This Row],[State]]="Unknown", Table1[[#This Row],[State]]="Puerto Rico all counties"))</f>
        <v>1</v>
      </c>
    </row>
    <row r="1663" spans="1:16" x14ac:dyDescent="0.25">
      <c r="A1663">
        <v>48293</v>
      </c>
      <c r="B1663" t="s">
        <v>2654</v>
      </c>
      <c r="C1663" t="s">
        <v>98</v>
      </c>
      <c r="D1663">
        <v>481</v>
      </c>
      <c r="E1663">
        <v>94</v>
      </c>
      <c r="F1663">
        <v>55</v>
      </c>
      <c r="G1663">
        <v>60</v>
      </c>
      <c r="H1663">
        <v>142</v>
      </c>
      <c r="I1663">
        <v>130</v>
      </c>
      <c r="J1663">
        <v>103</v>
      </c>
      <c r="K1663">
        <v>144</v>
      </c>
      <c r="L1663">
        <v>234</v>
      </c>
      <c r="M1663">
        <v>443</v>
      </c>
      <c r="N1663">
        <v>38</v>
      </c>
      <c r="O1663" t="s">
        <v>4308</v>
      </c>
      <c r="P1663" s="1" t="b">
        <f>NOT(OR(Table1[[#This Row],[State]]="Other Foreign Countries", Table1[[#This Row],[State]]="Unknown", Table1[[#This Row],[State]]="Puerto Rico all counties"))</f>
        <v>1</v>
      </c>
    </row>
    <row r="1664" spans="1:16" x14ac:dyDescent="0.25">
      <c r="A1664">
        <v>5079</v>
      </c>
      <c r="B1664" t="s">
        <v>242</v>
      </c>
      <c r="C1664" t="s">
        <v>310</v>
      </c>
      <c r="D1664">
        <v>188</v>
      </c>
      <c r="E1664">
        <v>37</v>
      </c>
      <c r="F1664">
        <v>26</v>
      </c>
      <c r="G1664">
        <v>16</v>
      </c>
      <c r="H1664">
        <v>67</v>
      </c>
      <c r="I1664">
        <v>42</v>
      </c>
      <c r="J1664">
        <v>42</v>
      </c>
      <c r="K1664">
        <v>58</v>
      </c>
      <c r="L1664">
        <v>88</v>
      </c>
      <c r="M1664">
        <v>167</v>
      </c>
      <c r="N1664">
        <v>21</v>
      </c>
      <c r="O1664" t="s">
        <v>311</v>
      </c>
      <c r="P1664" s="1" t="b">
        <f>NOT(OR(Table1[[#This Row],[State]]="Other Foreign Countries", Table1[[#This Row],[State]]="Unknown", Table1[[#This Row],[State]]="Puerto Rico all counties"))</f>
        <v>1</v>
      </c>
    </row>
    <row r="1665" spans="1:16" x14ac:dyDescent="0.25">
      <c r="A1665">
        <v>8073</v>
      </c>
      <c r="B1665" t="s">
        <v>489</v>
      </c>
      <c r="C1665" t="s">
        <v>310</v>
      </c>
      <c r="D1665">
        <v>112</v>
      </c>
      <c r="E1665">
        <v>16</v>
      </c>
      <c r="F1665">
        <v>14</v>
      </c>
      <c r="G1665">
        <v>19</v>
      </c>
      <c r="H1665">
        <v>34</v>
      </c>
      <c r="I1665">
        <v>29</v>
      </c>
      <c r="J1665">
        <v>35</v>
      </c>
      <c r="K1665">
        <v>29</v>
      </c>
      <c r="L1665">
        <v>48</v>
      </c>
      <c r="M1665">
        <v>98</v>
      </c>
      <c r="N1665">
        <v>14</v>
      </c>
      <c r="O1665" t="s">
        <v>561</v>
      </c>
      <c r="P1665" s="1" t="b">
        <f>NOT(OR(Table1[[#This Row],[State]]="Other Foreign Countries", Table1[[#This Row],[State]]="Unknown", Table1[[#This Row],[State]]="Puerto Rico all counties"))</f>
        <v>1</v>
      </c>
    </row>
    <row r="1666" spans="1:16" x14ac:dyDescent="0.25">
      <c r="A1666">
        <v>13181</v>
      </c>
      <c r="B1666" t="s">
        <v>754</v>
      </c>
      <c r="C1666" t="s">
        <v>310</v>
      </c>
      <c r="D1666">
        <v>262</v>
      </c>
      <c r="E1666">
        <v>46</v>
      </c>
      <c r="F1666">
        <v>28</v>
      </c>
      <c r="G1666">
        <v>27</v>
      </c>
      <c r="H1666">
        <v>76</v>
      </c>
      <c r="I1666">
        <v>85</v>
      </c>
      <c r="J1666">
        <v>53</v>
      </c>
      <c r="K1666">
        <v>90</v>
      </c>
      <c r="L1666">
        <v>119</v>
      </c>
      <c r="M1666">
        <v>235</v>
      </c>
      <c r="N1666">
        <v>27</v>
      </c>
      <c r="O1666" t="s">
        <v>907</v>
      </c>
      <c r="P1666" s="1" t="b">
        <f>NOT(OR(Table1[[#This Row],[State]]="Other Foreign Countries", Table1[[#This Row],[State]]="Unknown", Table1[[#This Row],[State]]="Puerto Rico all counties"))</f>
        <v>1</v>
      </c>
    </row>
    <row r="1667" spans="1:16" x14ac:dyDescent="0.25">
      <c r="A1667">
        <v>16063</v>
      </c>
      <c r="B1667" t="s">
        <v>1032</v>
      </c>
      <c r="C1667" t="s">
        <v>310</v>
      </c>
      <c r="D1667">
        <v>67</v>
      </c>
      <c r="E1667">
        <v>22</v>
      </c>
      <c r="F1667">
        <v>10</v>
      </c>
      <c r="G1667">
        <v>12</v>
      </c>
      <c r="H1667">
        <v>10</v>
      </c>
      <c r="I1667">
        <v>13</v>
      </c>
      <c r="J1667">
        <v>15</v>
      </c>
      <c r="K1667">
        <v>20</v>
      </c>
      <c r="L1667">
        <v>32</v>
      </c>
      <c r="O1667" t="s">
        <v>1086</v>
      </c>
      <c r="P1667" s="1" t="b">
        <f>NOT(OR(Table1[[#This Row],[State]]="Other Foreign Countries", Table1[[#This Row],[State]]="Unknown", Table1[[#This Row],[State]]="Puerto Rico all counties"))</f>
        <v>1</v>
      </c>
    </row>
    <row r="1668" spans="1:16" x14ac:dyDescent="0.25">
      <c r="A1668">
        <v>20105</v>
      </c>
      <c r="B1668" t="s">
        <v>1543</v>
      </c>
      <c r="C1668" t="s">
        <v>310</v>
      </c>
      <c r="D1668">
        <v>46</v>
      </c>
      <c r="H1668">
        <v>20</v>
      </c>
      <c r="I1668">
        <v>12</v>
      </c>
      <c r="J1668">
        <v>10</v>
      </c>
      <c r="K1668">
        <v>14</v>
      </c>
      <c r="L1668">
        <v>22</v>
      </c>
      <c r="O1668" t="s">
        <v>1627</v>
      </c>
      <c r="P1668" s="1" t="b">
        <f>NOT(OR(Table1[[#This Row],[State]]="Other Foreign Countries", Table1[[#This Row],[State]]="Unknown", Table1[[#This Row],[State]]="Puerto Rico all counties"))</f>
        <v>1</v>
      </c>
    </row>
    <row r="1669" spans="1:16" x14ac:dyDescent="0.25">
      <c r="A1669">
        <v>21137</v>
      </c>
      <c r="B1669" t="s">
        <v>1716</v>
      </c>
      <c r="C1669" t="s">
        <v>310</v>
      </c>
      <c r="D1669">
        <v>459</v>
      </c>
      <c r="E1669">
        <v>73</v>
      </c>
      <c r="F1669">
        <v>46</v>
      </c>
      <c r="G1669">
        <v>68</v>
      </c>
      <c r="H1669">
        <v>147</v>
      </c>
      <c r="I1669">
        <v>125</v>
      </c>
      <c r="J1669">
        <v>103</v>
      </c>
      <c r="K1669">
        <v>157</v>
      </c>
      <c r="L1669">
        <v>199</v>
      </c>
      <c r="M1669">
        <v>425</v>
      </c>
      <c r="N1669">
        <v>34</v>
      </c>
      <c r="O1669" t="s">
        <v>1820</v>
      </c>
      <c r="P1669" s="1" t="b">
        <f>NOT(OR(Table1[[#This Row],[State]]="Other Foreign Countries", Table1[[#This Row],[State]]="Unknown", Table1[[#This Row],[State]]="Puerto Rico all counties"))</f>
        <v>1</v>
      </c>
    </row>
    <row r="1670" spans="1:16" x14ac:dyDescent="0.25">
      <c r="A1670">
        <v>22061</v>
      </c>
      <c r="B1670" t="s">
        <v>1892</v>
      </c>
      <c r="C1670" t="s">
        <v>310</v>
      </c>
      <c r="D1670">
        <v>601</v>
      </c>
      <c r="E1670">
        <v>96</v>
      </c>
      <c r="F1670">
        <v>63</v>
      </c>
      <c r="G1670">
        <v>71</v>
      </c>
      <c r="H1670">
        <v>201</v>
      </c>
      <c r="I1670">
        <v>170</v>
      </c>
      <c r="J1670">
        <v>175</v>
      </c>
      <c r="K1670">
        <v>184</v>
      </c>
      <c r="L1670">
        <v>242</v>
      </c>
      <c r="M1670">
        <v>537</v>
      </c>
      <c r="N1670">
        <v>64</v>
      </c>
      <c r="O1670" t="s">
        <v>1945</v>
      </c>
      <c r="P1670" s="1" t="b">
        <f>NOT(OR(Table1[[#This Row],[State]]="Other Foreign Countries", Table1[[#This Row],[State]]="Unknown", Table1[[#This Row],[State]]="Puerto Rico all counties"))</f>
        <v>1</v>
      </c>
    </row>
    <row r="1671" spans="1:16" x14ac:dyDescent="0.25">
      <c r="A1671">
        <v>23015</v>
      </c>
      <c r="B1671" t="s">
        <v>2004</v>
      </c>
      <c r="C1671" t="s">
        <v>310</v>
      </c>
      <c r="D1671">
        <v>1013</v>
      </c>
      <c r="E1671">
        <v>219</v>
      </c>
      <c r="F1671">
        <v>119</v>
      </c>
      <c r="G1671">
        <v>104</v>
      </c>
      <c r="H1671">
        <v>324</v>
      </c>
      <c r="I1671">
        <v>247</v>
      </c>
      <c r="J1671">
        <v>199</v>
      </c>
      <c r="K1671">
        <v>293</v>
      </c>
      <c r="L1671">
        <v>521</v>
      </c>
      <c r="M1671">
        <v>908</v>
      </c>
      <c r="N1671">
        <v>105</v>
      </c>
      <c r="O1671" t="s">
        <v>2015</v>
      </c>
      <c r="P1671" s="1" t="b">
        <f>NOT(OR(Table1[[#This Row],[State]]="Other Foreign Countries", Table1[[#This Row],[State]]="Unknown", Table1[[#This Row],[State]]="Puerto Rico all counties"))</f>
        <v>1</v>
      </c>
    </row>
    <row r="1672" spans="1:16" x14ac:dyDescent="0.25">
      <c r="A1672">
        <v>27081</v>
      </c>
      <c r="B1672" t="s">
        <v>2245</v>
      </c>
      <c r="C1672" t="s">
        <v>310</v>
      </c>
      <c r="D1672">
        <v>113</v>
      </c>
      <c r="E1672">
        <v>43</v>
      </c>
      <c r="F1672">
        <v>12</v>
      </c>
      <c r="G1672">
        <v>13</v>
      </c>
      <c r="H1672">
        <v>23</v>
      </c>
      <c r="I1672">
        <v>22</v>
      </c>
      <c r="J1672">
        <v>21</v>
      </c>
      <c r="K1672">
        <v>24</v>
      </c>
      <c r="L1672">
        <v>68</v>
      </c>
      <c r="O1672" t="s">
        <v>2313</v>
      </c>
      <c r="P1672" s="1" t="b">
        <f>NOT(OR(Table1[[#This Row],[State]]="Other Foreign Countries", Table1[[#This Row],[State]]="Unknown", Table1[[#This Row],[State]]="Puerto Rico all counties"))</f>
        <v>1</v>
      </c>
    </row>
    <row r="1673" spans="1:16" x14ac:dyDescent="0.25">
      <c r="A1673">
        <v>28085</v>
      </c>
      <c r="B1673" t="s">
        <v>322</v>
      </c>
      <c r="C1673" t="s">
        <v>310</v>
      </c>
      <c r="D1673">
        <v>487</v>
      </c>
      <c r="E1673">
        <v>82</v>
      </c>
      <c r="F1673">
        <v>42</v>
      </c>
      <c r="G1673">
        <v>60</v>
      </c>
      <c r="H1673">
        <v>169</v>
      </c>
      <c r="I1673">
        <v>134</v>
      </c>
      <c r="J1673">
        <v>94</v>
      </c>
      <c r="K1673">
        <v>190</v>
      </c>
      <c r="L1673">
        <v>203</v>
      </c>
      <c r="M1673">
        <v>424</v>
      </c>
      <c r="N1673">
        <v>63</v>
      </c>
      <c r="O1673" t="s">
        <v>2452</v>
      </c>
      <c r="P1673" s="1" t="b">
        <f>NOT(OR(Table1[[#This Row],[State]]="Other Foreign Countries", Table1[[#This Row],[State]]="Unknown", Table1[[#This Row],[State]]="Puerto Rico all counties"))</f>
        <v>1</v>
      </c>
    </row>
    <row r="1674" spans="1:16" x14ac:dyDescent="0.25">
      <c r="A1674">
        <v>29113</v>
      </c>
      <c r="B1674" t="s">
        <v>2510</v>
      </c>
      <c r="C1674" t="s">
        <v>310</v>
      </c>
      <c r="D1674">
        <v>1257</v>
      </c>
      <c r="E1674">
        <v>259</v>
      </c>
      <c r="F1674">
        <v>134</v>
      </c>
      <c r="G1674">
        <v>175</v>
      </c>
      <c r="H1674">
        <v>387</v>
      </c>
      <c r="I1674">
        <v>302</v>
      </c>
      <c r="J1674">
        <v>436</v>
      </c>
      <c r="K1674">
        <v>352</v>
      </c>
      <c r="L1674">
        <v>469</v>
      </c>
      <c r="M1674" s="1">
        <v>1155</v>
      </c>
      <c r="N1674">
        <v>101</v>
      </c>
      <c r="O1674" t="s">
        <v>2584</v>
      </c>
      <c r="P1674" s="1" t="b">
        <f>NOT(OR(Table1[[#This Row],[State]]="Other Foreign Countries", Table1[[#This Row],[State]]="Unknown", Table1[[#This Row],[State]]="Puerto Rico all counties"))</f>
        <v>1</v>
      </c>
    </row>
    <row r="1675" spans="1:16" x14ac:dyDescent="0.25">
      <c r="A1675">
        <v>30053</v>
      </c>
      <c r="B1675" t="s">
        <v>2665</v>
      </c>
      <c r="C1675" t="s">
        <v>310</v>
      </c>
      <c r="D1675">
        <v>896</v>
      </c>
      <c r="E1675">
        <v>148</v>
      </c>
      <c r="F1675">
        <v>94</v>
      </c>
      <c r="G1675">
        <v>109</v>
      </c>
      <c r="H1675">
        <v>270</v>
      </c>
      <c r="I1675">
        <v>275</v>
      </c>
      <c r="J1675">
        <v>205</v>
      </c>
      <c r="K1675">
        <v>280</v>
      </c>
      <c r="L1675">
        <v>411</v>
      </c>
      <c r="M1675">
        <v>796</v>
      </c>
      <c r="N1675">
        <v>99</v>
      </c>
      <c r="O1675" t="s">
        <v>2709</v>
      </c>
      <c r="P1675" s="1" t="b">
        <f>NOT(OR(Table1[[#This Row],[State]]="Other Foreign Countries", Table1[[#This Row],[State]]="Unknown", Table1[[#This Row],[State]]="Puerto Rico all counties"))</f>
        <v>1</v>
      </c>
    </row>
    <row r="1676" spans="1:16" x14ac:dyDescent="0.25">
      <c r="A1676">
        <v>31111</v>
      </c>
      <c r="B1676" t="s">
        <v>2758</v>
      </c>
      <c r="C1676" t="s">
        <v>310</v>
      </c>
      <c r="D1676">
        <v>968</v>
      </c>
      <c r="E1676">
        <v>356</v>
      </c>
      <c r="F1676">
        <v>137</v>
      </c>
      <c r="G1676">
        <v>97</v>
      </c>
      <c r="H1676">
        <v>214</v>
      </c>
      <c r="I1676">
        <v>164</v>
      </c>
      <c r="J1676">
        <v>173</v>
      </c>
      <c r="K1676">
        <v>279</v>
      </c>
      <c r="L1676">
        <v>516</v>
      </c>
      <c r="M1676">
        <v>907</v>
      </c>
      <c r="N1676">
        <v>61</v>
      </c>
      <c r="O1676" t="s">
        <v>2840</v>
      </c>
      <c r="P1676" s="1" t="b">
        <f>NOT(OR(Table1[[#This Row],[State]]="Other Foreign Countries", Table1[[#This Row],[State]]="Unknown", Table1[[#This Row],[State]]="Puerto Rico all counties"))</f>
        <v>1</v>
      </c>
    </row>
    <row r="1677" spans="1:16" x14ac:dyDescent="0.25">
      <c r="A1677">
        <v>32017</v>
      </c>
      <c r="B1677" t="s">
        <v>326</v>
      </c>
      <c r="C1677" t="s">
        <v>310</v>
      </c>
      <c r="D1677">
        <v>95</v>
      </c>
      <c r="E1677">
        <v>28</v>
      </c>
      <c r="H1677">
        <v>23</v>
      </c>
      <c r="I1677">
        <v>26</v>
      </c>
      <c r="J1677">
        <v>16</v>
      </c>
      <c r="K1677">
        <v>25</v>
      </c>
      <c r="L1677">
        <v>54</v>
      </c>
      <c r="M1677">
        <v>84</v>
      </c>
      <c r="N1677">
        <v>11</v>
      </c>
      <c r="O1677" t="s">
        <v>2905</v>
      </c>
      <c r="P1677" s="1" t="b">
        <f>NOT(OR(Table1[[#This Row],[State]]="Other Foreign Countries", Table1[[#This Row],[State]]="Unknown", Table1[[#This Row],[State]]="Puerto Rico all counties"))</f>
        <v>1</v>
      </c>
    </row>
    <row r="1678" spans="1:16" x14ac:dyDescent="0.25">
      <c r="A1678">
        <v>35027</v>
      </c>
      <c r="B1678" t="s">
        <v>2971</v>
      </c>
      <c r="C1678" t="s">
        <v>310</v>
      </c>
      <c r="D1678">
        <v>466</v>
      </c>
      <c r="E1678">
        <v>91</v>
      </c>
      <c r="F1678">
        <v>59</v>
      </c>
      <c r="G1678">
        <v>47</v>
      </c>
      <c r="H1678">
        <v>136</v>
      </c>
      <c r="I1678">
        <v>133</v>
      </c>
      <c r="J1678">
        <v>94</v>
      </c>
      <c r="K1678">
        <v>115</v>
      </c>
      <c r="L1678">
        <v>257</v>
      </c>
      <c r="M1678">
        <v>413</v>
      </c>
      <c r="N1678">
        <v>53</v>
      </c>
      <c r="O1678" t="s">
        <v>2998</v>
      </c>
      <c r="P1678" s="1" t="b">
        <f>NOT(OR(Table1[[#This Row],[State]]="Other Foreign Countries", Table1[[#This Row],[State]]="Unknown", Table1[[#This Row],[State]]="Puerto Rico all counties"))</f>
        <v>1</v>
      </c>
    </row>
    <row r="1679" spans="1:16" x14ac:dyDescent="0.25">
      <c r="A1679">
        <v>37109</v>
      </c>
      <c r="B1679" t="s">
        <v>3121</v>
      </c>
      <c r="C1679" t="s">
        <v>310</v>
      </c>
      <c r="D1679">
        <v>1842</v>
      </c>
      <c r="E1679">
        <v>338</v>
      </c>
      <c r="F1679">
        <v>177</v>
      </c>
      <c r="G1679">
        <v>252</v>
      </c>
      <c r="H1679">
        <v>547</v>
      </c>
      <c r="I1679">
        <v>528</v>
      </c>
      <c r="J1679">
        <v>482</v>
      </c>
      <c r="K1679">
        <v>571</v>
      </c>
      <c r="L1679">
        <v>789</v>
      </c>
      <c r="M1679" s="1">
        <v>1678</v>
      </c>
      <c r="N1679">
        <v>162</v>
      </c>
      <c r="O1679" t="s">
        <v>3213</v>
      </c>
      <c r="P1679" s="1" t="b">
        <f>NOT(OR(Table1[[#This Row],[State]]="Other Foreign Countries", Table1[[#This Row],[State]]="Unknown", Table1[[#This Row],[State]]="Puerto Rico all counties"))</f>
        <v>1</v>
      </c>
    </row>
    <row r="1680" spans="1:16" x14ac:dyDescent="0.25">
      <c r="A1680">
        <v>40081</v>
      </c>
      <c r="B1680" t="s">
        <v>3495</v>
      </c>
      <c r="C1680" t="s">
        <v>310</v>
      </c>
      <c r="D1680">
        <v>1176</v>
      </c>
      <c r="E1680">
        <v>212</v>
      </c>
      <c r="F1680">
        <v>126</v>
      </c>
      <c r="G1680">
        <v>123</v>
      </c>
      <c r="H1680">
        <v>389</v>
      </c>
      <c r="I1680">
        <v>326</v>
      </c>
      <c r="J1680">
        <v>326</v>
      </c>
      <c r="K1680">
        <v>387</v>
      </c>
      <c r="L1680">
        <v>463</v>
      </c>
      <c r="M1680" s="1">
        <v>1066</v>
      </c>
      <c r="N1680">
        <v>110</v>
      </c>
      <c r="O1680" t="s">
        <v>3555</v>
      </c>
      <c r="P1680" s="1" t="b">
        <f>NOT(OR(Table1[[#This Row],[State]]="Other Foreign Countries", Table1[[#This Row],[State]]="Unknown", Table1[[#This Row],[State]]="Puerto Rico all counties"))</f>
        <v>1</v>
      </c>
    </row>
    <row r="1681" spans="1:16" x14ac:dyDescent="0.25">
      <c r="A1681">
        <v>41041</v>
      </c>
      <c r="B1681" t="s">
        <v>2607</v>
      </c>
      <c r="C1681" t="s">
        <v>310</v>
      </c>
      <c r="D1681">
        <v>1505</v>
      </c>
      <c r="E1681">
        <v>366</v>
      </c>
      <c r="F1681">
        <v>164</v>
      </c>
      <c r="G1681">
        <v>172</v>
      </c>
      <c r="H1681">
        <v>434</v>
      </c>
      <c r="I1681">
        <v>369</v>
      </c>
      <c r="J1681">
        <v>210</v>
      </c>
      <c r="K1681">
        <v>387</v>
      </c>
      <c r="L1681">
        <v>908</v>
      </c>
      <c r="M1681" s="1">
        <v>1370</v>
      </c>
      <c r="N1681">
        <v>135</v>
      </c>
      <c r="O1681" t="s">
        <v>3642</v>
      </c>
      <c r="P1681" s="1" t="b">
        <f>NOT(OR(Table1[[#This Row],[State]]="Other Foreign Countries", Table1[[#This Row],[State]]="Unknown", Table1[[#This Row],[State]]="Puerto Rico all counties"))</f>
        <v>1</v>
      </c>
    </row>
    <row r="1682" spans="1:16" x14ac:dyDescent="0.25">
      <c r="A1682">
        <v>46083</v>
      </c>
      <c r="B1682" t="s">
        <v>3846</v>
      </c>
      <c r="C1682" t="s">
        <v>310</v>
      </c>
      <c r="D1682">
        <v>1705</v>
      </c>
      <c r="E1682">
        <v>444</v>
      </c>
      <c r="F1682">
        <v>194</v>
      </c>
      <c r="G1682">
        <v>238</v>
      </c>
      <c r="H1682">
        <v>461</v>
      </c>
      <c r="I1682">
        <v>368</v>
      </c>
      <c r="J1682">
        <v>501</v>
      </c>
      <c r="K1682">
        <v>564</v>
      </c>
      <c r="L1682">
        <v>640</v>
      </c>
      <c r="M1682" s="1">
        <v>1492</v>
      </c>
      <c r="N1682">
        <v>213</v>
      </c>
      <c r="O1682" t="s">
        <v>3909</v>
      </c>
      <c r="P1682" s="1" t="b">
        <f>NOT(OR(Table1[[#This Row],[State]]="Other Foreign Countries", Table1[[#This Row],[State]]="Unknown", Table1[[#This Row],[State]]="Puerto Rico all counties"))</f>
        <v>1</v>
      </c>
    </row>
    <row r="1683" spans="1:16" x14ac:dyDescent="0.25">
      <c r="A1683">
        <v>47103</v>
      </c>
      <c r="B1683" t="s">
        <v>3951</v>
      </c>
      <c r="C1683" t="s">
        <v>310</v>
      </c>
      <c r="D1683">
        <v>900</v>
      </c>
      <c r="E1683">
        <v>153</v>
      </c>
      <c r="F1683">
        <v>89</v>
      </c>
      <c r="G1683">
        <v>81</v>
      </c>
      <c r="H1683">
        <v>293</v>
      </c>
      <c r="I1683">
        <v>284</v>
      </c>
      <c r="J1683">
        <v>215</v>
      </c>
      <c r="K1683">
        <v>331</v>
      </c>
      <c r="L1683">
        <v>354</v>
      </c>
      <c r="M1683">
        <v>795</v>
      </c>
      <c r="N1683">
        <v>105</v>
      </c>
      <c r="O1683" t="s">
        <v>4016</v>
      </c>
      <c r="P1683" s="1" t="b">
        <f>NOT(OR(Table1[[#This Row],[State]]="Other Foreign Countries", Table1[[#This Row],[State]]="Unknown", Table1[[#This Row],[State]]="Puerto Rico all counties"))</f>
        <v>1</v>
      </c>
    </row>
    <row r="1684" spans="1:16" x14ac:dyDescent="0.25">
      <c r="A1684">
        <v>53043</v>
      </c>
      <c r="B1684" t="s">
        <v>144</v>
      </c>
      <c r="C1684" t="s">
        <v>310</v>
      </c>
      <c r="D1684">
        <v>414</v>
      </c>
      <c r="E1684">
        <v>113</v>
      </c>
      <c r="F1684">
        <v>51</v>
      </c>
      <c r="G1684">
        <v>46</v>
      </c>
      <c r="H1684">
        <v>121</v>
      </c>
      <c r="I1684">
        <v>83</v>
      </c>
      <c r="J1684">
        <v>73</v>
      </c>
      <c r="K1684">
        <v>138</v>
      </c>
      <c r="L1684">
        <v>203</v>
      </c>
      <c r="M1684">
        <v>374</v>
      </c>
      <c r="N1684">
        <v>40</v>
      </c>
      <c r="O1684" t="s">
        <v>4803</v>
      </c>
      <c r="P1684" s="1" t="b">
        <f>NOT(OR(Table1[[#This Row],[State]]="Other Foreign Countries", Table1[[#This Row],[State]]="Unknown", Table1[[#This Row],[State]]="Puerto Rico all counties"))</f>
        <v>1</v>
      </c>
    </row>
    <row r="1685" spans="1:16" x14ac:dyDescent="0.25">
      <c r="A1685">
        <v>54043</v>
      </c>
      <c r="B1685" t="s">
        <v>4833</v>
      </c>
      <c r="C1685" t="s">
        <v>310</v>
      </c>
      <c r="D1685">
        <v>370</v>
      </c>
      <c r="E1685">
        <v>73</v>
      </c>
      <c r="F1685">
        <v>35</v>
      </c>
      <c r="G1685">
        <v>43</v>
      </c>
      <c r="H1685">
        <v>127</v>
      </c>
      <c r="I1685">
        <v>92</v>
      </c>
      <c r="J1685">
        <v>70</v>
      </c>
      <c r="K1685">
        <v>115</v>
      </c>
      <c r="L1685">
        <v>185</v>
      </c>
      <c r="M1685">
        <v>348</v>
      </c>
      <c r="N1685">
        <v>22</v>
      </c>
      <c r="O1685" t="s">
        <v>4862</v>
      </c>
      <c r="P1685" s="1" t="b">
        <f>NOT(OR(Table1[[#This Row],[State]]="Other Foreign Countries", Table1[[#This Row],[State]]="Unknown", Table1[[#This Row],[State]]="Puerto Rico all counties"))</f>
        <v>1</v>
      </c>
    </row>
    <row r="1686" spans="1:16" x14ac:dyDescent="0.25">
      <c r="A1686">
        <v>55069</v>
      </c>
      <c r="B1686" t="s">
        <v>4906</v>
      </c>
      <c r="C1686" t="s">
        <v>310</v>
      </c>
      <c r="D1686">
        <v>702</v>
      </c>
      <c r="E1686">
        <v>160</v>
      </c>
      <c r="F1686">
        <v>86</v>
      </c>
      <c r="G1686">
        <v>92</v>
      </c>
      <c r="H1686">
        <v>180</v>
      </c>
      <c r="I1686">
        <v>184</v>
      </c>
      <c r="J1686">
        <v>124</v>
      </c>
      <c r="K1686">
        <v>222</v>
      </c>
      <c r="L1686">
        <v>356</v>
      </c>
      <c r="M1686">
        <v>644</v>
      </c>
      <c r="N1686">
        <v>58</v>
      </c>
      <c r="O1686" t="s">
        <v>4954</v>
      </c>
      <c r="P1686" s="1" t="b">
        <f>NOT(OR(Table1[[#This Row],[State]]="Other Foreign Countries", Table1[[#This Row],[State]]="Unknown", Table1[[#This Row],[State]]="Puerto Rico all counties"))</f>
        <v>1</v>
      </c>
    </row>
    <row r="1687" spans="1:16" x14ac:dyDescent="0.25">
      <c r="A1687">
        <v>56023</v>
      </c>
      <c r="B1687" t="s">
        <v>3117</v>
      </c>
      <c r="C1687" t="s">
        <v>310</v>
      </c>
      <c r="D1687">
        <v>340</v>
      </c>
      <c r="E1687">
        <v>86</v>
      </c>
      <c r="F1687">
        <v>44</v>
      </c>
      <c r="G1687">
        <v>44</v>
      </c>
      <c r="H1687">
        <v>87</v>
      </c>
      <c r="I1687">
        <v>79</v>
      </c>
      <c r="J1687">
        <v>80</v>
      </c>
      <c r="K1687">
        <v>100</v>
      </c>
      <c r="L1687">
        <v>160</v>
      </c>
      <c r="M1687">
        <v>312</v>
      </c>
      <c r="N1687">
        <v>28</v>
      </c>
      <c r="O1687" t="s">
        <v>5028</v>
      </c>
      <c r="P1687" s="1" t="b">
        <f>NOT(OR(Table1[[#This Row],[State]]="Other Foreign Countries", Table1[[#This Row],[State]]="Unknown", Table1[[#This Row],[State]]="Puerto Rico all counties"))</f>
        <v>1</v>
      </c>
    </row>
    <row r="1688" spans="1:16" x14ac:dyDescent="0.25">
      <c r="A1688">
        <v>19113</v>
      </c>
      <c r="B1688" t="s">
        <v>1399</v>
      </c>
      <c r="C1688" t="s">
        <v>1476</v>
      </c>
      <c r="D1688">
        <v>3187</v>
      </c>
      <c r="E1688">
        <v>687</v>
      </c>
      <c r="F1688">
        <v>403</v>
      </c>
      <c r="G1688">
        <v>451</v>
      </c>
      <c r="H1688">
        <v>931</v>
      </c>
      <c r="I1688">
        <v>715</v>
      </c>
      <c r="J1688">
        <v>969</v>
      </c>
      <c r="K1688">
        <v>960</v>
      </c>
      <c r="L1688" s="1">
        <v>1258</v>
      </c>
      <c r="M1688" s="1">
        <v>2848</v>
      </c>
      <c r="N1688">
        <v>339</v>
      </c>
      <c r="O1688" t="s">
        <v>1477</v>
      </c>
      <c r="P1688" s="1" t="b">
        <f>NOT(OR(Table1[[#This Row],[State]]="Other Foreign Countries", Table1[[#This Row],[State]]="Unknown", Table1[[#This Row],[State]]="Puerto Rico all counties"))</f>
        <v>1</v>
      </c>
    </row>
    <row r="1689" spans="1:16" x14ac:dyDescent="0.25">
      <c r="A1689">
        <v>20107</v>
      </c>
      <c r="B1689" t="s">
        <v>1543</v>
      </c>
      <c r="C1689" t="s">
        <v>1476</v>
      </c>
      <c r="D1689">
        <v>193</v>
      </c>
      <c r="E1689">
        <v>44</v>
      </c>
      <c r="F1689">
        <v>23</v>
      </c>
      <c r="G1689">
        <v>24</v>
      </c>
      <c r="H1689">
        <v>65</v>
      </c>
      <c r="I1689">
        <v>37</v>
      </c>
      <c r="J1689">
        <v>37</v>
      </c>
      <c r="K1689">
        <v>62</v>
      </c>
      <c r="L1689">
        <v>94</v>
      </c>
      <c r="M1689">
        <v>181</v>
      </c>
      <c r="N1689">
        <v>12</v>
      </c>
      <c r="O1689" t="s">
        <v>1628</v>
      </c>
      <c r="P1689" s="1" t="b">
        <f>NOT(OR(Table1[[#This Row],[State]]="Other Foreign Countries", Table1[[#This Row],[State]]="Unknown", Table1[[#This Row],[State]]="Puerto Rico all counties"))</f>
        <v>1</v>
      </c>
    </row>
    <row r="1690" spans="1:16" x14ac:dyDescent="0.25">
      <c r="A1690">
        <v>29115</v>
      </c>
      <c r="B1690" t="s">
        <v>2510</v>
      </c>
      <c r="C1690" t="s">
        <v>1476</v>
      </c>
      <c r="D1690">
        <v>298</v>
      </c>
      <c r="E1690">
        <v>85</v>
      </c>
      <c r="F1690">
        <v>34</v>
      </c>
      <c r="G1690">
        <v>36</v>
      </c>
      <c r="H1690">
        <v>94</v>
      </c>
      <c r="I1690">
        <v>49</v>
      </c>
      <c r="J1690">
        <v>60</v>
      </c>
      <c r="K1690">
        <v>75</v>
      </c>
      <c r="L1690">
        <v>163</v>
      </c>
      <c r="M1690">
        <v>283</v>
      </c>
      <c r="N1690">
        <v>15</v>
      </c>
      <c r="O1690" t="s">
        <v>2585</v>
      </c>
      <c r="P1690" s="1" t="b">
        <f>NOT(OR(Table1[[#This Row],[State]]="Other Foreign Countries", Table1[[#This Row],[State]]="Unknown", Table1[[#This Row],[State]]="Puerto Rico all counties"))</f>
        <v>1</v>
      </c>
    </row>
    <row r="1691" spans="1:16" x14ac:dyDescent="0.25">
      <c r="A1691">
        <v>41043</v>
      </c>
      <c r="B1691" t="s">
        <v>2607</v>
      </c>
      <c r="C1691" t="s">
        <v>1476</v>
      </c>
      <c r="D1691">
        <v>3618</v>
      </c>
      <c r="E1691">
        <v>787</v>
      </c>
      <c r="F1691">
        <v>456</v>
      </c>
      <c r="G1691">
        <v>487</v>
      </c>
      <c r="H1691" s="1">
        <v>1131</v>
      </c>
      <c r="I1691">
        <v>757</v>
      </c>
      <c r="J1691">
        <v>995</v>
      </c>
      <c r="K1691" s="1">
        <v>1000</v>
      </c>
      <c r="L1691" s="1">
        <v>1623</v>
      </c>
      <c r="M1691" s="1">
        <v>3243</v>
      </c>
      <c r="N1691">
        <v>374</v>
      </c>
      <c r="O1691" t="s">
        <v>3643</v>
      </c>
      <c r="P1691" s="1" t="b">
        <f>NOT(OR(Table1[[#This Row],[State]]="Other Foreign Countries", Table1[[#This Row],[State]]="Unknown", Table1[[#This Row],[State]]="Puerto Rico all counties"))</f>
        <v>1</v>
      </c>
    </row>
    <row r="1692" spans="1:16" x14ac:dyDescent="0.25">
      <c r="A1692">
        <v>48295</v>
      </c>
      <c r="B1692" t="s">
        <v>2654</v>
      </c>
      <c r="C1692" t="s">
        <v>4309</v>
      </c>
      <c r="D1692">
        <v>40</v>
      </c>
      <c r="E1692">
        <v>10</v>
      </c>
      <c r="L1692">
        <v>23</v>
      </c>
      <c r="O1692" t="s">
        <v>4310</v>
      </c>
      <c r="P1692" s="1" t="b">
        <f>NOT(OR(Table1[[#This Row],[State]]="Other Foreign Countries", Table1[[#This Row],[State]]="Unknown", Table1[[#This Row],[State]]="Puerto Rico all counties"))</f>
        <v>1</v>
      </c>
    </row>
    <row r="1693" spans="1:16" x14ac:dyDescent="0.25">
      <c r="A1693">
        <v>5081</v>
      </c>
      <c r="B1693" t="s">
        <v>242</v>
      </c>
      <c r="C1693" t="s">
        <v>312</v>
      </c>
      <c r="D1693">
        <v>244</v>
      </c>
      <c r="E1693">
        <v>50</v>
      </c>
      <c r="F1693">
        <v>24</v>
      </c>
      <c r="G1693">
        <v>26</v>
      </c>
      <c r="H1693">
        <v>76</v>
      </c>
      <c r="I1693">
        <v>68</v>
      </c>
      <c r="J1693">
        <v>60</v>
      </c>
      <c r="K1693">
        <v>70</v>
      </c>
      <c r="L1693">
        <v>114</v>
      </c>
      <c r="M1693">
        <v>219</v>
      </c>
      <c r="N1693">
        <v>25</v>
      </c>
      <c r="O1693" t="s">
        <v>313</v>
      </c>
      <c r="P1693" s="1" t="b">
        <f>NOT(OR(Table1[[#This Row],[State]]="Other Foreign Countries", Table1[[#This Row],[State]]="Unknown", Table1[[#This Row],[State]]="Puerto Rico all counties"))</f>
        <v>1</v>
      </c>
    </row>
    <row r="1694" spans="1:16" x14ac:dyDescent="0.25">
      <c r="A1694">
        <v>48297</v>
      </c>
      <c r="B1694" t="s">
        <v>2654</v>
      </c>
      <c r="C1694" t="s">
        <v>4311</v>
      </c>
      <c r="D1694">
        <v>295</v>
      </c>
      <c r="E1694">
        <v>51</v>
      </c>
      <c r="F1694">
        <v>32</v>
      </c>
      <c r="G1694">
        <v>31</v>
      </c>
      <c r="H1694">
        <v>105</v>
      </c>
      <c r="I1694">
        <v>76</v>
      </c>
      <c r="J1694">
        <v>60</v>
      </c>
      <c r="K1694">
        <v>90</v>
      </c>
      <c r="L1694">
        <v>145</v>
      </c>
      <c r="M1694">
        <v>272</v>
      </c>
      <c r="N1694">
        <v>23</v>
      </c>
      <c r="O1694" t="s">
        <v>4312</v>
      </c>
      <c r="P1694" s="1" t="b">
        <f>NOT(OR(Table1[[#This Row],[State]]="Other Foreign Countries", Table1[[#This Row],[State]]="Unknown", Table1[[#This Row],[State]]="Puerto Rico all counties"))</f>
        <v>1</v>
      </c>
    </row>
    <row r="1695" spans="1:16" x14ac:dyDescent="0.25">
      <c r="A1695">
        <v>17105</v>
      </c>
      <c r="B1695" t="s">
        <v>1109</v>
      </c>
      <c r="C1695" t="s">
        <v>1189</v>
      </c>
      <c r="D1695">
        <v>485</v>
      </c>
      <c r="E1695">
        <v>101</v>
      </c>
      <c r="F1695">
        <v>48</v>
      </c>
      <c r="G1695">
        <v>63</v>
      </c>
      <c r="H1695">
        <v>160</v>
      </c>
      <c r="I1695">
        <v>113</v>
      </c>
      <c r="J1695">
        <v>149</v>
      </c>
      <c r="K1695">
        <v>133</v>
      </c>
      <c r="L1695">
        <v>203</v>
      </c>
      <c r="M1695">
        <v>441</v>
      </c>
      <c r="N1695">
        <v>44</v>
      </c>
      <c r="O1695" t="s">
        <v>1190</v>
      </c>
      <c r="P1695" s="1" t="b">
        <f>NOT(OR(Table1[[#This Row],[State]]="Other Foreign Countries", Table1[[#This Row],[State]]="Unknown", Table1[[#This Row],[State]]="Puerto Rico all counties"))</f>
        <v>1</v>
      </c>
    </row>
    <row r="1696" spans="1:16" x14ac:dyDescent="0.25">
      <c r="A1696">
        <v>21139</v>
      </c>
      <c r="B1696" t="s">
        <v>1716</v>
      </c>
      <c r="C1696" t="s">
        <v>1189</v>
      </c>
      <c r="D1696">
        <v>162</v>
      </c>
      <c r="E1696">
        <v>32</v>
      </c>
      <c r="F1696">
        <v>21</v>
      </c>
      <c r="G1696">
        <v>16</v>
      </c>
      <c r="H1696">
        <v>50</v>
      </c>
      <c r="I1696">
        <v>43</v>
      </c>
      <c r="J1696">
        <v>35</v>
      </c>
      <c r="K1696">
        <v>56</v>
      </c>
      <c r="L1696">
        <v>71</v>
      </c>
      <c r="M1696">
        <v>147</v>
      </c>
      <c r="N1696">
        <v>15</v>
      </c>
      <c r="O1696" t="s">
        <v>1821</v>
      </c>
      <c r="P1696" s="1" t="b">
        <f>NOT(OR(Table1[[#This Row],[State]]="Other Foreign Countries", Table1[[#This Row],[State]]="Unknown", Table1[[#This Row],[State]]="Puerto Rico all counties"))</f>
        <v>1</v>
      </c>
    </row>
    <row r="1697" spans="1:16" x14ac:dyDescent="0.25">
      <c r="A1697">
        <v>22063</v>
      </c>
      <c r="B1697" t="s">
        <v>1892</v>
      </c>
      <c r="C1697" t="s">
        <v>1189</v>
      </c>
      <c r="D1697">
        <v>2417</v>
      </c>
      <c r="E1697">
        <v>446</v>
      </c>
      <c r="F1697">
        <v>234</v>
      </c>
      <c r="G1697">
        <v>327</v>
      </c>
      <c r="H1697">
        <v>797</v>
      </c>
      <c r="I1697">
        <v>613</v>
      </c>
      <c r="J1697">
        <v>846</v>
      </c>
      <c r="K1697">
        <v>801</v>
      </c>
      <c r="L1697">
        <v>770</v>
      </c>
      <c r="M1697" s="1">
        <v>2150</v>
      </c>
      <c r="N1697">
        <v>267</v>
      </c>
      <c r="O1697" t="s">
        <v>1946</v>
      </c>
      <c r="P1697" s="1" t="b">
        <f>NOT(OR(Table1[[#This Row],[State]]="Other Foreign Countries", Table1[[#This Row],[State]]="Unknown", Table1[[#This Row],[State]]="Puerto Rico all counties"))</f>
        <v>1</v>
      </c>
    </row>
    <row r="1698" spans="1:16" x14ac:dyDescent="0.25">
      <c r="A1698">
        <v>26093</v>
      </c>
      <c r="B1698" t="s">
        <v>2099</v>
      </c>
      <c r="C1698" t="s">
        <v>1189</v>
      </c>
      <c r="D1698">
        <v>3292</v>
      </c>
      <c r="E1698">
        <v>776</v>
      </c>
      <c r="F1698">
        <v>403</v>
      </c>
      <c r="G1698">
        <v>381</v>
      </c>
      <c r="H1698">
        <v>858</v>
      </c>
      <c r="I1698">
        <v>874</v>
      </c>
      <c r="J1698">
        <v>911</v>
      </c>
      <c r="K1698">
        <v>830</v>
      </c>
      <c r="L1698" s="1">
        <v>1551</v>
      </c>
      <c r="M1698" s="1">
        <v>3069</v>
      </c>
      <c r="N1698">
        <v>221</v>
      </c>
      <c r="O1698" t="s">
        <v>2180</v>
      </c>
      <c r="P1698" s="1" t="b">
        <f>NOT(OR(Table1[[#This Row],[State]]="Other Foreign Countries", Table1[[#This Row],[State]]="Unknown", Table1[[#This Row],[State]]="Puerto Rico all counties"))</f>
        <v>1</v>
      </c>
    </row>
    <row r="1699" spans="1:16" x14ac:dyDescent="0.25">
      <c r="A1699">
        <v>29117</v>
      </c>
      <c r="B1699" t="s">
        <v>2510</v>
      </c>
      <c r="C1699" t="s">
        <v>1189</v>
      </c>
      <c r="D1699">
        <v>289</v>
      </c>
      <c r="E1699">
        <v>68</v>
      </c>
      <c r="F1699">
        <v>30</v>
      </c>
      <c r="G1699">
        <v>42</v>
      </c>
      <c r="H1699">
        <v>98</v>
      </c>
      <c r="I1699">
        <v>51</v>
      </c>
      <c r="J1699">
        <v>86</v>
      </c>
      <c r="K1699">
        <v>76</v>
      </c>
      <c r="L1699">
        <v>127</v>
      </c>
      <c r="M1699">
        <v>266</v>
      </c>
      <c r="N1699">
        <v>23</v>
      </c>
      <c r="O1699" t="s">
        <v>2586</v>
      </c>
      <c r="P1699" s="1" t="b">
        <f>NOT(OR(Table1[[#This Row],[State]]="Other Foreign Countries", Table1[[#This Row],[State]]="Unknown", Table1[[#This Row],[State]]="Puerto Rico all counties"))</f>
        <v>1</v>
      </c>
    </row>
    <row r="1700" spans="1:16" x14ac:dyDescent="0.25">
      <c r="A1700">
        <v>36051</v>
      </c>
      <c r="B1700" t="s">
        <v>3029</v>
      </c>
      <c r="C1700" t="s">
        <v>1189</v>
      </c>
      <c r="D1700">
        <v>885</v>
      </c>
      <c r="E1700">
        <v>213</v>
      </c>
      <c r="F1700">
        <v>109</v>
      </c>
      <c r="G1700">
        <v>131</v>
      </c>
      <c r="H1700">
        <v>261</v>
      </c>
      <c r="I1700">
        <v>171</v>
      </c>
      <c r="J1700">
        <v>221</v>
      </c>
      <c r="K1700">
        <v>231</v>
      </c>
      <c r="L1700">
        <v>433</v>
      </c>
      <c r="M1700">
        <v>805</v>
      </c>
      <c r="N1700">
        <v>80</v>
      </c>
      <c r="O1700" t="s">
        <v>3066</v>
      </c>
      <c r="P1700" s="1" t="b">
        <f>NOT(OR(Table1[[#This Row],[State]]="Other Foreign Countries", Table1[[#This Row],[State]]="Unknown", Table1[[#This Row],[State]]="Puerto Rico all counties"))</f>
        <v>1</v>
      </c>
    </row>
    <row r="1701" spans="1:16" x14ac:dyDescent="0.25">
      <c r="A1701">
        <v>48299</v>
      </c>
      <c r="B1701" t="s">
        <v>2654</v>
      </c>
      <c r="C1701" t="s">
        <v>4313</v>
      </c>
      <c r="D1701">
        <v>569</v>
      </c>
      <c r="E1701">
        <v>127</v>
      </c>
      <c r="F1701">
        <v>58</v>
      </c>
      <c r="G1701">
        <v>76</v>
      </c>
      <c r="H1701">
        <v>167</v>
      </c>
      <c r="I1701">
        <v>141</v>
      </c>
      <c r="J1701">
        <v>96</v>
      </c>
      <c r="K1701">
        <v>174</v>
      </c>
      <c r="L1701">
        <v>299</v>
      </c>
      <c r="M1701">
        <v>510</v>
      </c>
      <c r="N1701">
        <v>59</v>
      </c>
      <c r="O1701" t="s">
        <v>4314</v>
      </c>
      <c r="P1701" s="1" t="b">
        <f>NOT(OR(Table1[[#This Row],[State]]="Other Foreign Countries", Table1[[#This Row],[State]]="Unknown", Table1[[#This Row],[State]]="Puerto Rico all counties"))</f>
        <v>1</v>
      </c>
    </row>
    <row r="1702" spans="1:16" x14ac:dyDescent="0.25">
      <c r="A1702">
        <v>5083</v>
      </c>
      <c r="B1702" t="s">
        <v>242</v>
      </c>
      <c r="C1702" t="s">
        <v>314</v>
      </c>
      <c r="D1702">
        <v>529</v>
      </c>
      <c r="E1702">
        <v>77</v>
      </c>
      <c r="F1702">
        <v>49</v>
      </c>
      <c r="G1702">
        <v>71</v>
      </c>
      <c r="H1702">
        <v>179</v>
      </c>
      <c r="I1702">
        <v>153</v>
      </c>
      <c r="J1702">
        <v>120</v>
      </c>
      <c r="K1702">
        <v>186</v>
      </c>
      <c r="L1702">
        <v>223</v>
      </c>
      <c r="M1702">
        <v>489</v>
      </c>
      <c r="N1702">
        <v>40</v>
      </c>
      <c r="O1702" t="s">
        <v>315</v>
      </c>
      <c r="P1702" s="1" t="b">
        <f>NOT(OR(Table1[[#This Row],[State]]="Other Foreign Countries", Table1[[#This Row],[State]]="Unknown", Table1[[#This Row],[State]]="Puerto Rico all counties"))</f>
        <v>1</v>
      </c>
    </row>
    <row r="1703" spans="1:16" x14ac:dyDescent="0.25">
      <c r="A1703">
        <v>8075</v>
      </c>
      <c r="B1703" t="s">
        <v>489</v>
      </c>
      <c r="C1703" t="s">
        <v>314</v>
      </c>
      <c r="D1703">
        <v>348</v>
      </c>
      <c r="E1703">
        <v>101</v>
      </c>
      <c r="F1703">
        <v>42</v>
      </c>
      <c r="G1703">
        <v>53</v>
      </c>
      <c r="H1703">
        <v>86</v>
      </c>
      <c r="I1703">
        <v>66</v>
      </c>
      <c r="J1703">
        <v>77</v>
      </c>
      <c r="K1703">
        <v>103</v>
      </c>
      <c r="L1703">
        <v>168</v>
      </c>
      <c r="M1703">
        <v>317</v>
      </c>
      <c r="N1703">
        <v>31</v>
      </c>
      <c r="O1703" t="s">
        <v>562</v>
      </c>
      <c r="P1703" s="1" t="b">
        <f>NOT(OR(Table1[[#This Row],[State]]="Other Foreign Countries", Table1[[#This Row],[State]]="Unknown", Table1[[#This Row],[State]]="Puerto Rico all counties"))</f>
        <v>1</v>
      </c>
    </row>
    <row r="1704" spans="1:16" x14ac:dyDescent="0.25">
      <c r="A1704">
        <v>17107</v>
      </c>
      <c r="B1704" t="s">
        <v>1109</v>
      </c>
      <c r="C1704" t="s">
        <v>314</v>
      </c>
      <c r="D1704">
        <v>417</v>
      </c>
      <c r="E1704">
        <v>85</v>
      </c>
      <c r="F1704">
        <v>55</v>
      </c>
      <c r="G1704">
        <v>41</v>
      </c>
      <c r="H1704">
        <v>132</v>
      </c>
      <c r="I1704">
        <v>104</v>
      </c>
      <c r="J1704">
        <v>138</v>
      </c>
      <c r="K1704">
        <v>114</v>
      </c>
      <c r="L1704">
        <v>165</v>
      </c>
      <c r="M1704">
        <v>377</v>
      </c>
      <c r="N1704">
        <v>40</v>
      </c>
      <c r="O1704" t="s">
        <v>1191</v>
      </c>
      <c r="P1704" s="1" t="b">
        <f>NOT(OR(Table1[[#This Row],[State]]="Other Foreign Countries", Table1[[#This Row],[State]]="Unknown", Table1[[#This Row],[State]]="Puerto Rico all counties"))</f>
        <v>1</v>
      </c>
    </row>
    <row r="1705" spans="1:16" x14ac:dyDescent="0.25">
      <c r="A1705">
        <v>20109</v>
      </c>
      <c r="B1705" t="s">
        <v>1543</v>
      </c>
      <c r="C1705" t="s">
        <v>314</v>
      </c>
      <c r="D1705">
        <v>46</v>
      </c>
      <c r="E1705">
        <v>12</v>
      </c>
      <c r="H1705">
        <v>14</v>
      </c>
      <c r="L1705">
        <v>23</v>
      </c>
      <c r="O1705" t="s">
        <v>1629</v>
      </c>
      <c r="P1705" s="1" t="b">
        <f>NOT(OR(Table1[[#This Row],[State]]="Other Foreign Countries", Table1[[#This Row],[State]]="Unknown", Table1[[#This Row],[State]]="Puerto Rico all counties"))</f>
        <v>1</v>
      </c>
    </row>
    <row r="1706" spans="1:16" x14ac:dyDescent="0.25">
      <c r="A1706">
        <v>21141</v>
      </c>
      <c r="B1706" t="s">
        <v>1716</v>
      </c>
      <c r="C1706" t="s">
        <v>314</v>
      </c>
      <c r="D1706">
        <v>514</v>
      </c>
      <c r="E1706">
        <v>112</v>
      </c>
      <c r="F1706">
        <v>47</v>
      </c>
      <c r="G1706">
        <v>61</v>
      </c>
      <c r="H1706">
        <v>149</v>
      </c>
      <c r="I1706">
        <v>145</v>
      </c>
      <c r="J1706">
        <v>145</v>
      </c>
      <c r="K1706">
        <v>156</v>
      </c>
      <c r="L1706">
        <v>213</v>
      </c>
      <c r="M1706">
        <v>465</v>
      </c>
      <c r="N1706">
        <v>49</v>
      </c>
      <c r="O1706" t="s">
        <v>1822</v>
      </c>
      <c r="P1706" s="1" t="b">
        <f>NOT(OR(Table1[[#This Row],[State]]="Other Foreign Countries", Table1[[#This Row],[State]]="Unknown", Table1[[#This Row],[State]]="Puerto Rico all counties"))</f>
        <v>1</v>
      </c>
    </row>
    <row r="1707" spans="1:16" x14ac:dyDescent="0.25">
      <c r="A1707">
        <v>31113</v>
      </c>
      <c r="B1707" t="s">
        <v>2758</v>
      </c>
      <c r="C1707" t="s">
        <v>314</v>
      </c>
      <c r="D1707">
        <v>26</v>
      </c>
      <c r="L1707">
        <v>10</v>
      </c>
      <c r="O1707" t="s">
        <v>2841</v>
      </c>
      <c r="P1707" s="1" t="b">
        <f>NOT(OR(Table1[[#This Row],[State]]="Other Foreign Countries", Table1[[#This Row],[State]]="Unknown", Table1[[#This Row],[State]]="Puerto Rico all counties"))</f>
        <v>1</v>
      </c>
    </row>
    <row r="1708" spans="1:16" x14ac:dyDescent="0.25">
      <c r="A1708">
        <v>38047</v>
      </c>
      <c r="B1708" t="s">
        <v>3286</v>
      </c>
      <c r="C1708" t="s">
        <v>314</v>
      </c>
      <c r="D1708">
        <v>28</v>
      </c>
      <c r="H1708">
        <v>12</v>
      </c>
      <c r="L1708">
        <v>15</v>
      </c>
      <c r="O1708" t="s">
        <v>3327</v>
      </c>
      <c r="P1708" s="1" t="b">
        <f>NOT(OR(Table1[[#This Row],[State]]="Other Foreign Countries", Table1[[#This Row],[State]]="Unknown", Table1[[#This Row],[State]]="Puerto Rico all counties"))</f>
        <v>1</v>
      </c>
    </row>
    <row r="1709" spans="1:16" x14ac:dyDescent="0.25">
      <c r="A1709">
        <v>39091</v>
      </c>
      <c r="B1709" t="s">
        <v>1343</v>
      </c>
      <c r="C1709" t="s">
        <v>314</v>
      </c>
      <c r="D1709">
        <v>795</v>
      </c>
      <c r="E1709">
        <v>218</v>
      </c>
      <c r="F1709">
        <v>116</v>
      </c>
      <c r="G1709">
        <v>115</v>
      </c>
      <c r="H1709">
        <v>194</v>
      </c>
      <c r="I1709">
        <v>152</v>
      </c>
      <c r="J1709">
        <v>208</v>
      </c>
      <c r="K1709">
        <v>217</v>
      </c>
      <c r="L1709">
        <v>370</v>
      </c>
      <c r="M1709">
        <v>720</v>
      </c>
      <c r="N1709">
        <v>75</v>
      </c>
      <c r="O1709" t="s">
        <v>3434</v>
      </c>
      <c r="P1709" s="1" t="b">
        <f>NOT(OR(Table1[[#This Row],[State]]="Other Foreign Countries", Table1[[#This Row],[State]]="Unknown", Table1[[#This Row],[State]]="Puerto Rico all counties"))</f>
        <v>1</v>
      </c>
    </row>
    <row r="1710" spans="1:16" x14ac:dyDescent="0.25">
      <c r="A1710">
        <v>40083</v>
      </c>
      <c r="B1710" t="s">
        <v>3495</v>
      </c>
      <c r="C1710" t="s">
        <v>314</v>
      </c>
      <c r="D1710">
        <v>1834</v>
      </c>
      <c r="E1710">
        <v>252</v>
      </c>
      <c r="F1710">
        <v>162</v>
      </c>
      <c r="G1710">
        <v>180</v>
      </c>
      <c r="H1710">
        <v>565</v>
      </c>
      <c r="I1710">
        <v>675</v>
      </c>
      <c r="J1710">
        <v>506</v>
      </c>
      <c r="K1710">
        <v>706</v>
      </c>
      <c r="L1710">
        <v>622</v>
      </c>
      <c r="M1710" s="1">
        <v>1626</v>
      </c>
      <c r="N1710">
        <v>208</v>
      </c>
      <c r="O1710" t="s">
        <v>3556</v>
      </c>
      <c r="P1710" s="1" t="b">
        <f>NOT(OR(Table1[[#This Row],[State]]="Other Foreign Countries", Table1[[#This Row],[State]]="Unknown", Table1[[#This Row],[State]]="Puerto Rico all counties"))</f>
        <v>1</v>
      </c>
    </row>
    <row r="1711" spans="1:16" x14ac:dyDescent="0.25">
      <c r="A1711">
        <v>54045</v>
      </c>
      <c r="B1711" t="s">
        <v>4833</v>
      </c>
      <c r="C1711" t="s">
        <v>314</v>
      </c>
      <c r="D1711">
        <v>545</v>
      </c>
      <c r="E1711">
        <v>103</v>
      </c>
      <c r="F1711">
        <v>36</v>
      </c>
      <c r="G1711">
        <v>63</v>
      </c>
      <c r="H1711">
        <v>185</v>
      </c>
      <c r="I1711">
        <v>158</v>
      </c>
      <c r="J1711">
        <v>70</v>
      </c>
      <c r="K1711">
        <v>159</v>
      </c>
      <c r="L1711">
        <v>316</v>
      </c>
      <c r="M1711">
        <v>525</v>
      </c>
      <c r="N1711">
        <v>20</v>
      </c>
      <c r="O1711" t="s">
        <v>4863</v>
      </c>
      <c r="P1711" s="1" t="b">
        <f>NOT(OR(Table1[[#This Row],[State]]="Other Foreign Countries", Table1[[#This Row],[State]]="Unknown", Table1[[#This Row],[State]]="Puerto Rico all counties"))</f>
        <v>1</v>
      </c>
    </row>
    <row r="1712" spans="1:16" x14ac:dyDescent="0.25">
      <c r="A1712">
        <v>13183</v>
      </c>
      <c r="B1712" t="s">
        <v>754</v>
      </c>
      <c r="C1712" t="s">
        <v>908</v>
      </c>
      <c r="D1712">
        <v>2161</v>
      </c>
      <c r="E1712">
        <v>116</v>
      </c>
      <c r="F1712">
        <v>109</v>
      </c>
      <c r="G1712">
        <v>154</v>
      </c>
      <c r="H1712">
        <v>659</v>
      </c>
      <c r="I1712" s="1">
        <v>1123</v>
      </c>
      <c r="J1712" s="1">
        <v>1054</v>
      </c>
      <c r="K1712">
        <v>829</v>
      </c>
      <c r="L1712">
        <v>278</v>
      </c>
      <c r="M1712" s="1">
        <v>1629</v>
      </c>
      <c r="N1712">
        <v>532</v>
      </c>
      <c r="O1712" t="s">
        <v>909</v>
      </c>
      <c r="P1712" s="1" t="b">
        <f>NOT(OR(Table1[[#This Row],[State]]="Other Foreign Countries", Table1[[#This Row],[State]]="Unknown", Table1[[#This Row],[State]]="Puerto Rico all counties"))</f>
        <v>1</v>
      </c>
    </row>
    <row r="1713" spans="1:16" x14ac:dyDescent="0.25">
      <c r="A1713">
        <v>5085</v>
      </c>
      <c r="B1713" t="s">
        <v>242</v>
      </c>
      <c r="C1713" t="s">
        <v>316</v>
      </c>
      <c r="D1713">
        <v>3598</v>
      </c>
      <c r="E1713">
        <v>455</v>
      </c>
      <c r="F1713">
        <v>319</v>
      </c>
      <c r="G1713">
        <v>416</v>
      </c>
      <c r="H1713" s="1">
        <v>1227</v>
      </c>
      <c r="I1713" s="1">
        <v>1181</v>
      </c>
      <c r="J1713" s="1">
        <v>1004</v>
      </c>
      <c r="K1713" s="1">
        <v>1571</v>
      </c>
      <c r="L1713" s="1">
        <v>1023</v>
      </c>
      <c r="M1713" s="1">
        <v>3122</v>
      </c>
      <c r="N1713">
        <v>476</v>
      </c>
      <c r="O1713" t="s">
        <v>317</v>
      </c>
      <c r="P1713" s="1" t="b">
        <f>NOT(OR(Table1[[#This Row],[State]]="Other Foreign Countries", Table1[[#This Row],[State]]="Unknown", Table1[[#This Row],[State]]="Puerto Rico all counties"))</f>
        <v>1</v>
      </c>
    </row>
    <row r="1714" spans="1:16" x14ac:dyDescent="0.25">
      <c r="A1714">
        <v>39093</v>
      </c>
      <c r="B1714" t="s">
        <v>1343</v>
      </c>
      <c r="C1714" t="s">
        <v>3435</v>
      </c>
      <c r="D1714">
        <v>5575</v>
      </c>
      <c r="E1714" s="1">
        <v>1335</v>
      </c>
      <c r="F1714">
        <v>738</v>
      </c>
      <c r="G1714">
        <v>715</v>
      </c>
      <c r="H1714" s="1">
        <v>1579</v>
      </c>
      <c r="I1714" s="1">
        <v>1208</v>
      </c>
      <c r="J1714" s="1">
        <v>1530</v>
      </c>
      <c r="K1714" s="1">
        <v>1727</v>
      </c>
      <c r="L1714" s="1">
        <v>2318</v>
      </c>
      <c r="M1714" s="1">
        <v>4997</v>
      </c>
      <c r="N1714">
        <v>577</v>
      </c>
      <c r="O1714" t="s">
        <v>3436</v>
      </c>
      <c r="P1714" s="1" t="b">
        <f>NOT(OR(Table1[[#This Row],[State]]="Other Foreign Countries", Table1[[#This Row],[State]]="Unknown", Table1[[#This Row],[State]]="Puerto Rico all counties"))</f>
        <v>1</v>
      </c>
    </row>
    <row r="1715" spans="1:16" x14ac:dyDescent="0.25">
      <c r="A1715">
        <v>35028</v>
      </c>
      <c r="B1715" t="s">
        <v>2971</v>
      </c>
      <c r="C1715" t="s">
        <v>2999</v>
      </c>
      <c r="D1715">
        <v>340</v>
      </c>
      <c r="E1715">
        <v>74</v>
      </c>
      <c r="F1715">
        <v>40</v>
      </c>
      <c r="G1715">
        <v>36</v>
      </c>
      <c r="H1715">
        <v>109</v>
      </c>
      <c r="I1715">
        <v>81</v>
      </c>
      <c r="J1715">
        <v>150</v>
      </c>
      <c r="K1715">
        <v>114</v>
      </c>
      <c r="L1715">
        <v>76</v>
      </c>
      <c r="M1715">
        <v>309</v>
      </c>
      <c r="N1715">
        <v>31</v>
      </c>
      <c r="O1715" t="s">
        <v>3000</v>
      </c>
      <c r="P1715" s="1" t="b">
        <f>NOT(OR(Table1[[#This Row],[State]]="Other Foreign Countries", Table1[[#This Row],[State]]="Unknown", Table1[[#This Row],[State]]="Puerto Rico all counties"))</f>
        <v>1</v>
      </c>
    </row>
    <row r="1716" spans="1:16" x14ac:dyDescent="0.25">
      <c r="A1716">
        <v>6037</v>
      </c>
      <c r="B1716" t="s">
        <v>374</v>
      </c>
      <c r="C1716" t="s">
        <v>411</v>
      </c>
      <c r="D1716">
        <v>73230</v>
      </c>
      <c r="E1716" s="1">
        <v>14766</v>
      </c>
      <c r="F1716" s="1">
        <v>6642</v>
      </c>
      <c r="G1716" s="1">
        <v>7628</v>
      </c>
      <c r="H1716" s="1">
        <v>23053</v>
      </c>
      <c r="I1716" s="1">
        <v>21141</v>
      </c>
      <c r="J1716" s="1">
        <v>27690</v>
      </c>
      <c r="K1716" s="1">
        <v>21670</v>
      </c>
      <c r="L1716" s="1">
        <v>23870</v>
      </c>
      <c r="M1716" s="1">
        <v>65647</v>
      </c>
      <c r="N1716" s="1">
        <v>7568</v>
      </c>
      <c r="O1716" t="s">
        <v>412</v>
      </c>
      <c r="P1716" s="1" t="b">
        <f>NOT(OR(Table1[[#This Row],[State]]="Other Foreign Countries", Table1[[#This Row],[State]]="Unknown", Table1[[#This Row],[State]]="Puerto Rico all counties"))</f>
        <v>1</v>
      </c>
    </row>
    <row r="1717" spans="1:16" x14ac:dyDescent="0.25">
      <c r="A1717">
        <v>47105</v>
      </c>
      <c r="B1717" t="s">
        <v>3951</v>
      </c>
      <c r="C1717" t="s">
        <v>4017</v>
      </c>
      <c r="D1717">
        <v>1689</v>
      </c>
      <c r="E1717">
        <v>475</v>
      </c>
      <c r="F1717">
        <v>206</v>
      </c>
      <c r="G1717">
        <v>203</v>
      </c>
      <c r="H1717">
        <v>415</v>
      </c>
      <c r="I1717">
        <v>390</v>
      </c>
      <c r="J1717">
        <v>279</v>
      </c>
      <c r="K1717">
        <v>510</v>
      </c>
      <c r="L1717">
        <v>900</v>
      </c>
      <c r="M1717" s="1">
        <v>1532</v>
      </c>
      <c r="N1717">
        <v>157</v>
      </c>
      <c r="O1717" t="s">
        <v>4018</v>
      </c>
      <c r="P1717" s="1" t="b">
        <f>NOT(OR(Table1[[#This Row],[State]]="Other Foreign Countries", Table1[[#This Row],[State]]="Unknown", Table1[[#This Row],[State]]="Puerto Rico all counties"))</f>
        <v>1</v>
      </c>
    </row>
    <row r="1718" spans="1:16" x14ac:dyDescent="0.25">
      <c r="A1718">
        <v>51107</v>
      </c>
      <c r="B1718" t="s">
        <v>4555</v>
      </c>
      <c r="C1718" t="s">
        <v>4634</v>
      </c>
      <c r="D1718">
        <v>8346</v>
      </c>
      <c r="E1718" s="1">
        <v>1454</v>
      </c>
      <c r="F1718">
        <v>990</v>
      </c>
      <c r="G1718">
        <v>975</v>
      </c>
      <c r="H1718" s="1">
        <v>2227</v>
      </c>
      <c r="I1718" s="1">
        <v>2700</v>
      </c>
      <c r="J1718" s="1">
        <v>2759</v>
      </c>
      <c r="K1718" s="1">
        <v>3991</v>
      </c>
      <c r="L1718" s="1">
        <v>1596</v>
      </c>
      <c r="M1718" s="1">
        <v>7111</v>
      </c>
      <c r="N1718" s="1">
        <v>1233</v>
      </c>
      <c r="O1718" t="s">
        <v>4635</v>
      </c>
      <c r="P1718" s="1" t="b">
        <f>NOT(OR(Table1[[#This Row],[State]]="Other Foreign Countries", Table1[[#This Row],[State]]="Unknown", Table1[[#This Row],[State]]="Puerto Rico all counties"))</f>
        <v>1</v>
      </c>
    </row>
    <row r="1719" spans="1:16" x14ac:dyDescent="0.25">
      <c r="A1719">
        <v>19115</v>
      </c>
      <c r="B1719" t="s">
        <v>1399</v>
      </c>
      <c r="C1719" t="s">
        <v>1478</v>
      </c>
      <c r="D1719">
        <v>146</v>
      </c>
      <c r="E1719">
        <v>26</v>
      </c>
      <c r="F1719">
        <v>18</v>
      </c>
      <c r="G1719">
        <v>33</v>
      </c>
      <c r="H1719">
        <v>43</v>
      </c>
      <c r="I1719">
        <v>26</v>
      </c>
      <c r="J1719">
        <v>24</v>
      </c>
      <c r="K1719">
        <v>42</v>
      </c>
      <c r="L1719">
        <v>80</v>
      </c>
      <c r="M1719">
        <v>135</v>
      </c>
      <c r="N1719">
        <v>11</v>
      </c>
      <c r="O1719" t="s">
        <v>1479</v>
      </c>
      <c r="P1719" s="1" t="b">
        <f>NOT(OR(Table1[[#This Row],[State]]="Other Foreign Countries", Table1[[#This Row],[State]]="Unknown", Table1[[#This Row],[State]]="Puerto Rico all counties"))</f>
        <v>1</v>
      </c>
    </row>
    <row r="1720" spans="1:16" x14ac:dyDescent="0.25">
      <c r="A1720">
        <v>51109</v>
      </c>
      <c r="B1720" t="s">
        <v>4555</v>
      </c>
      <c r="C1720" t="s">
        <v>1478</v>
      </c>
      <c r="D1720">
        <v>1071</v>
      </c>
      <c r="E1720">
        <v>210</v>
      </c>
      <c r="F1720">
        <v>121</v>
      </c>
      <c r="G1720">
        <v>129</v>
      </c>
      <c r="H1720">
        <v>311</v>
      </c>
      <c r="I1720">
        <v>300</v>
      </c>
      <c r="J1720">
        <v>304</v>
      </c>
      <c r="K1720">
        <v>345</v>
      </c>
      <c r="L1720">
        <v>422</v>
      </c>
      <c r="M1720">
        <v>918</v>
      </c>
      <c r="N1720">
        <v>153</v>
      </c>
      <c r="O1720" t="s">
        <v>4636</v>
      </c>
      <c r="P1720" s="1" t="b">
        <f>NOT(OR(Table1[[#This Row],[State]]="Other Foreign Countries", Table1[[#This Row],[State]]="Unknown", Table1[[#This Row],[State]]="Puerto Rico all counties"))</f>
        <v>1</v>
      </c>
    </row>
    <row r="1721" spans="1:16" x14ac:dyDescent="0.25">
      <c r="A1721">
        <v>31115</v>
      </c>
      <c r="B1721" t="s">
        <v>2758</v>
      </c>
      <c r="C1721" t="s">
        <v>2842</v>
      </c>
      <c r="D1721">
        <v>31</v>
      </c>
      <c r="O1721" t="s">
        <v>2843</v>
      </c>
      <c r="P1721" s="1" t="b">
        <f>NOT(OR(Table1[[#This Row],[State]]="Other Foreign Countries", Table1[[#This Row],[State]]="Unknown", Table1[[#This Row],[State]]="Puerto Rico all counties"))</f>
        <v>1</v>
      </c>
    </row>
    <row r="1722" spans="1:16" x14ac:dyDescent="0.25">
      <c r="A1722">
        <v>40085</v>
      </c>
      <c r="B1722" t="s">
        <v>3495</v>
      </c>
      <c r="C1722" t="s">
        <v>3557</v>
      </c>
      <c r="D1722">
        <v>243</v>
      </c>
      <c r="E1722">
        <v>54</v>
      </c>
      <c r="F1722">
        <v>24</v>
      </c>
      <c r="G1722">
        <v>25</v>
      </c>
      <c r="H1722">
        <v>76</v>
      </c>
      <c r="I1722">
        <v>64</v>
      </c>
      <c r="J1722">
        <v>43</v>
      </c>
      <c r="K1722">
        <v>77</v>
      </c>
      <c r="L1722">
        <v>123</v>
      </c>
      <c r="M1722">
        <v>225</v>
      </c>
      <c r="N1722">
        <v>18</v>
      </c>
      <c r="O1722" t="s">
        <v>3558</v>
      </c>
      <c r="P1722" s="1" t="b">
        <f>NOT(OR(Table1[[#This Row],[State]]="Other Foreign Countries", Table1[[#This Row],[State]]="Unknown", Table1[[#This Row],[State]]="Puerto Rico all counties"))</f>
        <v>1</v>
      </c>
    </row>
    <row r="1723" spans="1:16" x14ac:dyDescent="0.25">
      <c r="A1723">
        <v>48301</v>
      </c>
      <c r="B1723" t="s">
        <v>2654</v>
      </c>
      <c r="C1723" t="s">
        <v>4315</v>
      </c>
      <c r="O1723" t="s">
        <v>4316</v>
      </c>
      <c r="P1723" s="1" t="b">
        <f>NOT(OR(Table1[[#This Row],[State]]="Other Foreign Countries", Table1[[#This Row],[State]]="Unknown", Table1[[#This Row],[State]]="Puerto Rico all counties"))</f>
        <v>1</v>
      </c>
    </row>
    <row r="1724" spans="1:16" x14ac:dyDescent="0.25">
      <c r="A1724">
        <v>9130</v>
      </c>
      <c r="B1724" t="s">
        <v>609</v>
      </c>
      <c r="C1724" t="s">
        <v>614</v>
      </c>
      <c r="D1724">
        <v>2303</v>
      </c>
      <c r="E1724">
        <v>602</v>
      </c>
      <c r="F1724">
        <v>318</v>
      </c>
      <c r="G1724">
        <v>304</v>
      </c>
      <c r="H1724">
        <v>603</v>
      </c>
      <c r="I1724">
        <v>476</v>
      </c>
      <c r="J1724">
        <v>672</v>
      </c>
      <c r="K1724">
        <v>629</v>
      </c>
      <c r="L1724" s="1">
        <v>1002</v>
      </c>
      <c r="M1724" s="1">
        <v>2090</v>
      </c>
      <c r="N1724">
        <v>213</v>
      </c>
      <c r="O1724" t="s">
        <v>615</v>
      </c>
      <c r="P1724" s="1" t="b">
        <f>NOT(OR(Table1[[#This Row],[State]]="Other Foreign Countries", Table1[[#This Row],[State]]="Unknown", Table1[[#This Row],[State]]="Puerto Rico all counties"))</f>
        <v>1</v>
      </c>
    </row>
    <row r="1725" spans="1:16" x14ac:dyDescent="0.25">
      <c r="A1725">
        <v>1085</v>
      </c>
      <c r="B1725" t="s">
        <v>15</v>
      </c>
      <c r="C1725" t="s">
        <v>100</v>
      </c>
      <c r="D1725">
        <v>329</v>
      </c>
      <c r="E1725">
        <v>40</v>
      </c>
      <c r="F1725">
        <v>25</v>
      </c>
      <c r="G1725">
        <v>35</v>
      </c>
      <c r="H1725">
        <v>104</v>
      </c>
      <c r="I1725">
        <v>125</v>
      </c>
      <c r="J1725">
        <v>78</v>
      </c>
      <c r="K1725">
        <v>123</v>
      </c>
      <c r="L1725">
        <v>127</v>
      </c>
      <c r="M1725">
        <v>264</v>
      </c>
      <c r="N1725">
        <v>64</v>
      </c>
      <c r="O1725" t="s">
        <v>101</v>
      </c>
      <c r="P1725" s="1" t="b">
        <f>NOT(OR(Table1[[#This Row],[State]]="Other Foreign Countries", Table1[[#This Row],[State]]="Unknown", Table1[[#This Row],[State]]="Puerto Rico all counties"))</f>
        <v>1</v>
      </c>
    </row>
    <row r="1726" spans="1:16" x14ac:dyDescent="0.25">
      <c r="A1726">
        <v>13185</v>
      </c>
      <c r="B1726" t="s">
        <v>754</v>
      </c>
      <c r="C1726" t="s">
        <v>100</v>
      </c>
      <c r="D1726">
        <v>4519</v>
      </c>
      <c r="E1726">
        <v>619</v>
      </c>
      <c r="F1726">
        <v>452</v>
      </c>
      <c r="G1726">
        <v>571</v>
      </c>
      <c r="H1726" s="1">
        <v>1405</v>
      </c>
      <c r="I1726" s="1">
        <v>1472</v>
      </c>
      <c r="J1726" s="1">
        <v>1430</v>
      </c>
      <c r="K1726" s="1">
        <v>1761</v>
      </c>
      <c r="L1726" s="1">
        <v>1328</v>
      </c>
      <c r="M1726" s="1">
        <v>3664</v>
      </c>
      <c r="N1726">
        <v>854</v>
      </c>
      <c r="O1726" t="s">
        <v>910</v>
      </c>
      <c r="P1726" s="1" t="b">
        <f>NOT(OR(Table1[[#This Row],[State]]="Other Foreign Countries", Table1[[#This Row],[State]]="Unknown", Table1[[#This Row],[State]]="Puerto Rico all counties"))</f>
        <v>1</v>
      </c>
    </row>
    <row r="1727" spans="1:16" x14ac:dyDescent="0.25">
      <c r="A1727">
        <v>28087</v>
      </c>
      <c r="B1727" t="s">
        <v>322</v>
      </c>
      <c r="C1727" t="s">
        <v>100</v>
      </c>
      <c r="D1727">
        <v>1869</v>
      </c>
      <c r="E1727">
        <v>313</v>
      </c>
      <c r="F1727">
        <v>193</v>
      </c>
      <c r="G1727">
        <v>222</v>
      </c>
      <c r="H1727">
        <v>578</v>
      </c>
      <c r="I1727">
        <v>563</v>
      </c>
      <c r="J1727">
        <v>497</v>
      </c>
      <c r="K1727">
        <v>683</v>
      </c>
      <c r="L1727">
        <v>689</v>
      </c>
      <c r="M1727" s="1">
        <v>1604</v>
      </c>
      <c r="N1727">
        <v>264</v>
      </c>
      <c r="O1727" t="s">
        <v>2453</v>
      </c>
      <c r="P1727" s="1" t="b">
        <f>NOT(OR(Table1[[#This Row],[State]]="Other Foreign Countries", Table1[[#This Row],[State]]="Unknown", Table1[[#This Row],[State]]="Puerto Rico all counties"))</f>
        <v>1</v>
      </c>
    </row>
    <row r="1728" spans="1:16" x14ac:dyDescent="0.25">
      <c r="A1728">
        <v>48303</v>
      </c>
      <c r="B1728" t="s">
        <v>2654</v>
      </c>
      <c r="C1728" t="s">
        <v>4317</v>
      </c>
      <c r="D1728">
        <v>5790</v>
      </c>
      <c r="E1728" s="1">
        <v>1132</v>
      </c>
      <c r="F1728">
        <v>617</v>
      </c>
      <c r="G1728">
        <v>747</v>
      </c>
      <c r="H1728" s="1">
        <v>1799</v>
      </c>
      <c r="I1728" s="1">
        <v>1495</v>
      </c>
      <c r="J1728" s="1">
        <v>1982</v>
      </c>
      <c r="K1728" s="1">
        <v>1812</v>
      </c>
      <c r="L1728" s="1">
        <v>1996</v>
      </c>
      <c r="M1728" s="1">
        <v>5176</v>
      </c>
      <c r="N1728">
        <v>614</v>
      </c>
      <c r="O1728" t="s">
        <v>4318</v>
      </c>
      <c r="P1728" s="1" t="b">
        <f>NOT(OR(Table1[[#This Row],[State]]="Other Foreign Countries", Table1[[#This Row],[State]]="Unknown", Table1[[#This Row],[State]]="Puerto Rico all counties"))</f>
        <v>1</v>
      </c>
    </row>
    <row r="1729" spans="1:16" x14ac:dyDescent="0.25">
      <c r="A1729">
        <v>19117</v>
      </c>
      <c r="B1729" t="s">
        <v>1399</v>
      </c>
      <c r="C1729" t="s">
        <v>1480</v>
      </c>
      <c r="D1729">
        <v>175</v>
      </c>
      <c r="E1729">
        <v>51</v>
      </c>
      <c r="F1729">
        <v>25</v>
      </c>
      <c r="G1729">
        <v>21</v>
      </c>
      <c r="H1729">
        <v>46</v>
      </c>
      <c r="I1729">
        <v>32</v>
      </c>
      <c r="J1729">
        <v>53</v>
      </c>
      <c r="K1729">
        <v>45</v>
      </c>
      <c r="L1729">
        <v>77</v>
      </c>
      <c r="M1729">
        <v>164</v>
      </c>
      <c r="N1729">
        <v>11</v>
      </c>
      <c r="O1729" t="s">
        <v>1481</v>
      </c>
      <c r="P1729" s="1" t="b">
        <f>NOT(OR(Table1[[#This Row],[State]]="Other Foreign Countries", Table1[[#This Row],[State]]="Unknown", Table1[[#This Row],[State]]="Puerto Rico all counties"))</f>
        <v>1</v>
      </c>
    </row>
    <row r="1730" spans="1:16" x14ac:dyDescent="0.25">
      <c r="A1730">
        <v>39095</v>
      </c>
      <c r="B1730" t="s">
        <v>1343</v>
      </c>
      <c r="C1730" t="s">
        <v>1480</v>
      </c>
      <c r="D1730">
        <v>5127</v>
      </c>
      <c r="E1730" s="1">
        <v>1352</v>
      </c>
      <c r="F1730">
        <v>661</v>
      </c>
      <c r="G1730">
        <v>668</v>
      </c>
      <c r="H1730" s="1">
        <v>1420</v>
      </c>
      <c r="I1730" s="1">
        <v>1026</v>
      </c>
      <c r="J1730" s="1">
        <v>1372</v>
      </c>
      <c r="K1730" s="1">
        <v>1552</v>
      </c>
      <c r="L1730" s="1">
        <v>2203</v>
      </c>
      <c r="M1730" s="1">
        <v>4596</v>
      </c>
      <c r="N1730">
        <v>531</v>
      </c>
      <c r="O1730" t="s">
        <v>3437</v>
      </c>
      <c r="P1730" s="1" t="b">
        <f>NOT(OR(Table1[[#This Row],[State]]="Other Foreign Countries", Table1[[#This Row],[State]]="Unknown", Table1[[#This Row],[State]]="Puerto Rico all counties"))</f>
        <v>1</v>
      </c>
    </row>
    <row r="1731" spans="1:16" x14ac:dyDescent="0.25">
      <c r="A1731">
        <v>26095</v>
      </c>
      <c r="B1731" t="s">
        <v>2099</v>
      </c>
      <c r="C1731" t="s">
        <v>2181</v>
      </c>
      <c r="D1731">
        <v>164</v>
      </c>
      <c r="E1731">
        <v>42</v>
      </c>
      <c r="F1731">
        <v>13</v>
      </c>
      <c r="G1731">
        <v>22</v>
      </c>
      <c r="H1731">
        <v>54</v>
      </c>
      <c r="I1731">
        <v>33</v>
      </c>
      <c r="J1731">
        <v>31</v>
      </c>
      <c r="K1731">
        <v>52</v>
      </c>
      <c r="L1731">
        <v>81</v>
      </c>
      <c r="M1731">
        <v>151</v>
      </c>
      <c r="N1731">
        <v>13</v>
      </c>
      <c r="O1731" t="s">
        <v>2182</v>
      </c>
      <c r="P1731" s="1" t="b">
        <f>NOT(OR(Table1[[#This Row],[State]]="Other Foreign Countries", Table1[[#This Row],[State]]="Unknown", Table1[[#This Row],[State]]="Puerto Rico all counties"))</f>
        <v>1</v>
      </c>
    </row>
    <row r="1732" spans="1:16" x14ac:dyDescent="0.25">
      <c r="A1732">
        <v>13187</v>
      </c>
      <c r="B1732" t="s">
        <v>754</v>
      </c>
      <c r="C1732" t="s">
        <v>911</v>
      </c>
      <c r="D1732">
        <v>825</v>
      </c>
      <c r="E1732">
        <v>140</v>
      </c>
      <c r="F1732">
        <v>92</v>
      </c>
      <c r="G1732">
        <v>99</v>
      </c>
      <c r="H1732">
        <v>241</v>
      </c>
      <c r="I1732">
        <v>253</v>
      </c>
      <c r="J1732">
        <v>210</v>
      </c>
      <c r="K1732">
        <v>261</v>
      </c>
      <c r="L1732">
        <v>354</v>
      </c>
      <c r="M1732">
        <v>771</v>
      </c>
      <c r="N1732">
        <v>54</v>
      </c>
      <c r="O1732" t="s">
        <v>912</v>
      </c>
      <c r="P1732" s="1" t="b">
        <f>NOT(OR(Table1[[#This Row],[State]]="Other Foreign Countries", Table1[[#This Row],[State]]="Unknown", Table1[[#This Row],[State]]="Puerto Rico all counties"))</f>
        <v>1</v>
      </c>
    </row>
    <row r="1733" spans="1:16" x14ac:dyDescent="0.25">
      <c r="A1733">
        <v>35029</v>
      </c>
      <c r="B1733" t="s">
        <v>2971</v>
      </c>
      <c r="C1733" t="s">
        <v>3001</v>
      </c>
      <c r="D1733">
        <v>460</v>
      </c>
      <c r="E1733">
        <v>100</v>
      </c>
      <c r="F1733">
        <v>37</v>
      </c>
      <c r="G1733">
        <v>49</v>
      </c>
      <c r="H1733">
        <v>142</v>
      </c>
      <c r="I1733">
        <v>132</v>
      </c>
      <c r="J1733">
        <v>74</v>
      </c>
      <c r="K1733">
        <v>121</v>
      </c>
      <c r="L1733">
        <v>265</v>
      </c>
      <c r="M1733">
        <v>421</v>
      </c>
      <c r="N1733">
        <v>39</v>
      </c>
      <c r="O1733" t="s">
        <v>3002</v>
      </c>
      <c r="P1733" s="1" t="b">
        <f>NOT(OR(Table1[[#This Row],[State]]="Other Foreign Countries", Table1[[#This Row],[State]]="Unknown", Table1[[#This Row],[State]]="Puerto Rico all counties"))</f>
        <v>1</v>
      </c>
    </row>
    <row r="1734" spans="1:16" x14ac:dyDescent="0.25">
      <c r="A1734">
        <v>51111</v>
      </c>
      <c r="B1734" t="s">
        <v>4555</v>
      </c>
      <c r="C1734" t="s">
        <v>4637</v>
      </c>
      <c r="D1734">
        <v>283</v>
      </c>
      <c r="E1734">
        <v>42</v>
      </c>
      <c r="F1734">
        <v>30</v>
      </c>
      <c r="G1734">
        <v>39</v>
      </c>
      <c r="H1734">
        <v>87</v>
      </c>
      <c r="I1734">
        <v>85</v>
      </c>
      <c r="J1734">
        <v>63</v>
      </c>
      <c r="K1734">
        <v>97</v>
      </c>
      <c r="L1734">
        <v>123</v>
      </c>
      <c r="M1734">
        <v>250</v>
      </c>
      <c r="N1734">
        <v>33</v>
      </c>
      <c r="O1734" t="s">
        <v>4638</v>
      </c>
      <c r="P1734" s="1" t="b">
        <f>NOT(OR(Table1[[#This Row],[State]]="Other Foreign Countries", Table1[[#This Row],[State]]="Unknown", Table1[[#This Row],[State]]="Puerto Rico all counties"))</f>
        <v>1</v>
      </c>
    </row>
    <row r="1735" spans="1:16" x14ac:dyDescent="0.25">
      <c r="A1735">
        <v>42079</v>
      </c>
      <c r="B1735" t="s">
        <v>3665</v>
      </c>
      <c r="C1735" t="s">
        <v>3723</v>
      </c>
      <c r="D1735">
        <v>5090</v>
      </c>
      <c r="E1735" s="1">
        <v>1130</v>
      </c>
      <c r="F1735">
        <v>531</v>
      </c>
      <c r="G1735">
        <v>635</v>
      </c>
      <c r="H1735" s="1">
        <v>1502</v>
      </c>
      <c r="I1735" s="1">
        <v>1292</v>
      </c>
      <c r="J1735" s="1">
        <v>1117</v>
      </c>
      <c r="K1735" s="1">
        <v>1448</v>
      </c>
      <c r="L1735" s="1">
        <v>2525</v>
      </c>
      <c r="M1735" s="1">
        <v>4659</v>
      </c>
      <c r="N1735">
        <v>431</v>
      </c>
      <c r="O1735" t="s">
        <v>3724</v>
      </c>
      <c r="P1735" s="1" t="b">
        <f>NOT(OR(Table1[[#This Row],[State]]="Other Foreign Countries", Table1[[#This Row],[State]]="Unknown", Table1[[#This Row],[State]]="Puerto Rico all counties"))</f>
        <v>1</v>
      </c>
    </row>
    <row r="1736" spans="1:16" x14ac:dyDescent="0.25">
      <c r="A1736">
        <v>42081</v>
      </c>
      <c r="B1736" t="s">
        <v>3665</v>
      </c>
      <c r="C1736" t="s">
        <v>3725</v>
      </c>
      <c r="D1736">
        <v>2229</v>
      </c>
      <c r="E1736">
        <v>539</v>
      </c>
      <c r="F1736">
        <v>270</v>
      </c>
      <c r="G1736">
        <v>307</v>
      </c>
      <c r="H1736">
        <v>646</v>
      </c>
      <c r="I1736">
        <v>467</v>
      </c>
      <c r="J1736">
        <v>617</v>
      </c>
      <c r="K1736">
        <v>706</v>
      </c>
      <c r="L1736">
        <v>906</v>
      </c>
      <c r="M1736" s="1">
        <v>1990</v>
      </c>
      <c r="N1736">
        <v>239</v>
      </c>
      <c r="O1736" t="s">
        <v>3726</v>
      </c>
      <c r="P1736" s="1" t="b">
        <f>NOT(OR(Table1[[#This Row],[State]]="Other Foreign Countries", Table1[[#This Row],[State]]="Unknown", Table1[[#This Row],[State]]="Puerto Rico all counties"))</f>
        <v>1</v>
      </c>
    </row>
    <row r="1737" spans="1:16" x14ac:dyDescent="0.25">
      <c r="A1737">
        <v>46085</v>
      </c>
      <c r="B1737" t="s">
        <v>3846</v>
      </c>
      <c r="C1737" t="s">
        <v>3910</v>
      </c>
      <c r="D1737">
        <v>62</v>
      </c>
      <c r="E1737">
        <v>27</v>
      </c>
      <c r="H1737">
        <v>16</v>
      </c>
      <c r="J1737">
        <v>10</v>
      </c>
      <c r="K1737">
        <v>18</v>
      </c>
      <c r="L1737">
        <v>34</v>
      </c>
      <c r="O1737" t="s">
        <v>3911</v>
      </c>
      <c r="P1737" s="1" t="b">
        <f>NOT(OR(Table1[[#This Row],[State]]="Other Foreign Countries", Table1[[#This Row],[State]]="Unknown", Table1[[#This Row],[State]]="Puerto Rico all counties"))</f>
        <v>1</v>
      </c>
    </row>
    <row r="1738" spans="1:16" x14ac:dyDescent="0.25">
      <c r="A1738">
        <v>51680</v>
      </c>
      <c r="B1738" t="s">
        <v>4555</v>
      </c>
      <c r="C1738" t="s">
        <v>4732</v>
      </c>
      <c r="D1738">
        <v>1181</v>
      </c>
      <c r="E1738">
        <v>235</v>
      </c>
      <c r="F1738">
        <v>137</v>
      </c>
      <c r="G1738">
        <v>169</v>
      </c>
      <c r="H1738">
        <v>359</v>
      </c>
      <c r="I1738">
        <v>281</v>
      </c>
      <c r="J1738">
        <v>408</v>
      </c>
      <c r="K1738">
        <v>334</v>
      </c>
      <c r="L1738">
        <v>439</v>
      </c>
      <c r="M1738" s="1">
        <v>1012</v>
      </c>
      <c r="N1738">
        <v>169</v>
      </c>
      <c r="O1738" t="s">
        <v>4733</v>
      </c>
      <c r="P1738" s="1" t="b">
        <f>NOT(OR(Table1[[#This Row],[State]]="Other Foreign Countries", Table1[[#This Row],[State]]="Unknown", Table1[[#This Row],[State]]="Puerto Rico all counties"))</f>
        <v>1</v>
      </c>
    </row>
    <row r="1739" spans="1:16" x14ac:dyDescent="0.25">
      <c r="A1739">
        <v>48305</v>
      </c>
      <c r="B1739" t="s">
        <v>2654</v>
      </c>
      <c r="C1739" t="s">
        <v>4319</v>
      </c>
      <c r="D1739">
        <v>93</v>
      </c>
      <c r="E1739">
        <v>20</v>
      </c>
      <c r="H1739">
        <v>26</v>
      </c>
      <c r="I1739">
        <v>29</v>
      </c>
      <c r="J1739">
        <v>33</v>
      </c>
      <c r="K1739">
        <v>34</v>
      </c>
      <c r="L1739">
        <v>26</v>
      </c>
      <c r="M1739">
        <v>82</v>
      </c>
      <c r="N1739">
        <v>11</v>
      </c>
      <c r="O1739" t="s">
        <v>4320</v>
      </c>
      <c r="P1739" s="1" t="b">
        <f>NOT(OR(Table1[[#This Row],[State]]="Other Foreign Countries", Table1[[#This Row],[State]]="Unknown", Table1[[#This Row],[State]]="Puerto Rico all counties"))</f>
        <v>1</v>
      </c>
    </row>
    <row r="1740" spans="1:16" x14ac:dyDescent="0.25">
      <c r="A1740">
        <v>19119</v>
      </c>
      <c r="B1740" t="s">
        <v>1399</v>
      </c>
      <c r="C1740" t="s">
        <v>1482</v>
      </c>
      <c r="D1740">
        <v>166</v>
      </c>
      <c r="E1740">
        <v>57</v>
      </c>
      <c r="F1740">
        <v>22</v>
      </c>
      <c r="G1740">
        <v>20</v>
      </c>
      <c r="H1740">
        <v>43</v>
      </c>
      <c r="I1740">
        <v>24</v>
      </c>
      <c r="J1740">
        <v>33</v>
      </c>
      <c r="K1740">
        <v>41</v>
      </c>
      <c r="L1740">
        <v>92</v>
      </c>
      <c r="M1740">
        <v>153</v>
      </c>
      <c r="N1740">
        <v>13</v>
      </c>
      <c r="O1740" t="s">
        <v>1483</v>
      </c>
      <c r="P1740" s="1" t="b">
        <f>NOT(OR(Table1[[#This Row],[State]]="Other Foreign Countries", Table1[[#This Row],[State]]="Unknown", Table1[[#This Row],[State]]="Puerto Rico all counties"))</f>
        <v>1</v>
      </c>
    </row>
    <row r="1741" spans="1:16" x14ac:dyDescent="0.25">
      <c r="A1741">
        <v>20111</v>
      </c>
      <c r="B1741" t="s">
        <v>1543</v>
      </c>
      <c r="C1741" t="s">
        <v>1482</v>
      </c>
      <c r="D1741">
        <v>419</v>
      </c>
      <c r="E1741">
        <v>90</v>
      </c>
      <c r="F1741">
        <v>58</v>
      </c>
      <c r="G1741">
        <v>62</v>
      </c>
      <c r="H1741">
        <v>116</v>
      </c>
      <c r="I1741">
        <v>93</v>
      </c>
      <c r="J1741">
        <v>112</v>
      </c>
      <c r="K1741">
        <v>107</v>
      </c>
      <c r="L1741">
        <v>200</v>
      </c>
      <c r="M1741">
        <v>381</v>
      </c>
      <c r="N1741">
        <v>38</v>
      </c>
      <c r="O1741" t="s">
        <v>1630</v>
      </c>
      <c r="P1741" s="1" t="b">
        <f>NOT(OR(Table1[[#This Row],[State]]="Other Foreign Countries", Table1[[#This Row],[State]]="Unknown", Table1[[#This Row],[State]]="Puerto Rico all counties"))</f>
        <v>1</v>
      </c>
    </row>
    <row r="1742" spans="1:16" x14ac:dyDescent="0.25">
      <c r="A1742">
        <v>21143</v>
      </c>
      <c r="B1742" t="s">
        <v>1716</v>
      </c>
      <c r="C1742" t="s">
        <v>1482</v>
      </c>
      <c r="D1742">
        <v>205</v>
      </c>
      <c r="E1742">
        <v>38</v>
      </c>
      <c r="F1742">
        <v>19</v>
      </c>
      <c r="G1742">
        <v>30</v>
      </c>
      <c r="H1742">
        <v>60</v>
      </c>
      <c r="I1742">
        <v>58</v>
      </c>
      <c r="J1742">
        <v>34</v>
      </c>
      <c r="K1742">
        <v>82</v>
      </c>
      <c r="L1742">
        <v>89</v>
      </c>
      <c r="M1742">
        <v>187</v>
      </c>
      <c r="N1742">
        <v>18</v>
      </c>
      <c r="O1742" t="s">
        <v>1823</v>
      </c>
      <c r="P1742" s="1" t="b">
        <f>NOT(OR(Table1[[#This Row],[State]]="Other Foreign Countries", Table1[[#This Row],[State]]="Unknown", Table1[[#This Row],[State]]="Puerto Rico all counties"))</f>
        <v>1</v>
      </c>
    </row>
    <row r="1743" spans="1:16" x14ac:dyDescent="0.25">
      <c r="A1743">
        <v>27083</v>
      </c>
      <c r="B1743" t="s">
        <v>2245</v>
      </c>
      <c r="C1743" t="s">
        <v>1482</v>
      </c>
      <c r="D1743">
        <v>489</v>
      </c>
      <c r="E1743">
        <v>211</v>
      </c>
      <c r="F1743">
        <v>62</v>
      </c>
      <c r="G1743">
        <v>52</v>
      </c>
      <c r="H1743">
        <v>86</v>
      </c>
      <c r="I1743">
        <v>78</v>
      </c>
      <c r="J1743">
        <v>96</v>
      </c>
      <c r="K1743">
        <v>89</v>
      </c>
      <c r="L1743">
        <v>304</v>
      </c>
      <c r="M1743">
        <v>465</v>
      </c>
      <c r="N1743">
        <v>24</v>
      </c>
      <c r="O1743" t="s">
        <v>2314</v>
      </c>
      <c r="P1743" s="1" t="b">
        <f>NOT(OR(Table1[[#This Row],[State]]="Other Foreign Countries", Table1[[#This Row],[State]]="Unknown", Table1[[#This Row],[State]]="Puerto Rico all counties"))</f>
        <v>1</v>
      </c>
    </row>
    <row r="1744" spans="1:16" x14ac:dyDescent="0.25">
      <c r="A1744">
        <v>32019</v>
      </c>
      <c r="B1744" t="s">
        <v>326</v>
      </c>
      <c r="C1744" t="s">
        <v>1482</v>
      </c>
      <c r="D1744">
        <v>2414</v>
      </c>
      <c r="E1744">
        <v>419</v>
      </c>
      <c r="F1744">
        <v>262</v>
      </c>
      <c r="G1744">
        <v>262</v>
      </c>
      <c r="H1744">
        <v>776</v>
      </c>
      <c r="I1744">
        <v>695</v>
      </c>
      <c r="J1744">
        <v>753</v>
      </c>
      <c r="K1744">
        <v>656</v>
      </c>
      <c r="L1744" s="1">
        <v>1005</v>
      </c>
      <c r="M1744" s="1">
        <v>2142</v>
      </c>
      <c r="N1744">
        <v>272</v>
      </c>
      <c r="O1744" t="s">
        <v>2906</v>
      </c>
      <c r="P1744" s="1" t="b">
        <f>NOT(OR(Table1[[#This Row],[State]]="Other Foreign Countries", Table1[[#This Row],[State]]="Unknown", Table1[[#This Row],[State]]="Puerto Rico all counties"))</f>
        <v>1</v>
      </c>
    </row>
    <row r="1745" spans="1:16" x14ac:dyDescent="0.25">
      <c r="A1745">
        <v>26097</v>
      </c>
      <c r="B1745" t="s">
        <v>2099</v>
      </c>
      <c r="C1745" t="s">
        <v>2183</v>
      </c>
      <c r="D1745">
        <v>304</v>
      </c>
      <c r="E1745">
        <v>56</v>
      </c>
      <c r="F1745">
        <v>40</v>
      </c>
      <c r="G1745">
        <v>45</v>
      </c>
      <c r="H1745">
        <v>91</v>
      </c>
      <c r="I1745">
        <v>72</v>
      </c>
      <c r="J1745">
        <v>53</v>
      </c>
      <c r="K1745">
        <v>88</v>
      </c>
      <c r="L1745">
        <v>163</v>
      </c>
      <c r="M1745">
        <v>282</v>
      </c>
      <c r="N1745">
        <v>22</v>
      </c>
      <c r="O1745" t="s">
        <v>2184</v>
      </c>
      <c r="P1745" s="1" t="b">
        <f>NOT(OR(Table1[[#This Row],[State]]="Other Foreign Countries", Table1[[#This Row],[State]]="Unknown", Table1[[#This Row],[State]]="Puerto Rico all counties"))</f>
        <v>1</v>
      </c>
    </row>
    <row r="1746" spans="1:16" x14ac:dyDescent="0.25">
      <c r="A1746">
        <v>26099</v>
      </c>
      <c r="B1746" t="s">
        <v>2099</v>
      </c>
      <c r="C1746" t="s">
        <v>2185</v>
      </c>
      <c r="D1746">
        <v>10725</v>
      </c>
      <c r="E1746" s="1">
        <v>2428</v>
      </c>
      <c r="F1746" s="1">
        <v>1344</v>
      </c>
      <c r="G1746" s="1">
        <v>1355</v>
      </c>
      <c r="H1746" s="1">
        <v>3030</v>
      </c>
      <c r="I1746" s="1">
        <v>2568</v>
      </c>
      <c r="J1746" s="1">
        <v>2658</v>
      </c>
      <c r="K1746" s="1">
        <v>3230</v>
      </c>
      <c r="L1746" s="1">
        <v>4837</v>
      </c>
      <c r="M1746" s="1">
        <v>9692</v>
      </c>
      <c r="N1746" s="1">
        <v>1031</v>
      </c>
      <c r="O1746" t="s">
        <v>2186</v>
      </c>
      <c r="P1746" s="1" t="b">
        <f>NOT(OR(Table1[[#This Row],[State]]="Other Foreign Countries", Table1[[#This Row],[State]]="Unknown", Table1[[#This Row],[State]]="Puerto Rico all counties"))</f>
        <v>1</v>
      </c>
    </row>
    <row r="1747" spans="1:16" x14ac:dyDescent="0.25">
      <c r="A1747">
        <v>1087</v>
      </c>
      <c r="B1747" t="s">
        <v>15</v>
      </c>
      <c r="C1747" t="s">
        <v>102</v>
      </c>
      <c r="D1747">
        <v>612</v>
      </c>
      <c r="E1747">
        <v>75</v>
      </c>
      <c r="F1747">
        <v>57</v>
      </c>
      <c r="G1747">
        <v>53</v>
      </c>
      <c r="H1747">
        <v>194</v>
      </c>
      <c r="I1747">
        <v>233</v>
      </c>
      <c r="J1747">
        <v>92</v>
      </c>
      <c r="K1747">
        <v>202</v>
      </c>
      <c r="L1747">
        <v>318</v>
      </c>
      <c r="M1747">
        <v>541</v>
      </c>
      <c r="N1747">
        <v>71</v>
      </c>
      <c r="O1747" t="s">
        <v>103</v>
      </c>
      <c r="P1747" s="1" t="b">
        <f>NOT(OR(Table1[[#This Row],[State]]="Other Foreign Countries", Table1[[#This Row],[State]]="Unknown", Table1[[#This Row],[State]]="Puerto Rico all counties"))</f>
        <v>1</v>
      </c>
    </row>
    <row r="1748" spans="1:16" x14ac:dyDescent="0.25">
      <c r="A1748">
        <v>13193</v>
      </c>
      <c r="B1748" t="s">
        <v>754</v>
      </c>
      <c r="C1748" t="s">
        <v>102</v>
      </c>
      <c r="D1748">
        <v>255</v>
      </c>
      <c r="E1748">
        <v>41</v>
      </c>
      <c r="F1748">
        <v>24</v>
      </c>
      <c r="G1748">
        <v>19</v>
      </c>
      <c r="H1748">
        <v>98</v>
      </c>
      <c r="I1748">
        <v>73</v>
      </c>
      <c r="J1748">
        <v>46</v>
      </c>
      <c r="K1748">
        <v>95</v>
      </c>
      <c r="L1748">
        <v>114</v>
      </c>
      <c r="M1748">
        <v>225</v>
      </c>
      <c r="N1748">
        <v>30</v>
      </c>
      <c r="O1748" t="s">
        <v>917</v>
      </c>
      <c r="P1748" s="1" t="b">
        <f>NOT(OR(Table1[[#This Row],[State]]="Other Foreign Countries", Table1[[#This Row],[State]]="Unknown", Table1[[#This Row],[State]]="Puerto Rico all counties"))</f>
        <v>1</v>
      </c>
    </row>
    <row r="1749" spans="1:16" x14ac:dyDescent="0.25">
      <c r="A1749">
        <v>17115</v>
      </c>
      <c r="B1749" t="s">
        <v>1109</v>
      </c>
      <c r="C1749" t="s">
        <v>102</v>
      </c>
      <c r="D1749">
        <v>1552</v>
      </c>
      <c r="E1749">
        <v>284</v>
      </c>
      <c r="F1749">
        <v>171</v>
      </c>
      <c r="G1749">
        <v>195</v>
      </c>
      <c r="H1749">
        <v>487</v>
      </c>
      <c r="I1749">
        <v>415</v>
      </c>
      <c r="J1749">
        <v>357</v>
      </c>
      <c r="K1749">
        <v>431</v>
      </c>
      <c r="L1749">
        <v>764</v>
      </c>
      <c r="M1749" s="1">
        <v>1410</v>
      </c>
      <c r="N1749">
        <v>142</v>
      </c>
      <c r="O1749" t="s">
        <v>1198</v>
      </c>
      <c r="P1749" s="1" t="b">
        <f>NOT(OR(Table1[[#This Row],[State]]="Other Foreign Countries", Table1[[#This Row],[State]]="Unknown", Table1[[#This Row],[State]]="Puerto Rico all counties"))</f>
        <v>1</v>
      </c>
    </row>
    <row r="1750" spans="1:16" x14ac:dyDescent="0.25">
      <c r="A1750">
        <v>29121</v>
      </c>
      <c r="B1750" t="s">
        <v>2510</v>
      </c>
      <c r="C1750" t="s">
        <v>102</v>
      </c>
      <c r="D1750">
        <v>394</v>
      </c>
      <c r="E1750">
        <v>105</v>
      </c>
      <c r="F1750">
        <v>57</v>
      </c>
      <c r="G1750">
        <v>38</v>
      </c>
      <c r="H1750">
        <v>112</v>
      </c>
      <c r="I1750">
        <v>82</v>
      </c>
      <c r="J1750">
        <v>73</v>
      </c>
      <c r="K1750">
        <v>104</v>
      </c>
      <c r="L1750">
        <v>217</v>
      </c>
      <c r="M1750">
        <v>376</v>
      </c>
      <c r="N1750">
        <v>18</v>
      </c>
      <c r="O1750" t="s">
        <v>2589</v>
      </c>
      <c r="P1750" s="1" t="b">
        <f>NOT(OR(Table1[[#This Row],[State]]="Other Foreign Countries", Table1[[#This Row],[State]]="Unknown", Table1[[#This Row],[State]]="Puerto Rico all counties"))</f>
        <v>1</v>
      </c>
    </row>
    <row r="1751" spans="1:16" x14ac:dyDescent="0.25">
      <c r="A1751">
        <v>37113</v>
      </c>
      <c r="B1751" t="s">
        <v>3121</v>
      </c>
      <c r="C1751" t="s">
        <v>102</v>
      </c>
      <c r="D1751">
        <v>1170</v>
      </c>
      <c r="E1751">
        <v>302</v>
      </c>
      <c r="F1751">
        <v>141</v>
      </c>
      <c r="G1751">
        <v>173</v>
      </c>
      <c r="H1751">
        <v>303</v>
      </c>
      <c r="I1751">
        <v>251</v>
      </c>
      <c r="J1751">
        <v>186</v>
      </c>
      <c r="K1751">
        <v>305</v>
      </c>
      <c r="L1751">
        <v>679</v>
      </c>
      <c r="M1751" s="1">
        <v>1062</v>
      </c>
      <c r="N1751">
        <v>108</v>
      </c>
      <c r="O1751" t="s">
        <v>3216</v>
      </c>
      <c r="P1751" s="1" t="b">
        <f>NOT(OR(Table1[[#This Row],[State]]="Other Foreign Countries", Table1[[#This Row],[State]]="Unknown", Table1[[#This Row],[State]]="Puerto Rico all counties"))</f>
        <v>1</v>
      </c>
    </row>
    <row r="1752" spans="1:16" x14ac:dyDescent="0.25">
      <c r="A1752">
        <v>47111</v>
      </c>
      <c r="B1752" t="s">
        <v>3951</v>
      </c>
      <c r="C1752" t="s">
        <v>102</v>
      </c>
      <c r="D1752">
        <v>425</v>
      </c>
      <c r="E1752">
        <v>78</v>
      </c>
      <c r="F1752">
        <v>44</v>
      </c>
      <c r="G1752">
        <v>43</v>
      </c>
      <c r="H1752">
        <v>143</v>
      </c>
      <c r="I1752">
        <v>117</v>
      </c>
      <c r="J1752">
        <v>113</v>
      </c>
      <c r="K1752">
        <v>152</v>
      </c>
      <c r="L1752">
        <v>160</v>
      </c>
      <c r="M1752">
        <v>387</v>
      </c>
      <c r="N1752">
        <v>38</v>
      </c>
      <c r="O1752" t="s">
        <v>4023</v>
      </c>
      <c r="P1752" s="1" t="b">
        <f>NOT(OR(Table1[[#This Row],[State]]="Other Foreign Countries", Table1[[#This Row],[State]]="Unknown", Table1[[#This Row],[State]]="Puerto Rico all counties"))</f>
        <v>1</v>
      </c>
    </row>
    <row r="1753" spans="1:16" x14ac:dyDescent="0.25">
      <c r="A1753">
        <v>17117</v>
      </c>
      <c r="B1753" t="s">
        <v>1109</v>
      </c>
      <c r="C1753" t="s">
        <v>1199</v>
      </c>
      <c r="D1753">
        <v>861</v>
      </c>
      <c r="E1753">
        <v>165</v>
      </c>
      <c r="F1753">
        <v>100</v>
      </c>
      <c r="G1753">
        <v>103</v>
      </c>
      <c r="H1753">
        <v>271</v>
      </c>
      <c r="I1753">
        <v>222</v>
      </c>
      <c r="J1753">
        <v>216</v>
      </c>
      <c r="K1753">
        <v>275</v>
      </c>
      <c r="L1753">
        <v>370</v>
      </c>
      <c r="M1753">
        <v>797</v>
      </c>
      <c r="N1753">
        <v>64</v>
      </c>
      <c r="O1753" t="s">
        <v>1200</v>
      </c>
      <c r="P1753" s="1" t="b">
        <f>NOT(OR(Table1[[#This Row],[State]]="Other Foreign Countries", Table1[[#This Row],[State]]="Unknown", Table1[[#This Row],[State]]="Puerto Rico all counties"))</f>
        <v>1</v>
      </c>
    </row>
    <row r="1754" spans="1:16" x14ac:dyDescent="0.25">
      <c r="A1754">
        <v>6039</v>
      </c>
      <c r="B1754" t="s">
        <v>374</v>
      </c>
      <c r="C1754" t="s">
        <v>413</v>
      </c>
      <c r="D1754">
        <v>2600</v>
      </c>
      <c r="E1754">
        <v>638</v>
      </c>
      <c r="F1754">
        <v>291</v>
      </c>
      <c r="G1754">
        <v>298</v>
      </c>
      <c r="H1754">
        <v>761</v>
      </c>
      <c r="I1754">
        <v>612</v>
      </c>
      <c r="J1754">
        <v>788</v>
      </c>
      <c r="K1754">
        <v>628</v>
      </c>
      <c r="L1754" s="1">
        <v>1184</v>
      </c>
      <c r="M1754" s="1">
        <v>2345</v>
      </c>
      <c r="N1754">
        <v>255</v>
      </c>
      <c r="O1754" t="s">
        <v>414</v>
      </c>
      <c r="P1754" s="1" t="b">
        <f>NOT(OR(Table1[[#This Row],[State]]="Other Foreign Countries", Table1[[#This Row],[State]]="Unknown", Table1[[#This Row],[State]]="Puerto Rico all counties"))</f>
        <v>1</v>
      </c>
    </row>
    <row r="1755" spans="1:16" x14ac:dyDescent="0.25">
      <c r="A1755">
        <v>1089</v>
      </c>
      <c r="B1755" t="s">
        <v>15</v>
      </c>
      <c r="C1755" t="s">
        <v>104</v>
      </c>
      <c r="D1755">
        <v>18829</v>
      </c>
      <c r="E1755" s="1">
        <v>2569</v>
      </c>
      <c r="F1755" s="1">
        <v>1738</v>
      </c>
      <c r="G1755" s="1">
        <v>2058</v>
      </c>
      <c r="H1755" s="1">
        <v>5225</v>
      </c>
      <c r="I1755" s="1">
        <v>7239</v>
      </c>
      <c r="J1755" s="1">
        <v>5031</v>
      </c>
      <c r="K1755" s="1">
        <v>8374</v>
      </c>
      <c r="L1755" s="1">
        <v>5424</v>
      </c>
      <c r="M1755" s="1">
        <v>15799</v>
      </c>
      <c r="N1755" s="1">
        <v>3029</v>
      </c>
      <c r="O1755" t="s">
        <v>105</v>
      </c>
      <c r="P1755" s="1" t="b">
        <f>NOT(OR(Table1[[#This Row],[State]]="Other Foreign Countries", Table1[[#This Row],[State]]="Unknown", Table1[[#This Row],[State]]="Puerto Rico all counties"))</f>
        <v>1</v>
      </c>
    </row>
    <row r="1756" spans="1:16" x14ac:dyDescent="0.25">
      <c r="A1756">
        <v>5087</v>
      </c>
      <c r="B1756" t="s">
        <v>242</v>
      </c>
      <c r="C1756" t="s">
        <v>104</v>
      </c>
      <c r="D1756">
        <v>375</v>
      </c>
      <c r="E1756">
        <v>54</v>
      </c>
      <c r="F1756">
        <v>34</v>
      </c>
      <c r="G1756">
        <v>41</v>
      </c>
      <c r="H1756">
        <v>137</v>
      </c>
      <c r="I1756">
        <v>109</v>
      </c>
      <c r="J1756">
        <v>98</v>
      </c>
      <c r="K1756">
        <v>124</v>
      </c>
      <c r="L1756">
        <v>153</v>
      </c>
      <c r="M1756">
        <v>350</v>
      </c>
      <c r="N1756">
        <v>25</v>
      </c>
      <c r="O1756" t="s">
        <v>318</v>
      </c>
      <c r="P1756" s="1" t="b">
        <f>NOT(OR(Table1[[#This Row],[State]]="Other Foreign Countries", Table1[[#This Row],[State]]="Unknown", Table1[[#This Row],[State]]="Puerto Rico all counties"))</f>
        <v>1</v>
      </c>
    </row>
    <row r="1757" spans="1:16" x14ac:dyDescent="0.25">
      <c r="A1757">
        <v>12079</v>
      </c>
      <c r="B1757" t="s">
        <v>637</v>
      </c>
      <c r="C1757" t="s">
        <v>104</v>
      </c>
      <c r="D1757">
        <v>477</v>
      </c>
      <c r="E1757">
        <v>97</v>
      </c>
      <c r="F1757">
        <v>50</v>
      </c>
      <c r="G1757">
        <v>57</v>
      </c>
      <c r="H1757">
        <v>136</v>
      </c>
      <c r="I1757">
        <v>137</v>
      </c>
      <c r="J1757">
        <v>74</v>
      </c>
      <c r="K1757">
        <v>146</v>
      </c>
      <c r="L1757">
        <v>257</v>
      </c>
      <c r="M1757">
        <v>428</v>
      </c>
      <c r="N1757">
        <v>49</v>
      </c>
      <c r="O1757" t="s">
        <v>704</v>
      </c>
      <c r="P1757" s="1" t="b">
        <f>NOT(OR(Table1[[#This Row],[State]]="Other Foreign Countries", Table1[[#This Row],[State]]="Unknown", Table1[[#This Row],[State]]="Puerto Rico all counties"))</f>
        <v>1</v>
      </c>
    </row>
    <row r="1758" spans="1:16" x14ac:dyDescent="0.25">
      <c r="A1758">
        <v>13195</v>
      </c>
      <c r="B1758" t="s">
        <v>754</v>
      </c>
      <c r="C1758" t="s">
        <v>104</v>
      </c>
      <c r="D1758">
        <v>621</v>
      </c>
      <c r="E1758">
        <v>138</v>
      </c>
      <c r="F1758">
        <v>56</v>
      </c>
      <c r="G1758">
        <v>87</v>
      </c>
      <c r="H1758">
        <v>179</v>
      </c>
      <c r="I1758">
        <v>161</v>
      </c>
      <c r="J1758">
        <v>192</v>
      </c>
      <c r="K1758">
        <v>160</v>
      </c>
      <c r="L1758">
        <v>269</v>
      </c>
      <c r="M1758">
        <v>559</v>
      </c>
      <c r="N1758">
        <v>62</v>
      </c>
      <c r="O1758" t="s">
        <v>918</v>
      </c>
      <c r="P1758" s="1" t="b">
        <f>NOT(OR(Table1[[#This Row],[State]]="Other Foreign Countries", Table1[[#This Row],[State]]="Unknown", Table1[[#This Row],[State]]="Puerto Rico all counties"))</f>
        <v>1</v>
      </c>
    </row>
    <row r="1759" spans="1:16" x14ac:dyDescent="0.25">
      <c r="A1759">
        <v>16065</v>
      </c>
      <c r="B1759" t="s">
        <v>1032</v>
      </c>
      <c r="C1759" t="s">
        <v>104</v>
      </c>
      <c r="D1759">
        <v>322</v>
      </c>
      <c r="E1759">
        <v>74</v>
      </c>
      <c r="F1759">
        <v>46</v>
      </c>
      <c r="G1759">
        <v>40</v>
      </c>
      <c r="H1759">
        <v>93</v>
      </c>
      <c r="I1759">
        <v>69</v>
      </c>
      <c r="J1759">
        <v>102</v>
      </c>
      <c r="K1759">
        <v>88</v>
      </c>
      <c r="L1759">
        <v>132</v>
      </c>
      <c r="M1759">
        <v>298</v>
      </c>
      <c r="N1759">
        <v>24</v>
      </c>
      <c r="O1759" t="s">
        <v>1087</v>
      </c>
      <c r="P1759" s="1" t="b">
        <f>NOT(OR(Table1[[#This Row],[State]]="Other Foreign Countries", Table1[[#This Row],[State]]="Unknown", Table1[[#This Row],[State]]="Puerto Rico all counties"))</f>
        <v>1</v>
      </c>
    </row>
    <row r="1760" spans="1:16" x14ac:dyDescent="0.25">
      <c r="A1760">
        <v>17119</v>
      </c>
      <c r="B1760" t="s">
        <v>1109</v>
      </c>
      <c r="C1760" t="s">
        <v>104</v>
      </c>
      <c r="D1760">
        <v>5757</v>
      </c>
      <c r="E1760">
        <v>989</v>
      </c>
      <c r="F1760">
        <v>588</v>
      </c>
      <c r="G1760">
        <v>682</v>
      </c>
      <c r="H1760" s="1">
        <v>1806</v>
      </c>
      <c r="I1760" s="1">
        <v>1692</v>
      </c>
      <c r="J1760" s="1">
        <v>1667</v>
      </c>
      <c r="K1760" s="1">
        <v>2055</v>
      </c>
      <c r="L1760" s="1">
        <v>2035</v>
      </c>
      <c r="M1760" s="1">
        <v>5033</v>
      </c>
      <c r="N1760">
        <v>724</v>
      </c>
      <c r="O1760" t="s">
        <v>1201</v>
      </c>
      <c r="P1760" s="1" t="b">
        <f>NOT(OR(Table1[[#This Row],[State]]="Other Foreign Countries", Table1[[#This Row],[State]]="Unknown", Table1[[#This Row],[State]]="Puerto Rico all counties"))</f>
        <v>1</v>
      </c>
    </row>
    <row r="1761" spans="1:16" x14ac:dyDescent="0.25">
      <c r="A1761">
        <v>18095</v>
      </c>
      <c r="B1761" t="s">
        <v>1266</v>
      </c>
      <c r="C1761" t="s">
        <v>104</v>
      </c>
      <c r="D1761">
        <v>2619</v>
      </c>
      <c r="E1761">
        <v>826</v>
      </c>
      <c r="F1761">
        <v>348</v>
      </c>
      <c r="G1761">
        <v>357</v>
      </c>
      <c r="H1761">
        <v>649</v>
      </c>
      <c r="I1761">
        <v>439</v>
      </c>
      <c r="J1761">
        <v>616</v>
      </c>
      <c r="K1761">
        <v>770</v>
      </c>
      <c r="L1761" s="1">
        <v>1233</v>
      </c>
      <c r="M1761" s="1">
        <v>2413</v>
      </c>
      <c r="N1761">
        <v>206</v>
      </c>
      <c r="O1761" t="s">
        <v>1331</v>
      </c>
      <c r="P1761" s="1" t="b">
        <f>NOT(OR(Table1[[#This Row],[State]]="Other Foreign Countries", Table1[[#This Row],[State]]="Unknown", Table1[[#This Row],[State]]="Puerto Rico all counties"))</f>
        <v>1</v>
      </c>
    </row>
    <row r="1762" spans="1:16" x14ac:dyDescent="0.25">
      <c r="A1762">
        <v>19121</v>
      </c>
      <c r="B1762" t="s">
        <v>1399</v>
      </c>
      <c r="C1762" t="s">
        <v>104</v>
      </c>
      <c r="D1762">
        <v>374</v>
      </c>
      <c r="E1762">
        <v>95</v>
      </c>
      <c r="F1762">
        <v>49</v>
      </c>
      <c r="G1762">
        <v>47</v>
      </c>
      <c r="H1762">
        <v>100</v>
      </c>
      <c r="I1762">
        <v>83</v>
      </c>
      <c r="J1762">
        <v>90</v>
      </c>
      <c r="K1762">
        <v>115</v>
      </c>
      <c r="L1762">
        <v>169</v>
      </c>
      <c r="M1762">
        <v>346</v>
      </c>
      <c r="N1762">
        <v>28</v>
      </c>
      <c r="O1762" t="s">
        <v>1484</v>
      </c>
      <c r="P1762" s="1" t="b">
        <f>NOT(OR(Table1[[#This Row],[State]]="Other Foreign Countries", Table1[[#This Row],[State]]="Unknown", Table1[[#This Row],[State]]="Puerto Rico all counties"))</f>
        <v>1</v>
      </c>
    </row>
    <row r="1763" spans="1:16" x14ac:dyDescent="0.25">
      <c r="A1763">
        <v>21151</v>
      </c>
      <c r="B1763" t="s">
        <v>1716</v>
      </c>
      <c r="C1763" t="s">
        <v>104</v>
      </c>
      <c r="D1763">
        <v>2211</v>
      </c>
      <c r="E1763">
        <v>382</v>
      </c>
      <c r="F1763">
        <v>245</v>
      </c>
      <c r="G1763">
        <v>274</v>
      </c>
      <c r="H1763">
        <v>684</v>
      </c>
      <c r="I1763">
        <v>626</v>
      </c>
      <c r="J1763">
        <v>737</v>
      </c>
      <c r="K1763">
        <v>788</v>
      </c>
      <c r="L1763">
        <v>686</v>
      </c>
      <c r="M1763" s="1">
        <v>1998</v>
      </c>
      <c r="N1763">
        <v>213</v>
      </c>
      <c r="O1763" t="s">
        <v>1829</v>
      </c>
      <c r="P1763" s="1" t="b">
        <f>NOT(OR(Table1[[#This Row],[State]]="Other Foreign Countries", Table1[[#This Row],[State]]="Unknown", Table1[[#This Row],[State]]="Puerto Rico all counties"))</f>
        <v>1</v>
      </c>
    </row>
    <row r="1764" spans="1:16" x14ac:dyDescent="0.25">
      <c r="A1764">
        <v>22065</v>
      </c>
      <c r="B1764" t="s">
        <v>1892</v>
      </c>
      <c r="C1764" t="s">
        <v>104</v>
      </c>
      <c r="D1764">
        <v>123</v>
      </c>
      <c r="E1764">
        <v>31</v>
      </c>
      <c r="F1764">
        <v>20</v>
      </c>
      <c r="G1764">
        <v>15</v>
      </c>
      <c r="H1764">
        <v>33</v>
      </c>
      <c r="I1764">
        <v>24</v>
      </c>
      <c r="L1764">
        <v>75</v>
      </c>
      <c r="O1764" t="s">
        <v>1947</v>
      </c>
      <c r="P1764" s="1" t="b">
        <f>NOT(OR(Table1[[#This Row],[State]]="Other Foreign Countries", Table1[[#This Row],[State]]="Unknown", Table1[[#This Row],[State]]="Puerto Rico all counties"))</f>
        <v>1</v>
      </c>
    </row>
    <row r="1765" spans="1:16" x14ac:dyDescent="0.25">
      <c r="A1765">
        <v>28089</v>
      </c>
      <c r="B1765" t="s">
        <v>322</v>
      </c>
      <c r="C1765" t="s">
        <v>104</v>
      </c>
      <c r="D1765">
        <v>1901</v>
      </c>
      <c r="E1765">
        <v>282</v>
      </c>
      <c r="F1765">
        <v>192</v>
      </c>
      <c r="G1765">
        <v>184</v>
      </c>
      <c r="H1765">
        <v>608</v>
      </c>
      <c r="I1765">
        <v>635</v>
      </c>
      <c r="J1765">
        <v>433</v>
      </c>
      <c r="K1765">
        <v>824</v>
      </c>
      <c r="L1765">
        <v>644</v>
      </c>
      <c r="M1765" s="1">
        <v>1600</v>
      </c>
      <c r="N1765">
        <v>301</v>
      </c>
      <c r="O1765" t="s">
        <v>2454</v>
      </c>
      <c r="P1765" s="1" t="b">
        <f>NOT(OR(Table1[[#This Row],[State]]="Other Foreign Countries", Table1[[#This Row],[State]]="Unknown", Table1[[#This Row],[State]]="Puerto Rico all counties"))</f>
        <v>1</v>
      </c>
    </row>
    <row r="1766" spans="1:16" x14ac:dyDescent="0.25">
      <c r="A1766">
        <v>29123</v>
      </c>
      <c r="B1766" t="s">
        <v>2510</v>
      </c>
      <c r="C1766" t="s">
        <v>104</v>
      </c>
      <c r="D1766">
        <v>354</v>
      </c>
      <c r="E1766">
        <v>83</v>
      </c>
      <c r="F1766">
        <v>44</v>
      </c>
      <c r="G1766">
        <v>43</v>
      </c>
      <c r="H1766">
        <v>93</v>
      </c>
      <c r="I1766">
        <v>91</v>
      </c>
      <c r="J1766">
        <v>64</v>
      </c>
      <c r="K1766">
        <v>124</v>
      </c>
      <c r="L1766">
        <v>166</v>
      </c>
      <c r="M1766">
        <v>327</v>
      </c>
      <c r="N1766">
        <v>27</v>
      </c>
      <c r="O1766" t="s">
        <v>2590</v>
      </c>
      <c r="P1766" s="1" t="b">
        <f>NOT(OR(Table1[[#This Row],[State]]="Other Foreign Countries", Table1[[#This Row],[State]]="Unknown", Table1[[#This Row],[State]]="Puerto Rico all counties"))</f>
        <v>1</v>
      </c>
    </row>
    <row r="1767" spans="1:16" x14ac:dyDescent="0.25">
      <c r="A1767">
        <v>30057</v>
      </c>
      <c r="B1767" t="s">
        <v>2665</v>
      </c>
      <c r="C1767" t="s">
        <v>104</v>
      </c>
      <c r="D1767">
        <v>264</v>
      </c>
      <c r="E1767">
        <v>70</v>
      </c>
      <c r="F1767">
        <v>40</v>
      </c>
      <c r="G1767">
        <v>31</v>
      </c>
      <c r="H1767">
        <v>61</v>
      </c>
      <c r="I1767">
        <v>62</v>
      </c>
      <c r="J1767">
        <v>47</v>
      </c>
      <c r="K1767">
        <v>70</v>
      </c>
      <c r="L1767">
        <v>147</v>
      </c>
      <c r="M1767">
        <v>247</v>
      </c>
      <c r="N1767">
        <v>17</v>
      </c>
      <c r="O1767" t="s">
        <v>2712</v>
      </c>
      <c r="P1767" s="1" t="b">
        <f>NOT(OR(Table1[[#This Row],[State]]="Other Foreign Countries", Table1[[#This Row],[State]]="Unknown", Table1[[#This Row],[State]]="Puerto Rico all counties"))</f>
        <v>1</v>
      </c>
    </row>
    <row r="1768" spans="1:16" x14ac:dyDescent="0.25">
      <c r="A1768">
        <v>31119</v>
      </c>
      <c r="B1768" t="s">
        <v>2758</v>
      </c>
      <c r="C1768" t="s">
        <v>104</v>
      </c>
      <c r="D1768">
        <v>688</v>
      </c>
      <c r="E1768">
        <v>242</v>
      </c>
      <c r="F1768">
        <v>94</v>
      </c>
      <c r="G1768">
        <v>96</v>
      </c>
      <c r="H1768">
        <v>142</v>
      </c>
      <c r="I1768">
        <v>114</v>
      </c>
      <c r="J1768">
        <v>165</v>
      </c>
      <c r="K1768">
        <v>142</v>
      </c>
      <c r="L1768">
        <v>381</v>
      </c>
      <c r="M1768">
        <v>642</v>
      </c>
      <c r="N1768">
        <v>46</v>
      </c>
      <c r="O1768" t="s">
        <v>2845</v>
      </c>
      <c r="P1768" s="1" t="b">
        <f>NOT(OR(Table1[[#This Row],[State]]="Other Foreign Countries", Table1[[#This Row],[State]]="Unknown", Table1[[#This Row],[State]]="Puerto Rico all counties"))</f>
        <v>1</v>
      </c>
    </row>
    <row r="1769" spans="1:16" x14ac:dyDescent="0.25">
      <c r="A1769">
        <v>36053</v>
      </c>
      <c r="B1769" t="s">
        <v>3029</v>
      </c>
      <c r="C1769" t="s">
        <v>104</v>
      </c>
      <c r="D1769">
        <v>1012</v>
      </c>
      <c r="E1769">
        <v>221</v>
      </c>
      <c r="F1769">
        <v>131</v>
      </c>
      <c r="G1769">
        <v>147</v>
      </c>
      <c r="H1769">
        <v>283</v>
      </c>
      <c r="I1769">
        <v>230</v>
      </c>
      <c r="J1769">
        <v>270</v>
      </c>
      <c r="K1769">
        <v>310</v>
      </c>
      <c r="L1769">
        <v>432</v>
      </c>
      <c r="M1769">
        <v>903</v>
      </c>
      <c r="N1769">
        <v>109</v>
      </c>
      <c r="O1769" t="s">
        <v>3067</v>
      </c>
      <c r="P1769" s="1" t="b">
        <f>NOT(OR(Table1[[#This Row],[State]]="Other Foreign Countries", Table1[[#This Row],[State]]="Unknown", Table1[[#This Row],[State]]="Puerto Rico all counties"))</f>
        <v>1</v>
      </c>
    </row>
    <row r="1770" spans="1:16" x14ac:dyDescent="0.25">
      <c r="A1770">
        <v>37115</v>
      </c>
      <c r="B1770" t="s">
        <v>3121</v>
      </c>
      <c r="C1770" t="s">
        <v>104</v>
      </c>
      <c r="D1770">
        <v>433</v>
      </c>
      <c r="E1770">
        <v>84</v>
      </c>
      <c r="F1770">
        <v>55</v>
      </c>
      <c r="G1770">
        <v>57</v>
      </c>
      <c r="H1770">
        <v>122</v>
      </c>
      <c r="I1770">
        <v>115</v>
      </c>
      <c r="J1770">
        <v>85</v>
      </c>
      <c r="K1770">
        <v>146</v>
      </c>
      <c r="L1770">
        <v>202</v>
      </c>
      <c r="M1770">
        <v>390</v>
      </c>
      <c r="N1770">
        <v>43</v>
      </c>
      <c r="O1770" t="s">
        <v>3217</v>
      </c>
      <c r="P1770" s="1" t="b">
        <f>NOT(OR(Table1[[#This Row],[State]]="Other Foreign Countries", Table1[[#This Row],[State]]="Unknown", Table1[[#This Row],[State]]="Puerto Rico all counties"))</f>
        <v>1</v>
      </c>
    </row>
    <row r="1771" spans="1:16" x14ac:dyDescent="0.25">
      <c r="A1771">
        <v>39097</v>
      </c>
      <c r="B1771" t="s">
        <v>1343</v>
      </c>
      <c r="C1771" t="s">
        <v>104</v>
      </c>
      <c r="D1771">
        <v>643</v>
      </c>
      <c r="E1771">
        <v>148</v>
      </c>
      <c r="F1771">
        <v>93</v>
      </c>
      <c r="G1771">
        <v>93</v>
      </c>
      <c r="H1771">
        <v>193</v>
      </c>
      <c r="I1771">
        <v>116</v>
      </c>
      <c r="J1771">
        <v>205</v>
      </c>
      <c r="K1771">
        <v>182</v>
      </c>
      <c r="L1771">
        <v>256</v>
      </c>
      <c r="M1771">
        <v>590</v>
      </c>
      <c r="N1771">
        <v>53</v>
      </c>
      <c r="O1771" t="s">
        <v>3438</v>
      </c>
      <c r="P1771" s="1" t="b">
        <f>NOT(OR(Table1[[#This Row],[State]]="Other Foreign Countries", Table1[[#This Row],[State]]="Unknown", Table1[[#This Row],[State]]="Puerto Rico all counties"))</f>
        <v>1</v>
      </c>
    </row>
    <row r="1772" spans="1:16" x14ac:dyDescent="0.25">
      <c r="A1772">
        <v>47113</v>
      </c>
      <c r="B1772" t="s">
        <v>3951</v>
      </c>
      <c r="C1772" t="s">
        <v>104</v>
      </c>
      <c r="D1772">
        <v>2123</v>
      </c>
      <c r="E1772">
        <v>495</v>
      </c>
      <c r="F1772">
        <v>239</v>
      </c>
      <c r="G1772">
        <v>232</v>
      </c>
      <c r="H1772">
        <v>609</v>
      </c>
      <c r="I1772">
        <v>548</v>
      </c>
      <c r="J1772">
        <v>429</v>
      </c>
      <c r="K1772">
        <v>674</v>
      </c>
      <c r="L1772" s="1">
        <v>1020</v>
      </c>
      <c r="M1772" s="1">
        <v>1857</v>
      </c>
      <c r="N1772">
        <v>265</v>
      </c>
      <c r="O1772" t="s">
        <v>4024</v>
      </c>
      <c r="P1772" s="1" t="b">
        <f>NOT(OR(Table1[[#This Row],[State]]="Other Foreign Countries", Table1[[#This Row],[State]]="Unknown", Table1[[#This Row],[State]]="Puerto Rico all counties"))</f>
        <v>1</v>
      </c>
    </row>
    <row r="1773" spans="1:16" x14ac:dyDescent="0.25">
      <c r="A1773">
        <v>48313</v>
      </c>
      <c r="B1773" t="s">
        <v>2654</v>
      </c>
      <c r="C1773" t="s">
        <v>104</v>
      </c>
      <c r="D1773">
        <v>254</v>
      </c>
      <c r="E1773">
        <v>56</v>
      </c>
      <c r="F1773">
        <v>26</v>
      </c>
      <c r="G1773">
        <v>20</v>
      </c>
      <c r="H1773">
        <v>75</v>
      </c>
      <c r="I1773">
        <v>77</v>
      </c>
      <c r="J1773">
        <v>69</v>
      </c>
      <c r="K1773">
        <v>79</v>
      </c>
      <c r="L1773">
        <v>106</v>
      </c>
      <c r="M1773">
        <v>234</v>
      </c>
      <c r="N1773">
        <v>20</v>
      </c>
      <c r="O1773" t="s">
        <v>4327</v>
      </c>
      <c r="P1773" s="1" t="b">
        <f>NOT(OR(Table1[[#This Row],[State]]="Other Foreign Countries", Table1[[#This Row],[State]]="Unknown", Table1[[#This Row],[State]]="Puerto Rico all counties"))</f>
        <v>1</v>
      </c>
    </row>
    <row r="1774" spans="1:16" x14ac:dyDescent="0.25">
      <c r="A1774">
        <v>51113</v>
      </c>
      <c r="B1774" t="s">
        <v>4555</v>
      </c>
      <c r="C1774" t="s">
        <v>104</v>
      </c>
      <c r="D1774">
        <v>262</v>
      </c>
      <c r="E1774">
        <v>53</v>
      </c>
      <c r="F1774">
        <v>29</v>
      </c>
      <c r="G1774">
        <v>31</v>
      </c>
      <c r="H1774">
        <v>74</v>
      </c>
      <c r="I1774">
        <v>75</v>
      </c>
      <c r="J1774">
        <v>69</v>
      </c>
      <c r="K1774">
        <v>76</v>
      </c>
      <c r="L1774">
        <v>117</v>
      </c>
      <c r="M1774">
        <v>241</v>
      </c>
      <c r="N1774">
        <v>21</v>
      </c>
      <c r="O1774" t="s">
        <v>4639</v>
      </c>
      <c r="P1774" s="1" t="b">
        <f>NOT(OR(Table1[[#This Row],[State]]="Other Foreign Countries", Table1[[#This Row],[State]]="Unknown", Table1[[#This Row],[State]]="Puerto Rico all counties"))</f>
        <v>1</v>
      </c>
    </row>
    <row r="1775" spans="1:16" x14ac:dyDescent="0.25">
      <c r="A1775">
        <v>21153</v>
      </c>
      <c r="B1775" t="s">
        <v>1716</v>
      </c>
      <c r="C1775" t="s">
        <v>1830</v>
      </c>
      <c r="D1775">
        <v>105</v>
      </c>
      <c r="E1775">
        <v>25</v>
      </c>
      <c r="H1775">
        <v>29</v>
      </c>
      <c r="I1775">
        <v>29</v>
      </c>
      <c r="J1775">
        <v>22</v>
      </c>
      <c r="K1775">
        <v>27</v>
      </c>
      <c r="L1775">
        <v>56</v>
      </c>
      <c r="O1775" t="s">
        <v>1831</v>
      </c>
      <c r="P1775" s="1" t="b">
        <f>NOT(OR(Table1[[#This Row],[State]]="Other Foreign Countries", Table1[[#This Row],[State]]="Unknown", Table1[[#This Row],[State]]="Puerto Rico all counties"))</f>
        <v>1</v>
      </c>
    </row>
    <row r="1776" spans="1:16" x14ac:dyDescent="0.25">
      <c r="A1776">
        <v>19123</v>
      </c>
      <c r="B1776" t="s">
        <v>1399</v>
      </c>
      <c r="C1776" t="s">
        <v>1485</v>
      </c>
      <c r="D1776">
        <v>273</v>
      </c>
      <c r="E1776">
        <v>63</v>
      </c>
      <c r="F1776">
        <v>36</v>
      </c>
      <c r="G1776">
        <v>32</v>
      </c>
      <c r="H1776">
        <v>68</v>
      </c>
      <c r="I1776">
        <v>74</v>
      </c>
      <c r="J1776">
        <v>55</v>
      </c>
      <c r="K1776">
        <v>84</v>
      </c>
      <c r="L1776">
        <v>134</v>
      </c>
      <c r="M1776">
        <v>257</v>
      </c>
      <c r="N1776">
        <v>16</v>
      </c>
      <c r="O1776" t="s">
        <v>1486</v>
      </c>
      <c r="P1776" s="1" t="b">
        <f>NOT(OR(Table1[[#This Row],[State]]="Other Foreign Countries", Table1[[#This Row],[State]]="Unknown", Table1[[#This Row],[State]]="Puerto Rico all counties"))</f>
        <v>1</v>
      </c>
    </row>
    <row r="1777" spans="1:16" x14ac:dyDescent="0.25">
      <c r="A1777">
        <v>27087</v>
      </c>
      <c r="B1777" t="s">
        <v>2245</v>
      </c>
      <c r="C1777" t="s">
        <v>2317</v>
      </c>
      <c r="D1777">
        <v>101</v>
      </c>
      <c r="E1777">
        <v>17</v>
      </c>
      <c r="F1777">
        <v>11</v>
      </c>
      <c r="G1777">
        <v>16</v>
      </c>
      <c r="H1777">
        <v>31</v>
      </c>
      <c r="I1777">
        <v>26</v>
      </c>
      <c r="J1777">
        <v>14</v>
      </c>
      <c r="K1777">
        <v>10</v>
      </c>
      <c r="L1777">
        <v>77</v>
      </c>
      <c r="O1777" t="s">
        <v>2318</v>
      </c>
      <c r="P1777" s="1" t="b">
        <f>NOT(OR(Table1[[#This Row],[State]]="Other Foreign Countries", Table1[[#This Row],[State]]="Unknown", Table1[[#This Row],[State]]="Puerto Rico all counties"))</f>
        <v>1</v>
      </c>
    </row>
    <row r="1778" spans="1:16" x14ac:dyDescent="0.25">
      <c r="A1778">
        <v>39099</v>
      </c>
      <c r="B1778" t="s">
        <v>1343</v>
      </c>
      <c r="C1778" t="s">
        <v>3439</v>
      </c>
      <c r="D1778">
        <v>3624</v>
      </c>
      <c r="E1778">
        <v>783</v>
      </c>
      <c r="F1778">
        <v>423</v>
      </c>
      <c r="G1778">
        <v>424</v>
      </c>
      <c r="H1778">
        <v>985</v>
      </c>
      <c r="I1778" s="1">
        <v>1009</v>
      </c>
      <c r="J1778">
        <v>852</v>
      </c>
      <c r="K1778" s="1">
        <v>1122</v>
      </c>
      <c r="L1778" s="1">
        <v>1650</v>
      </c>
      <c r="M1778" s="1">
        <v>3271</v>
      </c>
      <c r="N1778">
        <v>352</v>
      </c>
      <c r="O1778" t="s">
        <v>3440</v>
      </c>
      <c r="P1778" s="1" t="b">
        <f>NOT(OR(Table1[[#This Row],[State]]="Other Foreign Countries", Table1[[#This Row],[State]]="Unknown", Table1[[#This Row],[State]]="Puerto Rico all counties"))</f>
        <v>1</v>
      </c>
    </row>
    <row r="1779" spans="1:16" x14ac:dyDescent="0.25">
      <c r="A1779">
        <v>40093</v>
      </c>
      <c r="B1779" t="s">
        <v>3495</v>
      </c>
      <c r="C1779" t="s">
        <v>3564</v>
      </c>
      <c r="D1779">
        <v>116</v>
      </c>
      <c r="E1779">
        <v>31</v>
      </c>
      <c r="F1779">
        <v>12</v>
      </c>
      <c r="G1779">
        <v>10</v>
      </c>
      <c r="H1779">
        <v>34</v>
      </c>
      <c r="I1779">
        <v>29</v>
      </c>
      <c r="J1779">
        <v>23</v>
      </c>
      <c r="K1779">
        <v>43</v>
      </c>
      <c r="L1779">
        <v>50</v>
      </c>
      <c r="O1779" t="s">
        <v>3565</v>
      </c>
      <c r="P1779" s="1" t="b">
        <f>NOT(OR(Table1[[#This Row],[State]]="Other Foreign Countries", Table1[[#This Row],[State]]="Unknown", Table1[[#This Row],[State]]="Puerto Rico all counties"))</f>
        <v>1</v>
      </c>
    </row>
    <row r="1780" spans="1:16" x14ac:dyDescent="0.25">
      <c r="A1780">
        <v>41045</v>
      </c>
      <c r="B1780" t="s">
        <v>2607</v>
      </c>
      <c r="C1780" t="s">
        <v>3644</v>
      </c>
      <c r="D1780">
        <v>474</v>
      </c>
      <c r="E1780">
        <v>110</v>
      </c>
      <c r="F1780">
        <v>58</v>
      </c>
      <c r="G1780">
        <v>67</v>
      </c>
      <c r="H1780">
        <v>135</v>
      </c>
      <c r="I1780">
        <v>104</v>
      </c>
      <c r="J1780">
        <v>101</v>
      </c>
      <c r="K1780">
        <v>144</v>
      </c>
      <c r="L1780">
        <v>229</v>
      </c>
      <c r="M1780">
        <v>436</v>
      </c>
      <c r="N1780">
        <v>38</v>
      </c>
      <c r="O1780" t="s">
        <v>3645</v>
      </c>
      <c r="P1780" s="1" t="b">
        <f>NOT(OR(Table1[[#This Row],[State]]="Other Foreign Countries", Table1[[#This Row],[State]]="Unknown", Table1[[#This Row],[State]]="Puerto Rico all counties"))</f>
        <v>1</v>
      </c>
    </row>
    <row r="1781" spans="1:16" x14ac:dyDescent="0.25">
      <c r="A1781">
        <v>51683</v>
      </c>
      <c r="B1781" t="s">
        <v>4555</v>
      </c>
      <c r="C1781" t="s">
        <v>4734</v>
      </c>
      <c r="D1781">
        <v>725</v>
      </c>
      <c r="E1781">
        <v>115</v>
      </c>
      <c r="F1781">
        <v>95</v>
      </c>
      <c r="G1781">
        <v>104</v>
      </c>
      <c r="H1781">
        <v>198</v>
      </c>
      <c r="I1781">
        <v>213</v>
      </c>
      <c r="J1781">
        <v>271</v>
      </c>
      <c r="K1781">
        <v>275</v>
      </c>
      <c r="L1781">
        <v>179</v>
      </c>
      <c r="M1781">
        <v>607</v>
      </c>
      <c r="N1781">
        <v>118</v>
      </c>
      <c r="O1781" t="s">
        <v>4735</v>
      </c>
      <c r="P1781" s="1" t="b">
        <f>NOT(OR(Table1[[#This Row],[State]]="Other Foreign Countries", Table1[[#This Row],[State]]="Unknown", Table1[[#This Row],[State]]="Puerto Rico all counties"))</f>
        <v>1</v>
      </c>
    </row>
    <row r="1782" spans="1:16" x14ac:dyDescent="0.25">
      <c r="A1782">
        <v>51685</v>
      </c>
      <c r="B1782" t="s">
        <v>4555</v>
      </c>
      <c r="C1782" t="s">
        <v>4736</v>
      </c>
      <c r="D1782">
        <v>276</v>
      </c>
      <c r="E1782">
        <v>37</v>
      </c>
      <c r="F1782">
        <v>33</v>
      </c>
      <c r="G1782">
        <v>31</v>
      </c>
      <c r="H1782">
        <v>79</v>
      </c>
      <c r="I1782">
        <v>96</v>
      </c>
      <c r="J1782">
        <v>129</v>
      </c>
      <c r="K1782">
        <v>90</v>
      </c>
      <c r="L1782">
        <v>57</v>
      </c>
      <c r="M1782">
        <v>216</v>
      </c>
      <c r="N1782">
        <v>60</v>
      </c>
      <c r="O1782" t="s">
        <v>4737</v>
      </c>
      <c r="P1782" s="1" t="b">
        <f>NOT(OR(Table1[[#This Row],[State]]="Other Foreign Countries", Table1[[#This Row],[State]]="Unknown", Table1[[#This Row],[State]]="Puerto Rico all counties"))</f>
        <v>1</v>
      </c>
    </row>
    <row r="1783" spans="1:16" x14ac:dyDescent="0.25">
      <c r="A1783">
        <v>12081</v>
      </c>
      <c r="B1783" t="s">
        <v>637</v>
      </c>
      <c r="C1783" t="s">
        <v>705</v>
      </c>
      <c r="D1783">
        <v>9340</v>
      </c>
      <c r="E1783" s="1">
        <v>1913</v>
      </c>
      <c r="F1783">
        <v>979</v>
      </c>
      <c r="G1783" s="1">
        <v>1049</v>
      </c>
      <c r="H1783" s="1">
        <v>2623</v>
      </c>
      <c r="I1783" s="1">
        <v>2776</v>
      </c>
      <c r="J1783" s="1">
        <v>2139</v>
      </c>
      <c r="K1783" s="1">
        <v>2981</v>
      </c>
      <c r="L1783" s="1">
        <v>4220</v>
      </c>
      <c r="M1783" s="1">
        <v>8274</v>
      </c>
      <c r="N1783" s="1">
        <v>1066</v>
      </c>
      <c r="O1783" t="s">
        <v>706</v>
      </c>
      <c r="P1783" s="1" t="b">
        <f>NOT(OR(Table1[[#This Row],[State]]="Other Foreign Countries", Table1[[#This Row],[State]]="Unknown", Table1[[#This Row],[State]]="Puerto Rico all counties"))</f>
        <v>1</v>
      </c>
    </row>
    <row r="1784" spans="1:16" x14ac:dyDescent="0.25">
      <c r="A1784">
        <v>26101</v>
      </c>
      <c r="B1784" t="s">
        <v>2099</v>
      </c>
      <c r="C1784" t="s">
        <v>2187</v>
      </c>
      <c r="D1784">
        <v>626</v>
      </c>
      <c r="E1784">
        <v>164</v>
      </c>
      <c r="F1784">
        <v>64</v>
      </c>
      <c r="G1784">
        <v>70</v>
      </c>
      <c r="H1784">
        <v>190</v>
      </c>
      <c r="I1784">
        <v>138</v>
      </c>
      <c r="J1784">
        <v>88</v>
      </c>
      <c r="K1784">
        <v>184</v>
      </c>
      <c r="L1784">
        <v>354</v>
      </c>
      <c r="M1784">
        <v>586</v>
      </c>
      <c r="N1784">
        <v>40</v>
      </c>
      <c r="O1784" t="s">
        <v>2188</v>
      </c>
      <c r="P1784" s="1" t="b">
        <f>NOT(OR(Table1[[#This Row],[State]]="Other Foreign Countries", Table1[[#This Row],[State]]="Unknown", Table1[[#This Row],[State]]="Puerto Rico all counties"))</f>
        <v>1</v>
      </c>
    </row>
    <row r="1785" spans="1:16" x14ac:dyDescent="0.25">
      <c r="A1785">
        <v>55071</v>
      </c>
      <c r="B1785" t="s">
        <v>4906</v>
      </c>
      <c r="C1785" t="s">
        <v>4955</v>
      </c>
      <c r="D1785">
        <v>1373</v>
      </c>
      <c r="E1785">
        <v>318</v>
      </c>
      <c r="F1785">
        <v>235</v>
      </c>
      <c r="G1785">
        <v>187</v>
      </c>
      <c r="H1785">
        <v>380</v>
      </c>
      <c r="I1785">
        <v>253</v>
      </c>
      <c r="J1785">
        <v>398</v>
      </c>
      <c r="K1785">
        <v>388</v>
      </c>
      <c r="L1785">
        <v>587</v>
      </c>
      <c r="M1785" s="1">
        <v>1212</v>
      </c>
      <c r="N1785">
        <v>161</v>
      </c>
      <c r="O1785" t="s">
        <v>4956</v>
      </c>
      <c r="P1785" s="1" t="b">
        <f>NOT(OR(Table1[[#This Row],[State]]="Other Foreign Countries", Table1[[#This Row],[State]]="Unknown", Table1[[#This Row],[State]]="Puerto Rico all counties"))</f>
        <v>1</v>
      </c>
    </row>
    <row r="1786" spans="1:16" x14ac:dyDescent="0.25">
      <c r="A1786">
        <v>55073</v>
      </c>
      <c r="B1786" t="s">
        <v>4906</v>
      </c>
      <c r="C1786" t="s">
        <v>4957</v>
      </c>
      <c r="D1786">
        <v>2222</v>
      </c>
      <c r="E1786">
        <v>571</v>
      </c>
      <c r="F1786">
        <v>323</v>
      </c>
      <c r="G1786">
        <v>303</v>
      </c>
      <c r="H1786">
        <v>588</v>
      </c>
      <c r="I1786">
        <v>437</v>
      </c>
      <c r="J1786">
        <v>628</v>
      </c>
      <c r="K1786">
        <v>641</v>
      </c>
      <c r="L1786">
        <v>953</v>
      </c>
      <c r="M1786" s="1">
        <v>2008</v>
      </c>
      <c r="N1786">
        <v>214</v>
      </c>
      <c r="O1786" t="s">
        <v>4958</v>
      </c>
      <c r="P1786" s="1" t="b">
        <f>NOT(OR(Table1[[#This Row],[State]]="Other Foreign Countries", Table1[[#This Row],[State]]="Unknown", Table1[[#This Row],[State]]="Puerto Rico all counties"))</f>
        <v>1</v>
      </c>
    </row>
    <row r="1787" spans="1:16" x14ac:dyDescent="0.25">
      <c r="A1787">
        <v>1091</v>
      </c>
      <c r="B1787" t="s">
        <v>15</v>
      </c>
      <c r="C1787" t="s">
        <v>106</v>
      </c>
      <c r="D1787">
        <v>454</v>
      </c>
      <c r="E1787">
        <v>70</v>
      </c>
      <c r="F1787">
        <v>36</v>
      </c>
      <c r="G1787">
        <v>45</v>
      </c>
      <c r="H1787">
        <v>158</v>
      </c>
      <c r="I1787">
        <v>145</v>
      </c>
      <c r="J1787">
        <v>88</v>
      </c>
      <c r="K1787">
        <v>178</v>
      </c>
      <c r="L1787">
        <v>188</v>
      </c>
      <c r="M1787">
        <v>380</v>
      </c>
      <c r="N1787">
        <v>74</v>
      </c>
      <c r="O1787" t="s">
        <v>107</v>
      </c>
      <c r="P1787" s="1" t="b">
        <f>NOT(OR(Table1[[#This Row],[State]]="Other Foreign Countries", Table1[[#This Row],[State]]="Unknown", Table1[[#This Row],[State]]="Puerto Rico all counties"))</f>
        <v>1</v>
      </c>
    </row>
    <row r="1788" spans="1:16" x14ac:dyDescent="0.25">
      <c r="A1788">
        <v>4013</v>
      </c>
      <c r="B1788" t="s">
        <v>211</v>
      </c>
      <c r="C1788" t="s">
        <v>226</v>
      </c>
      <c r="D1788">
        <v>78855</v>
      </c>
      <c r="E1788" s="1">
        <v>15671</v>
      </c>
      <c r="F1788" s="1">
        <v>8682</v>
      </c>
      <c r="G1788" s="1">
        <v>9424</v>
      </c>
      <c r="H1788" s="1">
        <v>23392</v>
      </c>
      <c r="I1788" s="1">
        <v>21686</v>
      </c>
      <c r="J1788" s="1">
        <v>27387</v>
      </c>
      <c r="K1788" s="1">
        <v>24618</v>
      </c>
      <c r="L1788" s="1">
        <v>26850</v>
      </c>
      <c r="M1788" s="1">
        <v>69155</v>
      </c>
      <c r="N1788" s="1">
        <v>9696</v>
      </c>
      <c r="O1788" t="s">
        <v>227</v>
      </c>
      <c r="P1788" s="1" t="b">
        <f>NOT(OR(Table1[[#This Row],[State]]="Other Foreign Countries", Table1[[#This Row],[State]]="Unknown", Table1[[#This Row],[State]]="Puerto Rico all counties"))</f>
        <v>1</v>
      </c>
    </row>
    <row r="1789" spans="1:16" x14ac:dyDescent="0.25">
      <c r="A1789">
        <v>29125</v>
      </c>
      <c r="B1789" t="s">
        <v>2510</v>
      </c>
      <c r="C1789" t="s">
        <v>2591</v>
      </c>
      <c r="D1789">
        <v>313</v>
      </c>
      <c r="E1789">
        <v>58</v>
      </c>
      <c r="F1789">
        <v>44</v>
      </c>
      <c r="G1789">
        <v>30</v>
      </c>
      <c r="H1789">
        <v>90</v>
      </c>
      <c r="I1789">
        <v>91</v>
      </c>
      <c r="J1789">
        <v>55</v>
      </c>
      <c r="K1789">
        <v>109</v>
      </c>
      <c r="L1789">
        <v>149</v>
      </c>
      <c r="M1789">
        <v>279</v>
      </c>
      <c r="N1789">
        <v>33</v>
      </c>
      <c r="O1789" t="s">
        <v>2592</v>
      </c>
      <c r="P1789" s="1" t="b">
        <f>NOT(OR(Table1[[#This Row],[State]]="Other Foreign Countries", Table1[[#This Row],[State]]="Unknown", Table1[[#This Row],[State]]="Puerto Rico all counties"))</f>
        <v>1</v>
      </c>
    </row>
    <row r="1790" spans="1:16" x14ac:dyDescent="0.25">
      <c r="A1790">
        <v>6041</v>
      </c>
      <c r="B1790" t="s">
        <v>374</v>
      </c>
      <c r="C1790" t="s">
        <v>415</v>
      </c>
      <c r="D1790">
        <v>1711</v>
      </c>
      <c r="E1790">
        <v>472</v>
      </c>
      <c r="F1790">
        <v>204</v>
      </c>
      <c r="G1790">
        <v>194</v>
      </c>
      <c r="H1790">
        <v>391</v>
      </c>
      <c r="I1790">
        <v>450</v>
      </c>
      <c r="J1790">
        <v>299</v>
      </c>
      <c r="K1790">
        <v>387</v>
      </c>
      <c r="L1790" s="1">
        <v>1025</v>
      </c>
      <c r="M1790" s="1">
        <v>1586</v>
      </c>
      <c r="N1790">
        <v>124</v>
      </c>
      <c r="O1790" t="s">
        <v>416</v>
      </c>
      <c r="P1790" s="1" t="b">
        <f>NOT(OR(Table1[[#This Row],[State]]="Other Foreign Countries", Table1[[#This Row],[State]]="Unknown", Table1[[#This Row],[State]]="Puerto Rico all counties"))</f>
        <v>1</v>
      </c>
    </row>
    <row r="1791" spans="1:16" x14ac:dyDescent="0.25">
      <c r="A1791">
        <v>55075</v>
      </c>
      <c r="B1791" t="s">
        <v>4906</v>
      </c>
      <c r="C1791" t="s">
        <v>4959</v>
      </c>
      <c r="D1791">
        <v>1329</v>
      </c>
      <c r="E1791">
        <v>298</v>
      </c>
      <c r="F1791">
        <v>162</v>
      </c>
      <c r="G1791">
        <v>182</v>
      </c>
      <c r="H1791">
        <v>399</v>
      </c>
      <c r="I1791">
        <v>288</v>
      </c>
      <c r="J1791">
        <v>259</v>
      </c>
      <c r="K1791">
        <v>403</v>
      </c>
      <c r="L1791">
        <v>667</v>
      </c>
      <c r="M1791" s="1">
        <v>1211</v>
      </c>
      <c r="N1791">
        <v>118</v>
      </c>
      <c r="O1791" t="s">
        <v>4960</v>
      </c>
      <c r="P1791" s="1" t="b">
        <f>NOT(OR(Table1[[#This Row],[State]]="Other Foreign Countries", Table1[[#This Row],[State]]="Unknown", Table1[[#This Row],[State]]="Puerto Rico all counties"))</f>
        <v>1</v>
      </c>
    </row>
    <row r="1792" spans="1:16" x14ac:dyDescent="0.25">
      <c r="A1792">
        <v>1093</v>
      </c>
      <c r="B1792" t="s">
        <v>15</v>
      </c>
      <c r="C1792" t="s">
        <v>108</v>
      </c>
      <c r="D1792">
        <v>529</v>
      </c>
      <c r="E1792">
        <v>75</v>
      </c>
      <c r="F1792">
        <v>53</v>
      </c>
      <c r="G1792">
        <v>65</v>
      </c>
      <c r="H1792">
        <v>176</v>
      </c>
      <c r="I1792">
        <v>160</v>
      </c>
      <c r="J1792">
        <v>120</v>
      </c>
      <c r="K1792">
        <v>184</v>
      </c>
      <c r="L1792">
        <v>225</v>
      </c>
      <c r="M1792">
        <v>495</v>
      </c>
      <c r="N1792">
        <v>34</v>
      </c>
      <c r="O1792" t="s">
        <v>109</v>
      </c>
      <c r="P1792" s="1" t="b">
        <f>NOT(OR(Table1[[#This Row],[State]]="Other Foreign Countries", Table1[[#This Row],[State]]="Unknown", Table1[[#This Row],[State]]="Puerto Rico all counties"))</f>
        <v>1</v>
      </c>
    </row>
    <row r="1793" spans="1:16" x14ac:dyDescent="0.25">
      <c r="A1793">
        <v>5089</v>
      </c>
      <c r="B1793" t="s">
        <v>242</v>
      </c>
      <c r="C1793" t="s">
        <v>108</v>
      </c>
      <c r="D1793">
        <v>582</v>
      </c>
      <c r="E1793">
        <v>105</v>
      </c>
      <c r="F1793">
        <v>57</v>
      </c>
      <c r="G1793">
        <v>56</v>
      </c>
      <c r="H1793">
        <v>177</v>
      </c>
      <c r="I1793">
        <v>187</v>
      </c>
      <c r="J1793">
        <v>113</v>
      </c>
      <c r="K1793">
        <v>171</v>
      </c>
      <c r="L1793">
        <v>298</v>
      </c>
      <c r="M1793">
        <v>525</v>
      </c>
      <c r="N1793">
        <v>57</v>
      </c>
      <c r="O1793" t="s">
        <v>319</v>
      </c>
      <c r="P1793" s="1" t="b">
        <f>NOT(OR(Table1[[#This Row],[State]]="Other Foreign Countries", Table1[[#This Row],[State]]="Unknown", Table1[[#This Row],[State]]="Puerto Rico all counties"))</f>
        <v>1</v>
      </c>
    </row>
    <row r="1794" spans="1:16" x14ac:dyDescent="0.25">
      <c r="A1794">
        <v>12083</v>
      </c>
      <c r="B1794" t="s">
        <v>637</v>
      </c>
      <c r="C1794" t="s">
        <v>108</v>
      </c>
      <c r="D1794">
        <v>12993</v>
      </c>
      <c r="E1794" s="1">
        <v>2640</v>
      </c>
      <c r="F1794" s="1">
        <v>1352</v>
      </c>
      <c r="G1794" s="1">
        <v>1457</v>
      </c>
      <c r="H1794" s="1">
        <v>3748</v>
      </c>
      <c r="I1794" s="1">
        <v>3796</v>
      </c>
      <c r="J1794" s="1">
        <v>2659</v>
      </c>
      <c r="K1794" s="1">
        <v>3656</v>
      </c>
      <c r="L1794" s="1">
        <v>6678</v>
      </c>
      <c r="M1794" s="1">
        <v>11511</v>
      </c>
      <c r="N1794" s="1">
        <v>1482</v>
      </c>
      <c r="O1794" t="s">
        <v>707</v>
      </c>
      <c r="P1794" s="1" t="b">
        <f>NOT(OR(Table1[[#This Row],[State]]="Other Foreign Countries", Table1[[#This Row],[State]]="Unknown", Table1[[#This Row],[State]]="Puerto Rico all counties"))</f>
        <v>1</v>
      </c>
    </row>
    <row r="1795" spans="1:16" x14ac:dyDescent="0.25">
      <c r="A1795">
        <v>13197</v>
      </c>
      <c r="B1795" t="s">
        <v>754</v>
      </c>
      <c r="C1795" t="s">
        <v>108</v>
      </c>
      <c r="D1795">
        <v>288</v>
      </c>
      <c r="E1795">
        <v>45</v>
      </c>
      <c r="F1795">
        <v>24</v>
      </c>
      <c r="G1795">
        <v>24</v>
      </c>
      <c r="H1795">
        <v>87</v>
      </c>
      <c r="I1795">
        <v>108</v>
      </c>
      <c r="J1795">
        <v>86</v>
      </c>
      <c r="K1795">
        <v>92</v>
      </c>
      <c r="L1795">
        <v>110</v>
      </c>
      <c r="M1795">
        <v>243</v>
      </c>
      <c r="N1795">
        <v>45</v>
      </c>
      <c r="O1795" t="s">
        <v>919</v>
      </c>
      <c r="P1795" s="1" t="b">
        <f>NOT(OR(Table1[[#This Row],[State]]="Other Foreign Countries", Table1[[#This Row],[State]]="Unknown", Table1[[#This Row],[State]]="Puerto Rico all counties"))</f>
        <v>1</v>
      </c>
    </row>
    <row r="1796" spans="1:16" x14ac:dyDescent="0.25">
      <c r="A1796">
        <v>17121</v>
      </c>
      <c r="B1796" t="s">
        <v>1109</v>
      </c>
      <c r="C1796" t="s">
        <v>108</v>
      </c>
      <c r="D1796">
        <v>710</v>
      </c>
      <c r="E1796">
        <v>121</v>
      </c>
      <c r="F1796">
        <v>86</v>
      </c>
      <c r="G1796">
        <v>90</v>
      </c>
      <c r="H1796">
        <v>215</v>
      </c>
      <c r="I1796">
        <v>198</v>
      </c>
      <c r="J1796">
        <v>166</v>
      </c>
      <c r="K1796">
        <v>197</v>
      </c>
      <c r="L1796">
        <v>347</v>
      </c>
      <c r="M1796">
        <v>661</v>
      </c>
      <c r="N1796">
        <v>48</v>
      </c>
      <c r="O1796" t="s">
        <v>1202</v>
      </c>
      <c r="P1796" s="1" t="b">
        <f>NOT(OR(Table1[[#This Row],[State]]="Other Foreign Countries", Table1[[#This Row],[State]]="Unknown", Table1[[#This Row],[State]]="Puerto Rico all counties"))</f>
        <v>1</v>
      </c>
    </row>
    <row r="1797" spans="1:16" x14ac:dyDescent="0.25">
      <c r="A1797">
        <v>18097</v>
      </c>
      <c r="B1797" t="s">
        <v>1266</v>
      </c>
      <c r="C1797" t="s">
        <v>108</v>
      </c>
      <c r="D1797">
        <v>13033</v>
      </c>
      <c r="E1797" s="1">
        <v>3464</v>
      </c>
      <c r="F1797" s="1">
        <v>1722</v>
      </c>
      <c r="G1797" s="1">
        <v>1646</v>
      </c>
      <c r="H1797" s="1">
        <v>3591</v>
      </c>
      <c r="I1797" s="1">
        <v>2610</v>
      </c>
      <c r="J1797" s="1">
        <v>3510</v>
      </c>
      <c r="K1797" s="1">
        <v>4256</v>
      </c>
      <c r="L1797" s="1">
        <v>5267</v>
      </c>
      <c r="M1797" s="1">
        <v>11309</v>
      </c>
      <c r="N1797" s="1">
        <v>1724</v>
      </c>
      <c r="O1797" t="s">
        <v>1332</v>
      </c>
      <c r="P1797" s="1" t="b">
        <f>NOT(OR(Table1[[#This Row],[State]]="Other Foreign Countries", Table1[[#This Row],[State]]="Unknown", Table1[[#This Row],[State]]="Puerto Rico all counties"))</f>
        <v>1</v>
      </c>
    </row>
    <row r="1798" spans="1:16" x14ac:dyDescent="0.25">
      <c r="A1798">
        <v>19125</v>
      </c>
      <c r="B1798" t="s">
        <v>1399</v>
      </c>
      <c r="C1798" t="s">
        <v>108</v>
      </c>
      <c r="D1798">
        <v>650</v>
      </c>
      <c r="E1798">
        <v>196</v>
      </c>
      <c r="F1798">
        <v>75</v>
      </c>
      <c r="G1798">
        <v>81</v>
      </c>
      <c r="H1798">
        <v>157</v>
      </c>
      <c r="I1798">
        <v>141</v>
      </c>
      <c r="J1798">
        <v>133</v>
      </c>
      <c r="K1798">
        <v>186</v>
      </c>
      <c r="L1798">
        <v>331</v>
      </c>
      <c r="M1798">
        <v>596</v>
      </c>
      <c r="N1798">
        <v>54</v>
      </c>
      <c r="O1798" t="s">
        <v>1487</v>
      </c>
      <c r="P1798" s="1" t="b">
        <f>NOT(OR(Table1[[#This Row],[State]]="Other Foreign Countries", Table1[[#This Row],[State]]="Unknown", Table1[[#This Row],[State]]="Puerto Rico all counties"))</f>
        <v>1</v>
      </c>
    </row>
    <row r="1799" spans="1:16" x14ac:dyDescent="0.25">
      <c r="A1799">
        <v>20115</v>
      </c>
      <c r="B1799" t="s">
        <v>1543</v>
      </c>
      <c r="C1799" t="s">
        <v>108</v>
      </c>
      <c r="D1799">
        <v>163</v>
      </c>
      <c r="E1799">
        <v>41</v>
      </c>
      <c r="F1799">
        <v>14</v>
      </c>
      <c r="G1799">
        <v>23</v>
      </c>
      <c r="H1799">
        <v>44</v>
      </c>
      <c r="I1799">
        <v>41</v>
      </c>
      <c r="J1799">
        <v>41</v>
      </c>
      <c r="K1799">
        <v>50</v>
      </c>
      <c r="L1799">
        <v>72</v>
      </c>
      <c r="M1799">
        <v>149</v>
      </c>
      <c r="N1799">
        <v>14</v>
      </c>
      <c r="O1799" t="s">
        <v>1633</v>
      </c>
      <c r="P1799" s="1" t="b">
        <f>NOT(OR(Table1[[#This Row],[State]]="Other Foreign Countries", Table1[[#This Row],[State]]="Unknown", Table1[[#This Row],[State]]="Puerto Rico all counties"))</f>
        <v>1</v>
      </c>
    </row>
    <row r="1800" spans="1:16" x14ac:dyDescent="0.25">
      <c r="A1800">
        <v>21155</v>
      </c>
      <c r="B1800" t="s">
        <v>1716</v>
      </c>
      <c r="C1800" t="s">
        <v>108</v>
      </c>
      <c r="D1800">
        <v>285</v>
      </c>
      <c r="E1800">
        <v>68</v>
      </c>
      <c r="F1800">
        <v>19</v>
      </c>
      <c r="G1800">
        <v>41</v>
      </c>
      <c r="H1800">
        <v>85</v>
      </c>
      <c r="I1800">
        <v>72</v>
      </c>
      <c r="J1800">
        <v>47</v>
      </c>
      <c r="K1800">
        <v>105</v>
      </c>
      <c r="L1800">
        <v>133</v>
      </c>
      <c r="M1800">
        <v>256</v>
      </c>
      <c r="N1800">
        <v>29</v>
      </c>
      <c r="O1800" t="s">
        <v>1832</v>
      </c>
      <c r="P1800" s="1" t="b">
        <f>NOT(OR(Table1[[#This Row],[State]]="Other Foreign Countries", Table1[[#This Row],[State]]="Unknown", Table1[[#This Row],[State]]="Puerto Rico all counties"))</f>
        <v>1</v>
      </c>
    </row>
    <row r="1801" spans="1:16" x14ac:dyDescent="0.25">
      <c r="A1801">
        <v>28091</v>
      </c>
      <c r="B1801" t="s">
        <v>322</v>
      </c>
      <c r="C1801" t="s">
        <v>108</v>
      </c>
      <c r="D1801">
        <v>398</v>
      </c>
      <c r="E1801">
        <v>65</v>
      </c>
      <c r="F1801">
        <v>43</v>
      </c>
      <c r="G1801">
        <v>37</v>
      </c>
      <c r="H1801">
        <v>129</v>
      </c>
      <c r="I1801">
        <v>124</v>
      </c>
      <c r="J1801">
        <v>64</v>
      </c>
      <c r="K1801">
        <v>154</v>
      </c>
      <c r="L1801">
        <v>180</v>
      </c>
      <c r="M1801">
        <v>346</v>
      </c>
      <c r="N1801">
        <v>52</v>
      </c>
      <c r="O1801" t="s">
        <v>2455</v>
      </c>
      <c r="P1801" s="1" t="b">
        <f>NOT(OR(Table1[[#This Row],[State]]="Other Foreign Countries", Table1[[#This Row],[State]]="Unknown", Table1[[#This Row],[State]]="Puerto Rico all counties"))</f>
        <v>1</v>
      </c>
    </row>
    <row r="1802" spans="1:16" x14ac:dyDescent="0.25">
      <c r="A1802">
        <v>29127</v>
      </c>
      <c r="B1802" t="s">
        <v>2510</v>
      </c>
      <c r="C1802" t="s">
        <v>108</v>
      </c>
      <c r="D1802">
        <v>631</v>
      </c>
      <c r="E1802">
        <v>196</v>
      </c>
      <c r="F1802">
        <v>66</v>
      </c>
      <c r="G1802">
        <v>83</v>
      </c>
      <c r="H1802">
        <v>162</v>
      </c>
      <c r="I1802">
        <v>124</v>
      </c>
      <c r="J1802">
        <v>134</v>
      </c>
      <c r="K1802">
        <v>162</v>
      </c>
      <c r="L1802">
        <v>335</v>
      </c>
      <c r="M1802">
        <v>591</v>
      </c>
      <c r="N1802">
        <v>40</v>
      </c>
      <c r="O1802" t="s">
        <v>2593</v>
      </c>
      <c r="P1802" s="1" t="b">
        <f>NOT(OR(Table1[[#This Row],[State]]="Other Foreign Countries", Table1[[#This Row],[State]]="Unknown", Table1[[#This Row],[State]]="Puerto Rico all counties"))</f>
        <v>1</v>
      </c>
    </row>
    <row r="1803" spans="1:16" x14ac:dyDescent="0.25">
      <c r="A1803">
        <v>39101</v>
      </c>
      <c r="B1803" t="s">
        <v>1343</v>
      </c>
      <c r="C1803" t="s">
        <v>108</v>
      </c>
      <c r="D1803">
        <v>999</v>
      </c>
      <c r="E1803">
        <v>252</v>
      </c>
      <c r="F1803">
        <v>134</v>
      </c>
      <c r="G1803">
        <v>140</v>
      </c>
      <c r="H1803">
        <v>265</v>
      </c>
      <c r="I1803">
        <v>208</v>
      </c>
      <c r="J1803">
        <v>275</v>
      </c>
      <c r="K1803">
        <v>289</v>
      </c>
      <c r="L1803">
        <v>435</v>
      </c>
      <c r="M1803">
        <v>922</v>
      </c>
      <c r="N1803">
        <v>77</v>
      </c>
      <c r="O1803" t="s">
        <v>3441</v>
      </c>
      <c r="P1803" s="1" t="b">
        <f>NOT(OR(Table1[[#This Row],[State]]="Other Foreign Countries", Table1[[#This Row],[State]]="Unknown", Table1[[#This Row],[State]]="Puerto Rico all counties"))</f>
        <v>1</v>
      </c>
    </row>
    <row r="1804" spans="1:16" x14ac:dyDescent="0.25">
      <c r="A1804">
        <v>41047</v>
      </c>
      <c r="B1804" t="s">
        <v>2607</v>
      </c>
      <c r="C1804" t="s">
        <v>108</v>
      </c>
      <c r="D1804">
        <v>5802</v>
      </c>
      <c r="E1804" s="1">
        <v>1311</v>
      </c>
      <c r="F1804">
        <v>795</v>
      </c>
      <c r="G1804">
        <v>827</v>
      </c>
      <c r="H1804" s="1">
        <v>1775</v>
      </c>
      <c r="I1804" s="1">
        <v>1094</v>
      </c>
      <c r="J1804" s="1">
        <v>1683</v>
      </c>
      <c r="K1804" s="1">
        <v>1706</v>
      </c>
      <c r="L1804" s="1">
        <v>2413</v>
      </c>
      <c r="M1804" s="1">
        <v>5155</v>
      </c>
      <c r="N1804">
        <v>646</v>
      </c>
      <c r="O1804" t="s">
        <v>3646</v>
      </c>
      <c r="P1804" s="1" t="b">
        <f>NOT(OR(Table1[[#This Row],[State]]="Other Foreign Countries", Table1[[#This Row],[State]]="Unknown", Table1[[#This Row],[State]]="Puerto Rico all counties"))</f>
        <v>1</v>
      </c>
    </row>
    <row r="1805" spans="1:16" x14ac:dyDescent="0.25">
      <c r="A1805">
        <v>45067</v>
      </c>
      <c r="B1805" t="s">
        <v>3772</v>
      </c>
      <c r="C1805" t="s">
        <v>108</v>
      </c>
      <c r="D1805">
        <v>867</v>
      </c>
      <c r="E1805">
        <v>131</v>
      </c>
      <c r="F1805">
        <v>70</v>
      </c>
      <c r="G1805">
        <v>106</v>
      </c>
      <c r="H1805">
        <v>288</v>
      </c>
      <c r="I1805">
        <v>272</v>
      </c>
      <c r="J1805">
        <v>146</v>
      </c>
      <c r="K1805">
        <v>297</v>
      </c>
      <c r="L1805">
        <v>424</v>
      </c>
      <c r="M1805">
        <v>761</v>
      </c>
      <c r="N1805">
        <v>106</v>
      </c>
      <c r="O1805" t="s">
        <v>3827</v>
      </c>
      <c r="P1805" s="1" t="b">
        <f>NOT(OR(Table1[[#This Row],[State]]="Other Foreign Countries", Table1[[#This Row],[State]]="Unknown", Table1[[#This Row],[State]]="Puerto Rico all counties"))</f>
        <v>1</v>
      </c>
    </row>
    <row r="1806" spans="1:16" x14ac:dyDescent="0.25">
      <c r="A1806">
        <v>47115</v>
      </c>
      <c r="B1806" t="s">
        <v>3951</v>
      </c>
      <c r="C1806" t="s">
        <v>108</v>
      </c>
      <c r="D1806">
        <v>637</v>
      </c>
      <c r="E1806">
        <v>145</v>
      </c>
      <c r="F1806">
        <v>54</v>
      </c>
      <c r="G1806">
        <v>68</v>
      </c>
      <c r="H1806">
        <v>192</v>
      </c>
      <c r="I1806">
        <v>178</v>
      </c>
      <c r="J1806">
        <v>128</v>
      </c>
      <c r="K1806">
        <v>218</v>
      </c>
      <c r="L1806">
        <v>291</v>
      </c>
      <c r="M1806">
        <v>581</v>
      </c>
      <c r="N1806">
        <v>56</v>
      </c>
      <c r="O1806" t="s">
        <v>4025</v>
      </c>
      <c r="P1806" s="1" t="b">
        <f>NOT(OR(Table1[[#This Row],[State]]="Other Foreign Countries", Table1[[#This Row],[State]]="Unknown", Table1[[#This Row],[State]]="Puerto Rico all counties"))</f>
        <v>1</v>
      </c>
    </row>
    <row r="1807" spans="1:16" x14ac:dyDescent="0.25">
      <c r="A1807">
        <v>48315</v>
      </c>
      <c r="B1807" t="s">
        <v>2654</v>
      </c>
      <c r="C1807" t="s">
        <v>108</v>
      </c>
      <c r="D1807">
        <v>346</v>
      </c>
      <c r="E1807">
        <v>49</v>
      </c>
      <c r="F1807">
        <v>29</v>
      </c>
      <c r="G1807">
        <v>52</v>
      </c>
      <c r="H1807">
        <v>119</v>
      </c>
      <c r="I1807">
        <v>97</v>
      </c>
      <c r="J1807">
        <v>58</v>
      </c>
      <c r="K1807">
        <v>118</v>
      </c>
      <c r="L1807">
        <v>170</v>
      </c>
      <c r="M1807">
        <v>303</v>
      </c>
      <c r="N1807">
        <v>43</v>
      </c>
      <c r="O1807" t="s">
        <v>4328</v>
      </c>
      <c r="P1807" s="1" t="b">
        <f>NOT(OR(Table1[[#This Row],[State]]="Other Foreign Countries", Table1[[#This Row],[State]]="Unknown", Table1[[#This Row],[State]]="Puerto Rico all counties"))</f>
        <v>1</v>
      </c>
    </row>
    <row r="1808" spans="1:16" x14ac:dyDescent="0.25">
      <c r="A1808">
        <v>54049</v>
      </c>
      <c r="B1808" t="s">
        <v>4833</v>
      </c>
      <c r="C1808" t="s">
        <v>108</v>
      </c>
      <c r="D1808">
        <v>1290</v>
      </c>
      <c r="E1808">
        <v>230</v>
      </c>
      <c r="F1808">
        <v>166</v>
      </c>
      <c r="G1808">
        <v>161</v>
      </c>
      <c r="H1808">
        <v>381</v>
      </c>
      <c r="I1808">
        <v>352</v>
      </c>
      <c r="J1808">
        <v>258</v>
      </c>
      <c r="K1808">
        <v>451</v>
      </c>
      <c r="L1808">
        <v>581</v>
      </c>
      <c r="M1808" s="1">
        <v>1184</v>
      </c>
      <c r="N1808">
        <v>106</v>
      </c>
      <c r="O1808" t="s">
        <v>4865</v>
      </c>
      <c r="P1808" s="1" t="b">
        <f>NOT(OR(Table1[[#This Row],[State]]="Other Foreign Countries", Table1[[#This Row],[State]]="Unknown", Table1[[#This Row],[State]]="Puerto Rico all counties"))</f>
        <v>1</v>
      </c>
    </row>
    <row r="1809" spans="1:16" x14ac:dyDescent="0.25">
      <c r="A1809">
        <v>6043</v>
      </c>
      <c r="B1809" t="s">
        <v>374</v>
      </c>
      <c r="C1809" t="s">
        <v>417</v>
      </c>
      <c r="D1809">
        <v>430</v>
      </c>
      <c r="E1809">
        <v>131</v>
      </c>
      <c r="F1809">
        <v>45</v>
      </c>
      <c r="G1809">
        <v>46</v>
      </c>
      <c r="H1809">
        <v>117</v>
      </c>
      <c r="I1809">
        <v>91</v>
      </c>
      <c r="J1809">
        <v>93</v>
      </c>
      <c r="K1809">
        <v>81</v>
      </c>
      <c r="L1809">
        <v>256</v>
      </c>
      <c r="M1809">
        <v>397</v>
      </c>
      <c r="N1809">
        <v>33</v>
      </c>
      <c r="O1809" t="s">
        <v>418</v>
      </c>
      <c r="P1809" s="1" t="b">
        <f>NOT(OR(Table1[[#This Row],[State]]="Other Foreign Countries", Table1[[#This Row],[State]]="Unknown", Table1[[#This Row],[State]]="Puerto Rico all counties"))</f>
        <v>1</v>
      </c>
    </row>
    <row r="1810" spans="1:16" x14ac:dyDescent="0.25">
      <c r="A1810">
        <v>45069</v>
      </c>
      <c r="B1810" t="s">
        <v>3772</v>
      </c>
      <c r="C1810" t="s">
        <v>3828</v>
      </c>
      <c r="D1810">
        <v>592</v>
      </c>
      <c r="E1810">
        <v>94</v>
      </c>
      <c r="F1810">
        <v>57</v>
      </c>
      <c r="G1810">
        <v>70</v>
      </c>
      <c r="H1810">
        <v>200</v>
      </c>
      <c r="I1810">
        <v>171</v>
      </c>
      <c r="J1810">
        <v>111</v>
      </c>
      <c r="K1810">
        <v>211</v>
      </c>
      <c r="L1810">
        <v>270</v>
      </c>
      <c r="M1810">
        <v>528</v>
      </c>
      <c r="N1810">
        <v>64</v>
      </c>
      <c r="O1810" t="s">
        <v>3829</v>
      </c>
      <c r="P1810" s="1" t="b">
        <f>NOT(OR(Table1[[#This Row],[State]]="Other Foreign Countries", Table1[[#This Row],[State]]="Unknown", Table1[[#This Row],[State]]="Puerto Rico all counties"))</f>
        <v>1</v>
      </c>
    </row>
    <row r="1811" spans="1:16" x14ac:dyDescent="0.25">
      <c r="A1811">
        <v>26103</v>
      </c>
      <c r="B1811" t="s">
        <v>2099</v>
      </c>
      <c r="C1811" t="s">
        <v>2189</v>
      </c>
      <c r="D1811">
        <v>2281</v>
      </c>
      <c r="E1811">
        <v>591</v>
      </c>
      <c r="F1811">
        <v>306</v>
      </c>
      <c r="G1811">
        <v>274</v>
      </c>
      <c r="H1811">
        <v>634</v>
      </c>
      <c r="I1811">
        <v>476</v>
      </c>
      <c r="J1811">
        <v>421</v>
      </c>
      <c r="K1811">
        <v>687</v>
      </c>
      <c r="L1811" s="1">
        <v>1173</v>
      </c>
      <c r="M1811" s="1">
        <v>2090</v>
      </c>
      <c r="N1811">
        <v>191</v>
      </c>
      <c r="O1811" t="s">
        <v>2190</v>
      </c>
      <c r="P1811" s="1" t="b">
        <f>NOT(OR(Table1[[#This Row],[State]]="Other Foreign Countries", Table1[[#This Row],[State]]="Unknown", Table1[[#This Row],[State]]="Puerto Rico all counties"))</f>
        <v>1</v>
      </c>
    </row>
    <row r="1812" spans="1:16" x14ac:dyDescent="0.25">
      <c r="A1812">
        <v>55077</v>
      </c>
      <c r="B1812" t="s">
        <v>4906</v>
      </c>
      <c r="C1812" t="s">
        <v>2189</v>
      </c>
      <c r="D1812">
        <v>440</v>
      </c>
      <c r="E1812">
        <v>112</v>
      </c>
      <c r="F1812">
        <v>66</v>
      </c>
      <c r="G1812">
        <v>61</v>
      </c>
      <c r="H1812">
        <v>115</v>
      </c>
      <c r="I1812">
        <v>86</v>
      </c>
      <c r="J1812">
        <v>74</v>
      </c>
      <c r="K1812">
        <v>139</v>
      </c>
      <c r="L1812">
        <v>227</v>
      </c>
      <c r="M1812">
        <v>401</v>
      </c>
      <c r="N1812">
        <v>39</v>
      </c>
      <c r="O1812" t="s">
        <v>4961</v>
      </c>
      <c r="P1812" s="1" t="b">
        <f>NOT(OR(Table1[[#This Row],[State]]="Other Foreign Countries", Table1[[#This Row],[State]]="Unknown", Table1[[#This Row],[State]]="Puerto Rico all counties"))</f>
        <v>1</v>
      </c>
    </row>
    <row r="1813" spans="1:16" x14ac:dyDescent="0.25">
      <c r="A1813">
        <v>1095</v>
      </c>
      <c r="B1813" t="s">
        <v>15</v>
      </c>
      <c r="C1813" t="s">
        <v>110</v>
      </c>
      <c r="D1813">
        <v>2185</v>
      </c>
      <c r="E1813">
        <v>356</v>
      </c>
      <c r="F1813">
        <v>226</v>
      </c>
      <c r="G1813">
        <v>274</v>
      </c>
      <c r="H1813">
        <v>663</v>
      </c>
      <c r="I1813">
        <v>666</v>
      </c>
      <c r="J1813">
        <v>523</v>
      </c>
      <c r="K1813">
        <v>735</v>
      </c>
      <c r="L1813">
        <v>927</v>
      </c>
      <c r="M1813" s="1">
        <v>1989</v>
      </c>
      <c r="N1813">
        <v>196</v>
      </c>
      <c r="O1813" t="s">
        <v>111</v>
      </c>
      <c r="P1813" s="1" t="b">
        <f>NOT(OR(Table1[[#This Row],[State]]="Other Foreign Countries", Table1[[#This Row],[State]]="Unknown", Table1[[#This Row],[State]]="Puerto Rico all counties"))</f>
        <v>1</v>
      </c>
    </row>
    <row r="1814" spans="1:16" x14ac:dyDescent="0.25">
      <c r="A1814">
        <v>17123</v>
      </c>
      <c r="B1814" t="s">
        <v>1109</v>
      </c>
      <c r="C1814" t="s">
        <v>110</v>
      </c>
      <c r="D1814">
        <v>185</v>
      </c>
      <c r="E1814">
        <v>35</v>
      </c>
      <c r="F1814">
        <v>17</v>
      </c>
      <c r="G1814">
        <v>16</v>
      </c>
      <c r="H1814">
        <v>59</v>
      </c>
      <c r="I1814">
        <v>58</v>
      </c>
      <c r="J1814">
        <v>49</v>
      </c>
      <c r="K1814">
        <v>61</v>
      </c>
      <c r="L1814">
        <v>75</v>
      </c>
      <c r="M1814">
        <v>174</v>
      </c>
      <c r="N1814">
        <v>11</v>
      </c>
      <c r="O1814" t="s">
        <v>1203</v>
      </c>
      <c r="P1814" s="1" t="b">
        <f>NOT(OR(Table1[[#This Row],[State]]="Other Foreign Countries", Table1[[#This Row],[State]]="Unknown", Table1[[#This Row],[State]]="Puerto Rico all counties"))</f>
        <v>1</v>
      </c>
    </row>
    <row r="1815" spans="1:16" x14ac:dyDescent="0.25">
      <c r="A1815">
        <v>18099</v>
      </c>
      <c r="B1815" t="s">
        <v>1266</v>
      </c>
      <c r="C1815" t="s">
        <v>110</v>
      </c>
      <c r="D1815">
        <v>719</v>
      </c>
      <c r="E1815">
        <v>240</v>
      </c>
      <c r="F1815">
        <v>91</v>
      </c>
      <c r="G1815">
        <v>95</v>
      </c>
      <c r="H1815">
        <v>175</v>
      </c>
      <c r="I1815">
        <v>118</v>
      </c>
      <c r="J1815">
        <v>156</v>
      </c>
      <c r="K1815">
        <v>205</v>
      </c>
      <c r="L1815">
        <v>358</v>
      </c>
      <c r="M1815">
        <v>666</v>
      </c>
      <c r="N1815">
        <v>52</v>
      </c>
      <c r="O1815" t="s">
        <v>1333</v>
      </c>
      <c r="P1815" s="1" t="b">
        <f>NOT(OR(Table1[[#This Row],[State]]="Other Foreign Countries", Table1[[#This Row],[State]]="Unknown", Table1[[#This Row],[State]]="Puerto Rico all counties"))</f>
        <v>1</v>
      </c>
    </row>
    <row r="1816" spans="1:16" x14ac:dyDescent="0.25">
      <c r="A1816">
        <v>19127</v>
      </c>
      <c r="B1816" t="s">
        <v>1399</v>
      </c>
      <c r="C1816" t="s">
        <v>110</v>
      </c>
      <c r="D1816">
        <v>724</v>
      </c>
      <c r="E1816">
        <v>207</v>
      </c>
      <c r="F1816">
        <v>109</v>
      </c>
      <c r="G1816">
        <v>93</v>
      </c>
      <c r="H1816">
        <v>154</v>
      </c>
      <c r="I1816">
        <v>161</v>
      </c>
      <c r="J1816">
        <v>117</v>
      </c>
      <c r="K1816">
        <v>186</v>
      </c>
      <c r="L1816">
        <v>421</v>
      </c>
      <c r="M1816">
        <v>681</v>
      </c>
      <c r="N1816">
        <v>43</v>
      </c>
      <c r="O1816" t="s">
        <v>1488</v>
      </c>
      <c r="P1816" s="1" t="b">
        <f>NOT(OR(Table1[[#This Row],[State]]="Other Foreign Countries", Table1[[#This Row],[State]]="Unknown", Table1[[#This Row],[State]]="Puerto Rico all counties"))</f>
        <v>1</v>
      </c>
    </row>
    <row r="1817" spans="1:16" x14ac:dyDescent="0.25">
      <c r="A1817">
        <v>20117</v>
      </c>
      <c r="B1817" t="s">
        <v>1543</v>
      </c>
      <c r="C1817" t="s">
        <v>110</v>
      </c>
      <c r="D1817">
        <v>209</v>
      </c>
      <c r="E1817">
        <v>51</v>
      </c>
      <c r="F1817">
        <v>32</v>
      </c>
      <c r="G1817">
        <v>31</v>
      </c>
      <c r="H1817">
        <v>52</v>
      </c>
      <c r="I1817">
        <v>43</v>
      </c>
      <c r="J1817">
        <v>50</v>
      </c>
      <c r="K1817">
        <v>59</v>
      </c>
      <c r="L1817">
        <v>100</v>
      </c>
      <c r="M1817">
        <v>194</v>
      </c>
      <c r="N1817">
        <v>15</v>
      </c>
      <c r="O1817" t="s">
        <v>1634</v>
      </c>
      <c r="P1817" s="1" t="b">
        <f>NOT(OR(Table1[[#This Row],[State]]="Other Foreign Countries", Table1[[#This Row],[State]]="Unknown", Table1[[#This Row],[State]]="Puerto Rico all counties"))</f>
        <v>1</v>
      </c>
    </row>
    <row r="1818" spans="1:16" x14ac:dyDescent="0.25">
      <c r="A1818">
        <v>21157</v>
      </c>
      <c r="B1818" t="s">
        <v>1716</v>
      </c>
      <c r="C1818" t="s">
        <v>110</v>
      </c>
      <c r="D1818">
        <v>686</v>
      </c>
      <c r="E1818">
        <v>150</v>
      </c>
      <c r="F1818">
        <v>69</v>
      </c>
      <c r="G1818">
        <v>86</v>
      </c>
      <c r="H1818">
        <v>203</v>
      </c>
      <c r="I1818">
        <v>178</v>
      </c>
      <c r="J1818">
        <v>165</v>
      </c>
      <c r="K1818">
        <v>215</v>
      </c>
      <c r="L1818">
        <v>306</v>
      </c>
      <c r="M1818">
        <v>640</v>
      </c>
      <c r="N1818">
        <v>46</v>
      </c>
      <c r="O1818" t="s">
        <v>1833</v>
      </c>
      <c r="P1818" s="1" t="b">
        <f>NOT(OR(Table1[[#This Row],[State]]="Other Foreign Countries", Table1[[#This Row],[State]]="Unknown", Table1[[#This Row],[State]]="Puerto Rico all counties"))</f>
        <v>1</v>
      </c>
    </row>
    <row r="1819" spans="1:16" x14ac:dyDescent="0.25">
      <c r="A1819">
        <v>27089</v>
      </c>
      <c r="B1819" t="s">
        <v>2245</v>
      </c>
      <c r="C1819" t="s">
        <v>110</v>
      </c>
      <c r="D1819">
        <v>254</v>
      </c>
      <c r="E1819">
        <v>91</v>
      </c>
      <c r="F1819">
        <v>18</v>
      </c>
      <c r="G1819">
        <v>25</v>
      </c>
      <c r="H1819">
        <v>65</v>
      </c>
      <c r="I1819">
        <v>55</v>
      </c>
      <c r="J1819">
        <v>29</v>
      </c>
      <c r="K1819">
        <v>54</v>
      </c>
      <c r="L1819">
        <v>171</v>
      </c>
      <c r="M1819">
        <v>240</v>
      </c>
      <c r="N1819">
        <v>14</v>
      </c>
      <c r="O1819" t="s">
        <v>2319</v>
      </c>
      <c r="P1819" s="1" t="b">
        <f>NOT(OR(Table1[[#This Row],[State]]="Other Foreign Countries", Table1[[#This Row],[State]]="Unknown", Table1[[#This Row],[State]]="Puerto Rico all counties"))</f>
        <v>1</v>
      </c>
    </row>
    <row r="1820" spans="1:16" x14ac:dyDescent="0.25">
      <c r="A1820">
        <v>28093</v>
      </c>
      <c r="B1820" t="s">
        <v>322</v>
      </c>
      <c r="C1820" t="s">
        <v>110</v>
      </c>
      <c r="D1820">
        <v>502</v>
      </c>
      <c r="E1820">
        <v>99</v>
      </c>
      <c r="F1820">
        <v>56</v>
      </c>
      <c r="G1820">
        <v>64</v>
      </c>
      <c r="H1820">
        <v>148</v>
      </c>
      <c r="I1820">
        <v>135</v>
      </c>
      <c r="J1820">
        <v>108</v>
      </c>
      <c r="K1820">
        <v>165</v>
      </c>
      <c r="L1820">
        <v>229</v>
      </c>
      <c r="M1820">
        <v>447</v>
      </c>
      <c r="N1820">
        <v>55</v>
      </c>
      <c r="O1820" t="s">
        <v>2456</v>
      </c>
      <c r="P1820" s="1" t="b">
        <f>NOT(OR(Table1[[#This Row],[State]]="Other Foreign Countries", Table1[[#This Row],[State]]="Unknown", Table1[[#This Row],[State]]="Puerto Rico all counties"))</f>
        <v>1</v>
      </c>
    </row>
    <row r="1821" spans="1:16" x14ac:dyDescent="0.25">
      <c r="A1821">
        <v>40095</v>
      </c>
      <c r="B1821" t="s">
        <v>3495</v>
      </c>
      <c r="C1821" t="s">
        <v>110</v>
      </c>
      <c r="D1821">
        <v>450</v>
      </c>
      <c r="E1821">
        <v>89</v>
      </c>
      <c r="F1821">
        <v>36</v>
      </c>
      <c r="G1821">
        <v>52</v>
      </c>
      <c r="H1821">
        <v>154</v>
      </c>
      <c r="I1821">
        <v>119</v>
      </c>
      <c r="J1821">
        <v>78</v>
      </c>
      <c r="K1821">
        <v>120</v>
      </c>
      <c r="L1821">
        <v>252</v>
      </c>
      <c r="M1821">
        <v>424</v>
      </c>
      <c r="N1821">
        <v>26</v>
      </c>
      <c r="O1821" t="s">
        <v>3566</v>
      </c>
      <c r="P1821" s="1" t="b">
        <f>NOT(OR(Table1[[#This Row],[State]]="Other Foreign Countries", Table1[[#This Row],[State]]="Unknown", Table1[[#This Row],[State]]="Puerto Rico all counties"))</f>
        <v>1</v>
      </c>
    </row>
    <row r="1822" spans="1:16" x14ac:dyDescent="0.25">
      <c r="A1822">
        <v>46091</v>
      </c>
      <c r="B1822" t="s">
        <v>3846</v>
      </c>
      <c r="C1822" t="s">
        <v>110</v>
      </c>
      <c r="D1822">
        <v>62</v>
      </c>
      <c r="E1822">
        <v>15</v>
      </c>
      <c r="H1822">
        <v>14</v>
      </c>
      <c r="I1822">
        <v>12</v>
      </c>
      <c r="L1822">
        <v>38</v>
      </c>
      <c r="O1822" t="s">
        <v>3915</v>
      </c>
      <c r="P1822" s="1" t="b">
        <f>NOT(OR(Table1[[#This Row],[State]]="Other Foreign Countries", Table1[[#This Row],[State]]="Unknown", Table1[[#This Row],[State]]="Puerto Rico all counties"))</f>
        <v>1</v>
      </c>
    </row>
    <row r="1823" spans="1:16" x14ac:dyDescent="0.25">
      <c r="A1823">
        <v>47117</v>
      </c>
      <c r="B1823" t="s">
        <v>3951</v>
      </c>
      <c r="C1823" t="s">
        <v>110</v>
      </c>
      <c r="D1823">
        <v>735</v>
      </c>
      <c r="E1823">
        <v>138</v>
      </c>
      <c r="F1823">
        <v>65</v>
      </c>
      <c r="G1823">
        <v>80</v>
      </c>
      <c r="H1823">
        <v>245</v>
      </c>
      <c r="I1823">
        <v>207</v>
      </c>
      <c r="J1823">
        <v>223</v>
      </c>
      <c r="K1823">
        <v>247</v>
      </c>
      <c r="L1823">
        <v>265</v>
      </c>
      <c r="M1823">
        <v>662</v>
      </c>
      <c r="N1823">
        <v>73</v>
      </c>
      <c r="O1823" t="s">
        <v>4026</v>
      </c>
      <c r="P1823" s="1" t="b">
        <f>NOT(OR(Table1[[#This Row],[State]]="Other Foreign Countries", Table1[[#This Row],[State]]="Unknown", Table1[[#This Row],[State]]="Puerto Rico all counties"))</f>
        <v>1</v>
      </c>
    </row>
    <row r="1824" spans="1:16" x14ac:dyDescent="0.25">
      <c r="A1824">
        <v>54051</v>
      </c>
      <c r="B1824" t="s">
        <v>4833</v>
      </c>
      <c r="C1824" t="s">
        <v>110</v>
      </c>
      <c r="D1824">
        <v>543</v>
      </c>
      <c r="E1824">
        <v>161</v>
      </c>
      <c r="F1824">
        <v>71</v>
      </c>
      <c r="G1824">
        <v>68</v>
      </c>
      <c r="H1824">
        <v>149</v>
      </c>
      <c r="I1824">
        <v>94</v>
      </c>
      <c r="J1824">
        <v>97</v>
      </c>
      <c r="K1824">
        <v>175</v>
      </c>
      <c r="L1824">
        <v>271</v>
      </c>
      <c r="M1824">
        <v>518</v>
      </c>
      <c r="N1824">
        <v>25</v>
      </c>
      <c r="O1824" t="s">
        <v>4866</v>
      </c>
      <c r="P1824" s="1" t="b">
        <f>NOT(OR(Table1[[#This Row],[State]]="Other Foreign Countries", Table1[[#This Row],[State]]="Unknown", Table1[[#This Row],[State]]="Puerto Rico all counties"))</f>
        <v>1</v>
      </c>
    </row>
    <row r="1825" spans="1:16" x14ac:dyDescent="0.25">
      <c r="A1825">
        <v>12085</v>
      </c>
      <c r="B1825" t="s">
        <v>637</v>
      </c>
      <c r="C1825" t="s">
        <v>708</v>
      </c>
      <c r="D1825">
        <v>2998</v>
      </c>
      <c r="E1825">
        <v>772</v>
      </c>
      <c r="F1825">
        <v>332</v>
      </c>
      <c r="G1825">
        <v>345</v>
      </c>
      <c r="H1825">
        <v>816</v>
      </c>
      <c r="I1825">
        <v>733</v>
      </c>
      <c r="J1825">
        <v>614</v>
      </c>
      <c r="K1825">
        <v>749</v>
      </c>
      <c r="L1825" s="1">
        <v>1635</v>
      </c>
      <c r="M1825" s="1">
        <v>2771</v>
      </c>
      <c r="N1825">
        <v>227</v>
      </c>
      <c r="O1825" t="s">
        <v>709</v>
      </c>
      <c r="P1825" s="1" t="b">
        <f>NOT(OR(Table1[[#This Row],[State]]="Other Foreign Countries", Table1[[#This Row],[State]]="Unknown", Table1[[#This Row],[State]]="Puerto Rico all counties"))</f>
        <v>1</v>
      </c>
    </row>
    <row r="1826" spans="1:16" x14ac:dyDescent="0.25">
      <c r="A1826">
        <v>18101</v>
      </c>
      <c r="B1826" t="s">
        <v>1266</v>
      </c>
      <c r="C1826" t="s">
        <v>708</v>
      </c>
      <c r="D1826">
        <v>280</v>
      </c>
      <c r="E1826">
        <v>76</v>
      </c>
      <c r="F1826">
        <v>32</v>
      </c>
      <c r="G1826">
        <v>32</v>
      </c>
      <c r="H1826">
        <v>66</v>
      </c>
      <c r="I1826">
        <v>74</v>
      </c>
      <c r="J1826">
        <v>59</v>
      </c>
      <c r="K1826">
        <v>90</v>
      </c>
      <c r="L1826">
        <v>131</v>
      </c>
      <c r="M1826">
        <v>255</v>
      </c>
      <c r="N1826">
        <v>25</v>
      </c>
      <c r="O1826" t="s">
        <v>1334</v>
      </c>
      <c r="P1826" s="1" t="b">
        <f>NOT(OR(Table1[[#This Row],[State]]="Other Foreign Countries", Table1[[#This Row],[State]]="Unknown", Table1[[#This Row],[State]]="Puerto Rico all counties"))</f>
        <v>1</v>
      </c>
    </row>
    <row r="1827" spans="1:16" x14ac:dyDescent="0.25">
      <c r="A1827">
        <v>21159</v>
      </c>
      <c r="B1827" t="s">
        <v>1716</v>
      </c>
      <c r="C1827" t="s">
        <v>708</v>
      </c>
      <c r="D1827">
        <v>101</v>
      </c>
      <c r="G1827">
        <v>16</v>
      </c>
      <c r="H1827">
        <v>35</v>
      </c>
      <c r="I1827">
        <v>26</v>
      </c>
      <c r="J1827">
        <v>15</v>
      </c>
      <c r="K1827">
        <v>25</v>
      </c>
      <c r="L1827">
        <v>61</v>
      </c>
      <c r="O1827" t="s">
        <v>1834</v>
      </c>
      <c r="P1827" s="1" t="b">
        <f>NOT(OR(Table1[[#This Row],[State]]="Other Foreign Countries", Table1[[#This Row],[State]]="Unknown", Table1[[#This Row],[State]]="Puerto Rico all counties"))</f>
        <v>1</v>
      </c>
    </row>
    <row r="1828" spans="1:16" x14ac:dyDescent="0.25">
      <c r="A1828">
        <v>27091</v>
      </c>
      <c r="B1828" t="s">
        <v>2245</v>
      </c>
      <c r="C1828" t="s">
        <v>708</v>
      </c>
      <c r="D1828">
        <v>476</v>
      </c>
      <c r="E1828">
        <v>206</v>
      </c>
      <c r="F1828">
        <v>54</v>
      </c>
      <c r="G1828">
        <v>57</v>
      </c>
      <c r="H1828">
        <v>99</v>
      </c>
      <c r="I1828">
        <v>60</v>
      </c>
      <c r="J1828">
        <v>69</v>
      </c>
      <c r="K1828">
        <v>111</v>
      </c>
      <c r="L1828">
        <v>296</v>
      </c>
      <c r="M1828">
        <v>456</v>
      </c>
      <c r="N1828">
        <v>20</v>
      </c>
      <c r="O1828" t="s">
        <v>2320</v>
      </c>
      <c r="P1828" s="1" t="b">
        <f>NOT(OR(Table1[[#This Row],[State]]="Other Foreign Countries", Table1[[#This Row],[State]]="Unknown", Table1[[#This Row],[State]]="Puerto Rico all counties"))</f>
        <v>1</v>
      </c>
    </row>
    <row r="1829" spans="1:16" x14ac:dyDescent="0.25">
      <c r="A1829">
        <v>37117</v>
      </c>
      <c r="B1829" t="s">
        <v>3121</v>
      </c>
      <c r="C1829" t="s">
        <v>708</v>
      </c>
      <c r="D1829">
        <v>528</v>
      </c>
      <c r="E1829">
        <v>87</v>
      </c>
      <c r="F1829">
        <v>61</v>
      </c>
      <c r="G1829">
        <v>60</v>
      </c>
      <c r="H1829">
        <v>170</v>
      </c>
      <c r="I1829">
        <v>150</v>
      </c>
      <c r="J1829">
        <v>96</v>
      </c>
      <c r="K1829">
        <v>138</v>
      </c>
      <c r="L1829">
        <v>294</v>
      </c>
      <c r="M1829">
        <v>470</v>
      </c>
      <c r="N1829">
        <v>58</v>
      </c>
      <c r="O1829" t="s">
        <v>3218</v>
      </c>
      <c r="P1829" s="1" t="b">
        <f>NOT(OR(Table1[[#This Row],[State]]="Other Foreign Countries", Table1[[#This Row],[State]]="Unknown", Table1[[#This Row],[State]]="Puerto Rico all counties"))</f>
        <v>1</v>
      </c>
    </row>
    <row r="1830" spans="1:16" x14ac:dyDescent="0.25">
      <c r="A1830">
        <v>48317</v>
      </c>
      <c r="B1830" t="s">
        <v>2654</v>
      </c>
      <c r="C1830" t="s">
        <v>708</v>
      </c>
      <c r="D1830">
        <v>52</v>
      </c>
      <c r="H1830">
        <v>18</v>
      </c>
      <c r="I1830">
        <v>11</v>
      </c>
      <c r="J1830">
        <v>17</v>
      </c>
      <c r="K1830">
        <v>19</v>
      </c>
      <c r="L1830">
        <v>16</v>
      </c>
      <c r="O1830" t="s">
        <v>4329</v>
      </c>
      <c r="P1830" s="1" t="b">
        <f>NOT(OR(Table1[[#This Row],[State]]="Other Foreign Countries", Table1[[#This Row],[State]]="Unknown", Table1[[#This Row],[State]]="Puerto Rico all counties"))</f>
        <v>1</v>
      </c>
    </row>
    <row r="1831" spans="1:16" x14ac:dyDescent="0.25">
      <c r="A1831">
        <v>51690</v>
      </c>
      <c r="B1831" t="s">
        <v>4555</v>
      </c>
      <c r="C1831" t="s">
        <v>4738</v>
      </c>
      <c r="D1831">
        <v>219</v>
      </c>
      <c r="E1831">
        <v>42</v>
      </c>
      <c r="F1831">
        <v>21</v>
      </c>
      <c r="G1831">
        <v>27</v>
      </c>
      <c r="H1831">
        <v>66</v>
      </c>
      <c r="I1831">
        <v>63</v>
      </c>
      <c r="J1831">
        <v>45</v>
      </c>
      <c r="K1831">
        <v>67</v>
      </c>
      <c r="L1831">
        <v>107</v>
      </c>
      <c r="M1831">
        <v>192</v>
      </c>
      <c r="N1831">
        <v>27</v>
      </c>
      <c r="O1831" t="s">
        <v>4739</v>
      </c>
      <c r="P1831" s="1" t="b">
        <f>NOT(OR(Table1[[#This Row],[State]]="Other Foreign Countries", Table1[[#This Row],[State]]="Unknown", Table1[[#This Row],[State]]="Puerto Rico all counties"))</f>
        <v>1</v>
      </c>
    </row>
    <row r="1832" spans="1:16" x14ac:dyDescent="0.25">
      <c r="A1832">
        <v>17125</v>
      </c>
      <c r="B1832" t="s">
        <v>1109</v>
      </c>
      <c r="C1832" t="s">
        <v>1204</v>
      </c>
      <c r="D1832">
        <v>268</v>
      </c>
      <c r="E1832">
        <v>48</v>
      </c>
      <c r="F1832">
        <v>37</v>
      </c>
      <c r="G1832">
        <v>24</v>
      </c>
      <c r="H1832">
        <v>88</v>
      </c>
      <c r="I1832">
        <v>71</v>
      </c>
      <c r="J1832">
        <v>70</v>
      </c>
      <c r="K1832">
        <v>80</v>
      </c>
      <c r="L1832">
        <v>118</v>
      </c>
      <c r="M1832">
        <v>244</v>
      </c>
      <c r="N1832">
        <v>24</v>
      </c>
      <c r="O1832" t="s">
        <v>1205</v>
      </c>
      <c r="P1832" s="1" t="b">
        <f>NOT(OR(Table1[[#This Row],[State]]="Other Foreign Countries", Table1[[#This Row],[State]]="Unknown", Table1[[#This Row],[State]]="Puerto Rico all counties"))</f>
        <v>1</v>
      </c>
    </row>
    <row r="1833" spans="1:16" x14ac:dyDescent="0.25">
      <c r="A1833">
        <v>21161</v>
      </c>
      <c r="B1833" t="s">
        <v>1716</v>
      </c>
      <c r="C1833" t="s">
        <v>1204</v>
      </c>
      <c r="D1833">
        <v>236</v>
      </c>
      <c r="E1833">
        <v>49</v>
      </c>
      <c r="F1833">
        <v>31</v>
      </c>
      <c r="G1833">
        <v>36</v>
      </c>
      <c r="H1833">
        <v>68</v>
      </c>
      <c r="I1833">
        <v>52</v>
      </c>
      <c r="J1833">
        <v>45</v>
      </c>
      <c r="K1833">
        <v>80</v>
      </c>
      <c r="L1833">
        <v>111</v>
      </c>
      <c r="M1833">
        <v>220</v>
      </c>
      <c r="N1833">
        <v>16</v>
      </c>
      <c r="O1833" t="s">
        <v>1835</v>
      </c>
      <c r="P1833" s="1" t="b">
        <f>NOT(OR(Table1[[#This Row],[State]]="Other Foreign Countries", Table1[[#This Row],[State]]="Unknown", Table1[[#This Row],[State]]="Puerto Rico all counties"))</f>
        <v>1</v>
      </c>
    </row>
    <row r="1834" spans="1:16" x14ac:dyDescent="0.25">
      <c r="A1834">
        <v>26105</v>
      </c>
      <c r="B1834" t="s">
        <v>2099</v>
      </c>
      <c r="C1834" t="s">
        <v>1204</v>
      </c>
      <c r="D1834">
        <v>560</v>
      </c>
      <c r="E1834">
        <v>128</v>
      </c>
      <c r="F1834">
        <v>59</v>
      </c>
      <c r="G1834">
        <v>74</v>
      </c>
      <c r="H1834">
        <v>155</v>
      </c>
      <c r="I1834">
        <v>144</v>
      </c>
      <c r="J1834">
        <v>113</v>
      </c>
      <c r="K1834">
        <v>158</v>
      </c>
      <c r="L1834">
        <v>289</v>
      </c>
      <c r="M1834">
        <v>510</v>
      </c>
      <c r="N1834">
        <v>50</v>
      </c>
      <c r="O1834" t="s">
        <v>2191</v>
      </c>
      <c r="P1834" s="1" t="b">
        <f>NOT(OR(Table1[[#This Row],[State]]="Other Foreign Countries", Table1[[#This Row],[State]]="Unknown", Table1[[#This Row],[State]]="Puerto Rico all counties"))</f>
        <v>1</v>
      </c>
    </row>
    <row r="1835" spans="1:16" x14ac:dyDescent="0.25">
      <c r="A1835">
        <v>48319</v>
      </c>
      <c r="B1835" t="s">
        <v>2654</v>
      </c>
      <c r="C1835" t="s">
        <v>1204</v>
      </c>
      <c r="D1835">
        <v>79</v>
      </c>
      <c r="E1835">
        <v>18</v>
      </c>
      <c r="F1835">
        <v>10</v>
      </c>
      <c r="G1835">
        <v>10</v>
      </c>
      <c r="H1835">
        <v>25</v>
      </c>
      <c r="I1835">
        <v>16</v>
      </c>
      <c r="J1835">
        <v>12</v>
      </c>
      <c r="K1835">
        <v>21</v>
      </c>
      <c r="L1835">
        <v>46</v>
      </c>
      <c r="O1835" t="s">
        <v>4330</v>
      </c>
      <c r="P1835" s="1" t="b">
        <f>NOT(OR(Table1[[#This Row],[State]]="Other Foreign Countries", Table1[[#This Row],[State]]="Unknown", Table1[[#This Row],[State]]="Puerto Rico all counties"))</f>
        <v>1</v>
      </c>
    </row>
    <row r="1836" spans="1:16" x14ac:dyDescent="0.25">
      <c r="A1836">
        <v>53045</v>
      </c>
      <c r="B1836" t="s">
        <v>144</v>
      </c>
      <c r="C1836" t="s">
        <v>1204</v>
      </c>
      <c r="D1836">
        <v>2654</v>
      </c>
      <c r="E1836">
        <v>592</v>
      </c>
      <c r="F1836">
        <v>325</v>
      </c>
      <c r="G1836">
        <v>348</v>
      </c>
      <c r="H1836">
        <v>804</v>
      </c>
      <c r="I1836">
        <v>585</v>
      </c>
      <c r="J1836">
        <v>615</v>
      </c>
      <c r="K1836">
        <v>908</v>
      </c>
      <c r="L1836" s="1">
        <v>1131</v>
      </c>
      <c r="M1836" s="1">
        <v>2352</v>
      </c>
      <c r="N1836">
        <v>302</v>
      </c>
      <c r="O1836" t="s">
        <v>4804</v>
      </c>
      <c r="P1836" s="1" t="b">
        <f>NOT(OR(Table1[[#This Row],[State]]="Other Foreign Countries", Table1[[#This Row],[State]]="Unknown", Table1[[#This Row],[State]]="Puerto Rico all counties"))</f>
        <v>1</v>
      </c>
    </row>
    <row r="1837" spans="1:16" x14ac:dyDescent="0.25">
      <c r="A1837">
        <v>54053</v>
      </c>
      <c r="B1837" t="s">
        <v>4833</v>
      </c>
      <c r="C1837" t="s">
        <v>1204</v>
      </c>
      <c r="D1837">
        <v>545</v>
      </c>
      <c r="E1837">
        <v>96</v>
      </c>
      <c r="F1837">
        <v>77</v>
      </c>
      <c r="G1837">
        <v>62</v>
      </c>
      <c r="H1837">
        <v>182</v>
      </c>
      <c r="I1837">
        <v>128</v>
      </c>
      <c r="J1837">
        <v>112</v>
      </c>
      <c r="K1837">
        <v>182</v>
      </c>
      <c r="L1837">
        <v>251</v>
      </c>
      <c r="M1837">
        <v>506</v>
      </c>
      <c r="N1837">
        <v>39</v>
      </c>
      <c r="O1837" t="s">
        <v>4867</v>
      </c>
      <c r="P1837" s="1" t="b">
        <f>NOT(OR(Table1[[#This Row],[State]]="Other Foreign Countries", Table1[[#This Row],[State]]="Unknown", Table1[[#This Row],[State]]="Puerto Rico all counties"))</f>
        <v>1</v>
      </c>
    </row>
    <row r="1838" spans="1:16" x14ac:dyDescent="0.25">
      <c r="A1838">
        <v>17127</v>
      </c>
      <c r="B1838" t="s">
        <v>1109</v>
      </c>
      <c r="C1838" t="s">
        <v>1206</v>
      </c>
      <c r="D1838">
        <v>311</v>
      </c>
      <c r="E1838">
        <v>58</v>
      </c>
      <c r="F1838">
        <v>46</v>
      </c>
      <c r="G1838">
        <v>39</v>
      </c>
      <c r="H1838">
        <v>95</v>
      </c>
      <c r="I1838">
        <v>73</v>
      </c>
      <c r="J1838">
        <v>75</v>
      </c>
      <c r="K1838">
        <v>96</v>
      </c>
      <c r="L1838">
        <v>140</v>
      </c>
      <c r="M1838">
        <v>285</v>
      </c>
      <c r="N1838">
        <v>26</v>
      </c>
      <c r="O1838" t="s">
        <v>1207</v>
      </c>
      <c r="P1838" s="1" t="b">
        <f>NOT(OR(Table1[[#This Row],[State]]="Other Foreign Countries", Table1[[#This Row],[State]]="Unknown", Table1[[#This Row],[State]]="Puerto Rico all counties"))</f>
        <v>1</v>
      </c>
    </row>
    <row r="1839" spans="1:16" x14ac:dyDescent="0.25">
      <c r="A1839">
        <v>48321</v>
      </c>
      <c r="B1839" t="s">
        <v>2654</v>
      </c>
      <c r="C1839" t="s">
        <v>4331</v>
      </c>
      <c r="D1839">
        <v>741</v>
      </c>
      <c r="E1839">
        <v>205</v>
      </c>
      <c r="F1839">
        <v>86</v>
      </c>
      <c r="G1839">
        <v>85</v>
      </c>
      <c r="H1839">
        <v>205</v>
      </c>
      <c r="I1839">
        <v>160</v>
      </c>
      <c r="J1839">
        <v>164</v>
      </c>
      <c r="K1839">
        <v>201</v>
      </c>
      <c r="L1839">
        <v>376</v>
      </c>
      <c r="M1839">
        <v>682</v>
      </c>
      <c r="N1839">
        <v>59</v>
      </c>
      <c r="O1839" t="s">
        <v>4332</v>
      </c>
      <c r="P1839" s="1" t="b">
        <f>NOT(OR(Table1[[#This Row],[State]]="Other Foreign Countries", Table1[[#This Row],[State]]="Unknown", Table1[[#This Row],[State]]="Puerto Rico all counties"))</f>
        <v>1</v>
      </c>
    </row>
    <row r="1840" spans="1:16" x14ac:dyDescent="0.25">
      <c r="A1840">
        <v>2170</v>
      </c>
      <c r="B1840" t="s">
        <v>150</v>
      </c>
      <c r="C1840" t="s">
        <v>187</v>
      </c>
      <c r="D1840">
        <v>5752</v>
      </c>
      <c r="E1840">
        <v>858</v>
      </c>
      <c r="F1840">
        <v>575</v>
      </c>
      <c r="G1840">
        <v>744</v>
      </c>
      <c r="H1840" s="1">
        <v>1763</v>
      </c>
      <c r="I1840" s="1">
        <v>1812</v>
      </c>
      <c r="J1840" s="1">
        <v>2000</v>
      </c>
      <c r="K1840" s="1">
        <v>2349</v>
      </c>
      <c r="L1840" s="1">
        <v>1403</v>
      </c>
      <c r="M1840" s="1">
        <v>4921</v>
      </c>
      <c r="N1840">
        <v>831</v>
      </c>
      <c r="O1840" t="s">
        <v>188</v>
      </c>
      <c r="P1840" s="1" t="b">
        <f>NOT(OR(Table1[[#This Row],[State]]="Other Foreign Countries", Table1[[#This Row],[State]]="Unknown", Table1[[#This Row],[State]]="Puerto Rico all counties"))</f>
        <v>1</v>
      </c>
    </row>
    <row r="1841" spans="1:16" x14ac:dyDescent="0.25">
      <c r="A1841">
        <v>51115</v>
      </c>
      <c r="B1841" t="s">
        <v>4555</v>
      </c>
      <c r="C1841" t="s">
        <v>4640</v>
      </c>
      <c r="D1841">
        <v>257</v>
      </c>
      <c r="E1841">
        <v>58</v>
      </c>
      <c r="F1841">
        <v>29</v>
      </c>
      <c r="G1841">
        <v>37</v>
      </c>
      <c r="H1841">
        <v>64</v>
      </c>
      <c r="I1841">
        <v>69</v>
      </c>
      <c r="J1841">
        <v>48</v>
      </c>
      <c r="K1841">
        <v>96</v>
      </c>
      <c r="L1841">
        <v>113</v>
      </c>
      <c r="M1841">
        <v>222</v>
      </c>
      <c r="N1841">
        <v>35</v>
      </c>
      <c r="O1841" t="s">
        <v>4641</v>
      </c>
      <c r="P1841" s="1" t="b">
        <f>NOT(OR(Table1[[#This Row],[State]]="Other Foreign Countries", Table1[[#This Row],[State]]="Unknown", Table1[[#This Row],[State]]="Puerto Rico all counties"))</f>
        <v>1</v>
      </c>
    </row>
    <row r="1842" spans="1:16" x14ac:dyDescent="0.25">
      <c r="A1842">
        <v>15009</v>
      </c>
      <c r="B1842" t="s">
        <v>1022</v>
      </c>
      <c r="C1842" t="s">
        <v>1030</v>
      </c>
      <c r="D1842">
        <v>2128</v>
      </c>
      <c r="E1842">
        <v>534</v>
      </c>
      <c r="F1842">
        <v>200</v>
      </c>
      <c r="G1842">
        <v>234</v>
      </c>
      <c r="H1842">
        <v>634</v>
      </c>
      <c r="I1842">
        <v>526</v>
      </c>
      <c r="J1842">
        <v>429</v>
      </c>
      <c r="K1842">
        <v>510</v>
      </c>
      <c r="L1842" s="1">
        <v>1189</v>
      </c>
      <c r="M1842" s="1">
        <v>1957</v>
      </c>
      <c r="N1842">
        <v>171</v>
      </c>
      <c r="O1842" t="s">
        <v>1031</v>
      </c>
      <c r="P1842" s="1" t="b">
        <f>NOT(OR(Table1[[#This Row],[State]]="Other Foreign Countries", Table1[[#This Row],[State]]="Unknown", Table1[[#This Row],[State]]="Puerto Rico all counties"))</f>
        <v>1</v>
      </c>
    </row>
    <row r="1843" spans="1:16" x14ac:dyDescent="0.25">
      <c r="A1843">
        <v>47119</v>
      </c>
      <c r="B1843" t="s">
        <v>3951</v>
      </c>
      <c r="C1843" t="s">
        <v>4027</v>
      </c>
      <c r="D1843">
        <v>2037</v>
      </c>
      <c r="E1843">
        <v>429</v>
      </c>
      <c r="F1843">
        <v>221</v>
      </c>
      <c r="G1843">
        <v>199</v>
      </c>
      <c r="H1843">
        <v>657</v>
      </c>
      <c r="I1843">
        <v>531</v>
      </c>
      <c r="J1843">
        <v>645</v>
      </c>
      <c r="K1843">
        <v>585</v>
      </c>
      <c r="L1843">
        <v>807</v>
      </c>
      <c r="M1843" s="1">
        <v>1840</v>
      </c>
      <c r="N1843">
        <v>196</v>
      </c>
      <c r="O1843" t="s">
        <v>4028</v>
      </c>
      <c r="P1843" s="1" t="b">
        <f>NOT(OR(Table1[[#This Row],[State]]="Other Foreign Countries", Table1[[#This Row],[State]]="Unknown", Table1[[#This Row],[State]]="Puerto Rico all counties"))</f>
        <v>1</v>
      </c>
    </row>
    <row r="1844" spans="1:16" x14ac:dyDescent="0.25">
      <c r="A1844">
        <v>48323</v>
      </c>
      <c r="B1844" t="s">
        <v>2654</v>
      </c>
      <c r="C1844" t="s">
        <v>4333</v>
      </c>
      <c r="D1844">
        <v>617</v>
      </c>
      <c r="E1844">
        <v>96</v>
      </c>
      <c r="F1844">
        <v>60</v>
      </c>
      <c r="G1844">
        <v>68</v>
      </c>
      <c r="H1844">
        <v>207</v>
      </c>
      <c r="I1844">
        <v>186</v>
      </c>
      <c r="J1844">
        <v>243</v>
      </c>
      <c r="K1844">
        <v>208</v>
      </c>
      <c r="L1844">
        <v>166</v>
      </c>
      <c r="M1844">
        <v>581</v>
      </c>
      <c r="N1844">
        <v>36</v>
      </c>
      <c r="O1844" t="s">
        <v>4334</v>
      </c>
      <c r="P1844" s="1" t="b">
        <f>NOT(OR(Table1[[#This Row],[State]]="Other Foreign Countries", Table1[[#This Row],[State]]="Unknown", Table1[[#This Row],[State]]="Puerto Rico all counties"))</f>
        <v>1</v>
      </c>
    </row>
    <row r="1845" spans="1:16" x14ac:dyDescent="0.25">
      <c r="A1845">
        <v>40097</v>
      </c>
      <c r="B1845" t="s">
        <v>3495</v>
      </c>
      <c r="C1845" t="s">
        <v>3567</v>
      </c>
      <c r="D1845">
        <v>1177</v>
      </c>
      <c r="E1845">
        <v>231</v>
      </c>
      <c r="F1845">
        <v>122</v>
      </c>
      <c r="G1845">
        <v>116</v>
      </c>
      <c r="H1845">
        <v>404</v>
      </c>
      <c r="I1845">
        <v>304</v>
      </c>
      <c r="J1845">
        <v>291</v>
      </c>
      <c r="K1845">
        <v>335</v>
      </c>
      <c r="L1845">
        <v>551</v>
      </c>
      <c r="M1845" s="1">
        <v>1087</v>
      </c>
      <c r="N1845">
        <v>90</v>
      </c>
      <c r="O1845" t="s">
        <v>3568</v>
      </c>
      <c r="P1845" s="1" t="b">
        <f>NOT(OR(Table1[[#This Row],[State]]="Other Foreign Countries", Table1[[#This Row],[State]]="Unknown", Table1[[#This Row],[State]]="Puerto Rico all counties"))</f>
        <v>1</v>
      </c>
    </row>
    <row r="1846" spans="1:16" x14ac:dyDescent="0.25">
      <c r="A1846">
        <v>40087</v>
      </c>
      <c r="B1846" t="s">
        <v>3495</v>
      </c>
      <c r="C1846" t="s">
        <v>3559</v>
      </c>
      <c r="D1846">
        <v>1762</v>
      </c>
      <c r="E1846">
        <v>286</v>
      </c>
      <c r="F1846">
        <v>122</v>
      </c>
      <c r="G1846">
        <v>188</v>
      </c>
      <c r="H1846">
        <v>540</v>
      </c>
      <c r="I1846">
        <v>626</v>
      </c>
      <c r="J1846">
        <v>502</v>
      </c>
      <c r="K1846">
        <v>585</v>
      </c>
      <c r="L1846">
        <v>675</v>
      </c>
      <c r="M1846" s="1">
        <v>1596</v>
      </c>
      <c r="N1846">
        <v>166</v>
      </c>
      <c r="O1846" t="s">
        <v>3560</v>
      </c>
      <c r="P1846" s="1" t="b">
        <f>NOT(OR(Table1[[#This Row],[State]]="Other Foreign Countries", Table1[[#This Row],[State]]="Unknown", Table1[[#This Row],[State]]="Puerto Rico all counties"))</f>
        <v>1</v>
      </c>
    </row>
    <row r="1847" spans="1:16" x14ac:dyDescent="0.25">
      <c r="A1847">
        <v>30055</v>
      </c>
      <c r="B1847" t="s">
        <v>2665</v>
      </c>
      <c r="C1847" t="s">
        <v>2710</v>
      </c>
      <c r="D1847">
        <v>32</v>
      </c>
      <c r="I1847">
        <v>12</v>
      </c>
      <c r="L1847">
        <v>15</v>
      </c>
      <c r="O1847" t="s">
        <v>2711</v>
      </c>
      <c r="P1847" s="1" t="b">
        <f>NOT(OR(Table1[[#This Row],[State]]="Other Foreign Countries", Table1[[#This Row],[State]]="Unknown", Table1[[#This Row],[State]]="Puerto Rico all counties"))</f>
        <v>1</v>
      </c>
    </row>
    <row r="1848" spans="1:16" x14ac:dyDescent="0.25">
      <c r="A1848">
        <v>46087</v>
      </c>
      <c r="B1848" t="s">
        <v>3846</v>
      </c>
      <c r="C1848" t="s">
        <v>3912</v>
      </c>
      <c r="D1848">
        <v>131</v>
      </c>
      <c r="E1848">
        <v>42</v>
      </c>
      <c r="F1848">
        <v>16</v>
      </c>
      <c r="G1848">
        <v>12</v>
      </c>
      <c r="H1848">
        <v>38</v>
      </c>
      <c r="I1848">
        <v>23</v>
      </c>
      <c r="J1848">
        <v>31</v>
      </c>
      <c r="K1848">
        <v>45</v>
      </c>
      <c r="L1848">
        <v>55</v>
      </c>
      <c r="M1848">
        <v>121</v>
      </c>
      <c r="N1848">
        <v>10</v>
      </c>
      <c r="O1848" t="s">
        <v>3913</v>
      </c>
      <c r="P1848" s="1" t="b">
        <f>NOT(OR(Table1[[#This Row],[State]]="Other Foreign Countries", Table1[[#This Row],[State]]="Unknown", Table1[[#This Row],[State]]="Puerto Rico all counties"))</f>
        <v>1</v>
      </c>
    </row>
    <row r="1849" spans="1:16" x14ac:dyDescent="0.25">
      <c r="A1849">
        <v>45065</v>
      </c>
      <c r="B1849" t="s">
        <v>3772</v>
      </c>
      <c r="C1849" t="s">
        <v>3825</v>
      </c>
      <c r="D1849">
        <v>403</v>
      </c>
      <c r="E1849">
        <v>77</v>
      </c>
      <c r="F1849">
        <v>38</v>
      </c>
      <c r="G1849">
        <v>43</v>
      </c>
      <c r="H1849">
        <v>116</v>
      </c>
      <c r="I1849">
        <v>129</v>
      </c>
      <c r="J1849">
        <v>31</v>
      </c>
      <c r="K1849">
        <v>129</v>
      </c>
      <c r="L1849">
        <v>243</v>
      </c>
      <c r="M1849">
        <v>360</v>
      </c>
      <c r="N1849">
        <v>43</v>
      </c>
      <c r="O1849" t="s">
        <v>3826</v>
      </c>
      <c r="P1849" s="1" t="b">
        <f>NOT(OR(Table1[[#This Row],[State]]="Other Foreign Countries", Table1[[#This Row],[State]]="Unknown", Table1[[#This Row],[State]]="Puerto Rico all counties"))</f>
        <v>1</v>
      </c>
    </row>
    <row r="1850" spans="1:16" x14ac:dyDescent="0.25">
      <c r="A1850">
        <v>21145</v>
      </c>
      <c r="B1850" t="s">
        <v>1716</v>
      </c>
      <c r="C1850" t="s">
        <v>1824</v>
      </c>
      <c r="D1850">
        <v>1221</v>
      </c>
      <c r="E1850">
        <v>272</v>
      </c>
      <c r="F1850">
        <v>150</v>
      </c>
      <c r="G1850">
        <v>153</v>
      </c>
      <c r="H1850">
        <v>357</v>
      </c>
      <c r="I1850">
        <v>289</v>
      </c>
      <c r="J1850">
        <v>314</v>
      </c>
      <c r="K1850">
        <v>375</v>
      </c>
      <c r="L1850">
        <v>532</v>
      </c>
      <c r="M1850" s="1">
        <v>1102</v>
      </c>
      <c r="N1850">
        <v>119</v>
      </c>
      <c r="O1850" t="s">
        <v>1825</v>
      </c>
      <c r="P1850" s="1" t="b">
        <f>NOT(OR(Table1[[#This Row],[State]]="Other Foreign Countries", Table1[[#This Row],[State]]="Unknown", Table1[[#This Row],[State]]="Puerto Rico all counties"))</f>
        <v>1</v>
      </c>
    </row>
    <row r="1851" spans="1:16" x14ac:dyDescent="0.25">
      <c r="A1851">
        <v>21147</v>
      </c>
      <c r="B1851" t="s">
        <v>1716</v>
      </c>
      <c r="C1851" t="s">
        <v>1826</v>
      </c>
      <c r="D1851">
        <v>335</v>
      </c>
      <c r="E1851">
        <v>53</v>
      </c>
      <c r="F1851">
        <v>36</v>
      </c>
      <c r="G1851">
        <v>37</v>
      </c>
      <c r="H1851">
        <v>111</v>
      </c>
      <c r="I1851">
        <v>98</v>
      </c>
      <c r="J1851">
        <v>79</v>
      </c>
      <c r="K1851">
        <v>103</v>
      </c>
      <c r="L1851">
        <v>153</v>
      </c>
      <c r="M1851">
        <v>322</v>
      </c>
      <c r="N1851">
        <v>13</v>
      </c>
      <c r="O1851" t="s">
        <v>1827</v>
      </c>
      <c r="P1851" s="1" t="b">
        <f>NOT(OR(Table1[[#This Row],[State]]="Other Foreign Countries", Table1[[#This Row],[State]]="Unknown", Table1[[#This Row],[State]]="Puerto Rico all counties"))</f>
        <v>1</v>
      </c>
    </row>
    <row r="1852" spans="1:16" x14ac:dyDescent="0.25">
      <c r="A1852">
        <v>48307</v>
      </c>
      <c r="B1852" t="s">
        <v>2654</v>
      </c>
      <c r="C1852" t="s">
        <v>4321</v>
      </c>
      <c r="D1852">
        <v>178</v>
      </c>
      <c r="E1852">
        <v>25</v>
      </c>
      <c r="F1852">
        <v>23</v>
      </c>
      <c r="G1852">
        <v>26</v>
      </c>
      <c r="H1852">
        <v>62</v>
      </c>
      <c r="I1852">
        <v>42</v>
      </c>
      <c r="J1852">
        <v>36</v>
      </c>
      <c r="K1852">
        <v>60</v>
      </c>
      <c r="L1852">
        <v>82</v>
      </c>
      <c r="M1852">
        <v>158</v>
      </c>
      <c r="N1852">
        <v>20</v>
      </c>
      <c r="O1852" t="s">
        <v>4322</v>
      </c>
      <c r="P1852" s="1" t="b">
        <f>NOT(OR(Table1[[#This Row],[State]]="Other Foreign Countries", Table1[[#This Row],[State]]="Unknown", Table1[[#This Row],[State]]="Puerto Rico all counties"))</f>
        <v>1</v>
      </c>
    </row>
    <row r="1853" spans="1:16" x14ac:dyDescent="0.25">
      <c r="A1853">
        <v>40089</v>
      </c>
      <c r="B1853" t="s">
        <v>3495</v>
      </c>
      <c r="C1853" t="s">
        <v>3561</v>
      </c>
      <c r="D1853">
        <v>681</v>
      </c>
      <c r="E1853">
        <v>131</v>
      </c>
      <c r="F1853">
        <v>73</v>
      </c>
      <c r="G1853">
        <v>93</v>
      </c>
      <c r="H1853">
        <v>215</v>
      </c>
      <c r="I1853">
        <v>169</v>
      </c>
      <c r="J1853">
        <v>155</v>
      </c>
      <c r="K1853">
        <v>191</v>
      </c>
      <c r="L1853">
        <v>335</v>
      </c>
      <c r="M1853">
        <v>633</v>
      </c>
      <c r="N1853">
        <v>48</v>
      </c>
      <c r="O1853" t="s">
        <v>3562</v>
      </c>
      <c r="P1853" s="1" t="b">
        <f>NOT(OR(Table1[[#This Row],[State]]="Other Foreign Countries", Table1[[#This Row],[State]]="Unknown", Table1[[#This Row],[State]]="Puerto Rico all counties"))</f>
        <v>1</v>
      </c>
    </row>
    <row r="1854" spans="1:16" x14ac:dyDescent="0.25">
      <c r="A1854">
        <v>29119</v>
      </c>
      <c r="B1854" t="s">
        <v>2510</v>
      </c>
      <c r="C1854" t="s">
        <v>2587</v>
      </c>
      <c r="D1854">
        <v>389</v>
      </c>
      <c r="E1854">
        <v>79</v>
      </c>
      <c r="F1854">
        <v>40</v>
      </c>
      <c r="G1854">
        <v>50</v>
      </c>
      <c r="H1854">
        <v>123</v>
      </c>
      <c r="I1854">
        <v>97</v>
      </c>
      <c r="J1854">
        <v>93</v>
      </c>
      <c r="K1854">
        <v>134</v>
      </c>
      <c r="L1854">
        <v>162</v>
      </c>
      <c r="M1854">
        <v>355</v>
      </c>
      <c r="N1854">
        <v>34</v>
      </c>
      <c r="O1854" t="s">
        <v>2588</v>
      </c>
      <c r="P1854" s="1" t="b">
        <f>NOT(OR(Table1[[#This Row],[State]]="Other Foreign Countries", Table1[[#This Row],[State]]="Unknown", Table1[[#This Row],[State]]="Puerto Rico all counties"))</f>
        <v>1</v>
      </c>
    </row>
    <row r="1855" spans="1:16" x14ac:dyDescent="0.25">
      <c r="A1855">
        <v>17109</v>
      </c>
      <c r="B1855" t="s">
        <v>1109</v>
      </c>
      <c r="C1855" t="s">
        <v>1192</v>
      </c>
      <c r="D1855">
        <v>461</v>
      </c>
      <c r="E1855">
        <v>91</v>
      </c>
      <c r="F1855">
        <v>41</v>
      </c>
      <c r="G1855">
        <v>62</v>
      </c>
      <c r="H1855">
        <v>152</v>
      </c>
      <c r="I1855">
        <v>115</v>
      </c>
      <c r="J1855">
        <v>141</v>
      </c>
      <c r="K1855">
        <v>130</v>
      </c>
      <c r="L1855">
        <v>190</v>
      </c>
      <c r="M1855">
        <v>416</v>
      </c>
      <c r="N1855">
        <v>45</v>
      </c>
      <c r="O1855" t="s">
        <v>1193</v>
      </c>
      <c r="P1855" s="1" t="b">
        <f>NOT(OR(Table1[[#This Row],[State]]="Other Foreign Countries", Table1[[#This Row],[State]]="Unknown", Table1[[#This Row],[State]]="Puerto Rico all counties"))</f>
        <v>1</v>
      </c>
    </row>
    <row r="1856" spans="1:16" x14ac:dyDescent="0.25">
      <c r="A1856">
        <v>37111</v>
      </c>
      <c r="B1856" t="s">
        <v>3121</v>
      </c>
      <c r="C1856" t="s">
        <v>3214</v>
      </c>
      <c r="D1856">
        <v>1119</v>
      </c>
      <c r="E1856">
        <v>228</v>
      </c>
      <c r="F1856">
        <v>111</v>
      </c>
      <c r="G1856">
        <v>152</v>
      </c>
      <c r="H1856">
        <v>330</v>
      </c>
      <c r="I1856">
        <v>298</v>
      </c>
      <c r="J1856">
        <v>211</v>
      </c>
      <c r="K1856">
        <v>317</v>
      </c>
      <c r="L1856">
        <v>591</v>
      </c>
      <c r="M1856" s="1">
        <v>1018</v>
      </c>
      <c r="N1856">
        <v>101</v>
      </c>
      <c r="O1856" t="s">
        <v>3215</v>
      </c>
      <c r="P1856" s="1" t="b">
        <f>NOT(OR(Table1[[#This Row],[State]]="Other Foreign Countries", Table1[[#This Row],[State]]="Unknown", Table1[[#This Row],[State]]="Puerto Rico all counties"))</f>
        <v>1</v>
      </c>
    </row>
    <row r="1857" spans="1:16" x14ac:dyDescent="0.25">
      <c r="A1857">
        <v>54047</v>
      </c>
      <c r="B1857" t="s">
        <v>4833</v>
      </c>
      <c r="C1857" t="s">
        <v>3214</v>
      </c>
      <c r="D1857">
        <v>285</v>
      </c>
      <c r="E1857">
        <v>52</v>
      </c>
      <c r="F1857">
        <v>22</v>
      </c>
      <c r="G1857">
        <v>26</v>
      </c>
      <c r="H1857">
        <v>106</v>
      </c>
      <c r="I1857">
        <v>79</v>
      </c>
      <c r="J1857">
        <v>21</v>
      </c>
      <c r="K1857">
        <v>83</v>
      </c>
      <c r="L1857">
        <v>181</v>
      </c>
      <c r="O1857" t="s">
        <v>4864</v>
      </c>
      <c r="P1857" s="1" t="b">
        <f>NOT(OR(Table1[[#This Row],[State]]="Other Foreign Countries", Table1[[#This Row],[State]]="Unknown", Table1[[#This Row],[State]]="Puerto Rico all counties"))</f>
        <v>1</v>
      </c>
    </row>
    <row r="1858" spans="1:16" x14ac:dyDescent="0.25">
      <c r="A1858">
        <v>13189</v>
      </c>
      <c r="B1858" t="s">
        <v>754</v>
      </c>
      <c r="C1858" t="s">
        <v>913</v>
      </c>
      <c r="D1858">
        <v>699</v>
      </c>
      <c r="E1858">
        <v>89</v>
      </c>
      <c r="F1858">
        <v>70</v>
      </c>
      <c r="G1858">
        <v>72</v>
      </c>
      <c r="H1858">
        <v>210</v>
      </c>
      <c r="I1858">
        <v>258</v>
      </c>
      <c r="J1858">
        <v>169</v>
      </c>
      <c r="K1858">
        <v>249</v>
      </c>
      <c r="L1858">
        <v>281</v>
      </c>
      <c r="M1858">
        <v>583</v>
      </c>
      <c r="N1858">
        <v>116</v>
      </c>
      <c r="O1858" t="s">
        <v>914</v>
      </c>
      <c r="P1858" s="1" t="b">
        <f>NOT(OR(Table1[[#This Row],[State]]="Other Foreign Countries", Table1[[#This Row],[State]]="Unknown", Table1[[#This Row],[State]]="Puerto Rico all counties"))</f>
        <v>1</v>
      </c>
    </row>
    <row r="1859" spans="1:16" x14ac:dyDescent="0.25">
      <c r="A1859">
        <v>17111</v>
      </c>
      <c r="B1859" t="s">
        <v>1109</v>
      </c>
      <c r="C1859" t="s">
        <v>1194</v>
      </c>
      <c r="D1859">
        <v>3584</v>
      </c>
      <c r="E1859">
        <v>712</v>
      </c>
      <c r="F1859">
        <v>341</v>
      </c>
      <c r="G1859">
        <v>356</v>
      </c>
      <c r="H1859" s="1">
        <v>1163</v>
      </c>
      <c r="I1859" s="1">
        <v>1012</v>
      </c>
      <c r="J1859" s="1">
        <v>1312</v>
      </c>
      <c r="K1859">
        <v>932</v>
      </c>
      <c r="L1859" s="1">
        <v>1340</v>
      </c>
      <c r="M1859" s="1">
        <v>3231</v>
      </c>
      <c r="N1859">
        <v>353</v>
      </c>
      <c r="O1859" t="s">
        <v>1195</v>
      </c>
      <c r="P1859" s="1" t="b">
        <f>NOT(OR(Table1[[#This Row],[State]]="Other Foreign Countries", Table1[[#This Row],[State]]="Unknown", Table1[[#This Row],[State]]="Puerto Rico all counties"))</f>
        <v>1</v>
      </c>
    </row>
    <row r="1860" spans="1:16" x14ac:dyDescent="0.25">
      <c r="A1860">
        <v>38049</v>
      </c>
      <c r="B1860" t="s">
        <v>3286</v>
      </c>
      <c r="C1860" t="s">
        <v>1194</v>
      </c>
      <c r="D1860">
        <v>152</v>
      </c>
      <c r="E1860">
        <v>25</v>
      </c>
      <c r="F1860">
        <v>23</v>
      </c>
      <c r="G1860">
        <v>20</v>
      </c>
      <c r="H1860">
        <v>45</v>
      </c>
      <c r="I1860">
        <v>39</v>
      </c>
      <c r="J1860">
        <v>28</v>
      </c>
      <c r="K1860">
        <v>49</v>
      </c>
      <c r="L1860">
        <v>75</v>
      </c>
      <c r="M1860">
        <v>135</v>
      </c>
      <c r="N1860">
        <v>17</v>
      </c>
      <c r="O1860" t="s">
        <v>3328</v>
      </c>
      <c r="P1860" s="1" t="b">
        <f>NOT(OR(Table1[[#This Row],[State]]="Other Foreign Countries", Table1[[#This Row],[State]]="Unknown", Table1[[#This Row],[State]]="Puerto Rico all counties"))</f>
        <v>1</v>
      </c>
    </row>
    <row r="1861" spans="1:16" x14ac:dyDescent="0.25">
      <c r="A1861">
        <v>13191</v>
      </c>
      <c r="B1861" t="s">
        <v>754</v>
      </c>
      <c r="C1861" t="s">
        <v>915</v>
      </c>
      <c r="D1861">
        <v>425</v>
      </c>
      <c r="E1861">
        <v>79</v>
      </c>
      <c r="F1861">
        <v>47</v>
      </c>
      <c r="G1861">
        <v>36</v>
      </c>
      <c r="H1861">
        <v>142</v>
      </c>
      <c r="I1861">
        <v>121</v>
      </c>
      <c r="J1861">
        <v>79</v>
      </c>
      <c r="K1861">
        <v>164</v>
      </c>
      <c r="L1861">
        <v>182</v>
      </c>
      <c r="M1861">
        <v>377</v>
      </c>
      <c r="N1861">
        <v>48</v>
      </c>
      <c r="O1861" t="s">
        <v>916</v>
      </c>
      <c r="P1861" s="1" t="b">
        <f>NOT(OR(Table1[[#This Row],[State]]="Other Foreign Countries", Table1[[#This Row],[State]]="Unknown", Table1[[#This Row],[State]]="Puerto Rico all counties"))</f>
        <v>1</v>
      </c>
    </row>
    <row r="1862" spans="1:16" x14ac:dyDescent="0.25">
      <c r="A1862">
        <v>38051</v>
      </c>
      <c r="B1862" t="s">
        <v>3286</v>
      </c>
      <c r="C1862" t="s">
        <v>915</v>
      </c>
      <c r="D1862">
        <v>37</v>
      </c>
      <c r="H1862">
        <v>11</v>
      </c>
      <c r="L1862">
        <v>24</v>
      </c>
      <c r="O1862" t="s">
        <v>3329</v>
      </c>
      <c r="P1862" s="1" t="b">
        <f>NOT(OR(Table1[[#This Row],[State]]="Other Foreign Countries", Table1[[#This Row],[State]]="Unknown", Table1[[#This Row],[State]]="Puerto Rico all counties"))</f>
        <v>1</v>
      </c>
    </row>
    <row r="1863" spans="1:16" x14ac:dyDescent="0.25">
      <c r="A1863">
        <v>40091</v>
      </c>
      <c r="B1863" t="s">
        <v>3495</v>
      </c>
      <c r="C1863" t="s">
        <v>915</v>
      </c>
      <c r="D1863">
        <v>816</v>
      </c>
      <c r="E1863">
        <v>130</v>
      </c>
      <c r="F1863">
        <v>63</v>
      </c>
      <c r="G1863">
        <v>88</v>
      </c>
      <c r="H1863">
        <v>290</v>
      </c>
      <c r="I1863">
        <v>245</v>
      </c>
      <c r="J1863">
        <v>122</v>
      </c>
      <c r="K1863">
        <v>215</v>
      </c>
      <c r="L1863">
        <v>479</v>
      </c>
      <c r="M1863">
        <v>755</v>
      </c>
      <c r="N1863">
        <v>61</v>
      </c>
      <c r="O1863" t="s">
        <v>3563</v>
      </c>
      <c r="P1863" s="1" t="b">
        <f>NOT(OR(Table1[[#This Row],[State]]="Other Foreign Countries", Table1[[#This Row],[State]]="Unknown", Table1[[#This Row],[State]]="Puerto Rico all counties"))</f>
        <v>1</v>
      </c>
    </row>
    <row r="1864" spans="1:16" x14ac:dyDescent="0.25">
      <c r="A1864">
        <v>42083</v>
      </c>
      <c r="B1864" t="s">
        <v>3665</v>
      </c>
      <c r="C1864" t="s">
        <v>3727</v>
      </c>
      <c r="D1864">
        <v>886</v>
      </c>
      <c r="E1864">
        <v>243</v>
      </c>
      <c r="F1864">
        <v>106</v>
      </c>
      <c r="G1864">
        <v>107</v>
      </c>
      <c r="H1864">
        <v>241</v>
      </c>
      <c r="I1864">
        <v>189</v>
      </c>
      <c r="J1864">
        <v>188</v>
      </c>
      <c r="K1864">
        <v>250</v>
      </c>
      <c r="L1864">
        <v>448</v>
      </c>
      <c r="M1864">
        <v>831</v>
      </c>
      <c r="N1864">
        <v>55</v>
      </c>
      <c r="O1864" t="s">
        <v>3728</v>
      </c>
      <c r="P1864" s="1" t="b">
        <f>NOT(OR(Table1[[#This Row],[State]]="Other Foreign Countries", Table1[[#This Row],[State]]="Unknown", Table1[[#This Row],[State]]="Puerto Rico all counties"))</f>
        <v>1</v>
      </c>
    </row>
    <row r="1865" spans="1:16" x14ac:dyDescent="0.25">
      <c r="A1865">
        <v>38053</v>
      </c>
      <c r="B1865" t="s">
        <v>3286</v>
      </c>
      <c r="C1865" t="s">
        <v>3330</v>
      </c>
      <c r="D1865">
        <v>201</v>
      </c>
      <c r="E1865">
        <v>53</v>
      </c>
      <c r="F1865">
        <v>19</v>
      </c>
      <c r="G1865">
        <v>36</v>
      </c>
      <c r="H1865">
        <v>64</v>
      </c>
      <c r="I1865">
        <v>29</v>
      </c>
      <c r="J1865">
        <v>74</v>
      </c>
      <c r="K1865">
        <v>73</v>
      </c>
      <c r="L1865">
        <v>54</v>
      </c>
      <c r="M1865">
        <v>184</v>
      </c>
      <c r="N1865">
        <v>17</v>
      </c>
      <c r="O1865" t="s">
        <v>3331</v>
      </c>
      <c r="P1865" s="1" t="b">
        <f>NOT(OR(Table1[[#This Row],[State]]="Other Foreign Countries", Table1[[#This Row],[State]]="Unknown", Table1[[#This Row],[State]]="Puerto Rico all counties"))</f>
        <v>1</v>
      </c>
    </row>
    <row r="1866" spans="1:16" x14ac:dyDescent="0.25">
      <c r="A1866">
        <v>35031</v>
      </c>
      <c r="B1866" t="s">
        <v>2971</v>
      </c>
      <c r="C1866" t="s">
        <v>3003</v>
      </c>
      <c r="D1866">
        <v>932</v>
      </c>
      <c r="E1866">
        <v>156</v>
      </c>
      <c r="F1866">
        <v>88</v>
      </c>
      <c r="G1866">
        <v>115</v>
      </c>
      <c r="H1866">
        <v>316</v>
      </c>
      <c r="I1866">
        <v>257</v>
      </c>
      <c r="J1866">
        <v>247</v>
      </c>
      <c r="K1866">
        <v>283</v>
      </c>
      <c r="L1866">
        <v>402</v>
      </c>
      <c r="M1866">
        <v>792</v>
      </c>
      <c r="N1866">
        <v>140</v>
      </c>
      <c r="O1866" t="s">
        <v>3004</v>
      </c>
      <c r="P1866" s="1" t="b">
        <f>NOT(OR(Table1[[#This Row],[State]]="Other Foreign Countries", Table1[[#This Row],[State]]="Unknown", Table1[[#This Row],[State]]="Puerto Rico all counties"))</f>
        <v>1</v>
      </c>
    </row>
    <row r="1867" spans="1:16" x14ac:dyDescent="0.25">
      <c r="A1867">
        <v>17113</v>
      </c>
      <c r="B1867" t="s">
        <v>1109</v>
      </c>
      <c r="C1867" t="s">
        <v>1196</v>
      </c>
      <c r="D1867">
        <v>1898</v>
      </c>
      <c r="E1867">
        <v>381</v>
      </c>
      <c r="F1867">
        <v>205</v>
      </c>
      <c r="G1867">
        <v>239</v>
      </c>
      <c r="H1867">
        <v>591</v>
      </c>
      <c r="I1867">
        <v>482</v>
      </c>
      <c r="J1867">
        <v>639</v>
      </c>
      <c r="K1867">
        <v>574</v>
      </c>
      <c r="L1867">
        <v>685</v>
      </c>
      <c r="M1867" s="1">
        <v>1697</v>
      </c>
      <c r="N1867">
        <v>201</v>
      </c>
      <c r="O1867" t="s">
        <v>1197</v>
      </c>
      <c r="P1867" s="1" t="b">
        <f>NOT(OR(Table1[[#This Row],[State]]="Other Foreign Countries", Table1[[#This Row],[State]]="Unknown", Table1[[#This Row],[State]]="Puerto Rico all counties"))</f>
        <v>1</v>
      </c>
    </row>
    <row r="1868" spans="1:16" x14ac:dyDescent="0.25">
      <c r="A1868">
        <v>21149</v>
      </c>
      <c r="B1868" t="s">
        <v>1716</v>
      </c>
      <c r="C1868" t="s">
        <v>1196</v>
      </c>
      <c r="D1868">
        <v>117</v>
      </c>
      <c r="E1868">
        <v>23</v>
      </c>
      <c r="H1868">
        <v>33</v>
      </c>
      <c r="I1868">
        <v>40</v>
      </c>
      <c r="J1868">
        <v>26</v>
      </c>
      <c r="K1868">
        <v>27</v>
      </c>
      <c r="L1868">
        <v>64</v>
      </c>
      <c r="O1868" t="s">
        <v>1828</v>
      </c>
      <c r="P1868" s="1" t="b">
        <f>NOT(OR(Table1[[#This Row],[State]]="Other Foreign Countries", Table1[[#This Row],[State]]="Unknown", Table1[[#This Row],[State]]="Puerto Rico all counties"))</f>
        <v>1</v>
      </c>
    </row>
    <row r="1869" spans="1:16" x14ac:dyDescent="0.25">
      <c r="A1869">
        <v>38055</v>
      </c>
      <c r="B1869" t="s">
        <v>3286</v>
      </c>
      <c r="C1869" t="s">
        <v>1196</v>
      </c>
      <c r="D1869">
        <v>235</v>
      </c>
      <c r="E1869">
        <v>64</v>
      </c>
      <c r="F1869">
        <v>35</v>
      </c>
      <c r="G1869">
        <v>24</v>
      </c>
      <c r="H1869">
        <v>61</v>
      </c>
      <c r="I1869">
        <v>51</v>
      </c>
      <c r="J1869">
        <v>34</v>
      </c>
      <c r="K1869">
        <v>64</v>
      </c>
      <c r="L1869">
        <v>137</v>
      </c>
      <c r="M1869">
        <v>216</v>
      </c>
      <c r="N1869">
        <v>19</v>
      </c>
      <c r="O1869" t="s">
        <v>3332</v>
      </c>
      <c r="P1869" s="1" t="b">
        <f>NOT(OR(Table1[[#This Row],[State]]="Other Foreign Countries", Table1[[#This Row],[State]]="Unknown", Table1[[#This Row],[State]]="Puerto Rico all counties"))</f>
        <v>1</v>
      </c>
    </row>
    <row r="1870" spans="1:16" x14ac:dyDescent="0.25">
      <c r="A1870">
        <v>48309</v>
      </c>
      <c r="B1870" t="s">
        <v>2654</v>
      </c>
      <c r="C1870" t="s">
        <v>4323</v>
      </c>
      <c r="D1870">
        <v>7144</v>
      </c>
      <c r="E1870" s="1">
        <v>1134</v>
      </c>
      <c r="F1870">
        <v>695</v>
      </c>
      <c r="G1870">
        <v>816</v>
      </c>
      <c r="H1870" s="1">
        <v>2247</v>
      </c>
      <c r="I1870" s="1">
        <v>2252</v>
      </c>
      <c r="J1870" s="1">
        <v>2152</v>
      </c>
      <c r="K1870" s="1">
        <v>2299</v>
      </c>
      <c r="L1870" s="1">
        <v>2693</v>
      </c>
      <c r="M1870" s="1">
        <v>6290</v>
      </c>
      <c r="N1870">
        <v>854</v>
      </c>
      <c r="O1870" t="s">
        <v>4324</v>
      </c>
      <c r="P1870" s="1" t="b">
        <f>NOT(OR(Table1[[#This Row],[State]]="Other Foreign Countries", Table1[[#This Row],[State]]="Unknown", Table1[[#This Row],[State]]="Puerto Rico all counties"))</f>
        <v>1</v>
      </c>
    </row>
    <row r="1871" spans="1:16" x14ac:dyDescent="0.25">
      <c r="A1871">
        <v>27085</v>
      </c>
      <c r="B1871" t="s">
        <v>2245</v>
      </c>
      <c r="C1871" t="s">
        <v>2315</v>
      </c>
      <c r="D1871">
        <v>822</v>
      </c>
      <c r="E1871">
        <v>383</v>
      </c>
      <c r="F1871">
        <v>103</v>
      </c>
      <c r="G1871">
        <v>86</v>
      </c>
      <c r="H1871">
        <v>142</v>
      </c>
      <c r="I1871">
        <v>108</v>
      </c>
      <c r="J1871">
        <v>136</v>
      </c>
      <c r="K1871">
        <v>158</v>
      </c>
      <c r="L1871">
        <v>528</v>
      </c>
      <c r="M1871">
        <v>775</v>
      </c>
      <c r="N1871">
        <v>46</v>
      </c>
      <c r="O1871" t="s">
        <v>2316</v>
      </c>
      <c r="P1871" s="1" t="b">
        <f>NOT(OR(Table1[[#This Row],[State]]="Other Foreign Countries", Table1[[#This Row],[State]]="Unknown", Table1[[#This Row],[State]]="Puerto Rico all counties"))</f>
        <v>1</v>
      </c>
    </row>
    <row r="1872" spans="1:16" x14ac:dyDescent="0.25">
      <c r="A1872">
        <v>47107</v>
      </c>
      <c r="B1872" t="s">
        <v>3951</v>
      </c>
      <c r="C1872" t="s">
        <v>4019</v>
      </c>
      <c r="D1872">
        <v>1584</v>
      </c>
      <c r="E1872">
        <v>367</v>
      </c>
      <c r="F1872">
        <v>185</v>
      </c>
      <c r="G1872">
        <v>178</v>
      </c>
      <c r="H1872">
        <v>430</v>
      </c>
      <c r="I1872">
        <v>424</v>
      </c>
      <c r="J1872">
        <v>323</v>
      </c>
      <c r="K1872">
        <v>521</v>
      </c>
      <c r="L1872">
        <v>740</v>
      </c>
      <c r="M1872" s="1">
        <v>1453</v>
      </c>
      <c r="N1872">
        <v>131</v>
      </c>
      <c r="O1872" t="s">
        <v>4020</v>
      </c>
      <c r="P1872" s="1" t="b">
        <f>NOT(OR(Table1[[#This Row],[State]]="Other Foreign Countries", Table1[[#This Row],[State]]="Unknown", Table1[[#This Row],[State]]="Puerto Rico all counties"))</f>
        <v>1</v>
      </c>
    </row>
    <row r="1873" spans="1:16" x14ac:dyDescent="0.25">
      <c r="A1873">
        <v>48311</v>
      </c>
      <c r="B1873" t="s">
        <v>2654</v>
      </c>
      <c r="C1873" t="s">
        <v>4325</v>
      </c>
      <c r="D1873">
        <v>13</v>
      </c>
      <c r="O1873" t="s">
        <v>4326</v>
      </c>
      <c r="P1873" s="1" t="b">
        <f>NOT(OR(Table1[[#This Row],[State]]="Other Foreign Countries", Table1[[#This Row],[State]]="Unknown", Table1[[#This Row],[State]]="Puerto Rico all counties"))</f>
        <v>1</v>
      </c>
    </row>
    <row r="1874" spans="1:16" x14ac:dyDescent="0.25">
      <c r="A1874">
        <v>47109</v>
      </c>
      <c r="B1874" t="s">
        <v>3951</v>
      </c>
      <c r="C1874" t="s">
        <v>4021</v>
      </c>
      <c r="D1874">
        <v>612</v>
      </c>
      <c r="E1874">
        <v>147</v>
      </c>
      <c r="F1874">
        <v>62</v>
      </c>
      <c r="G1874">
        <v>75</v>
      </c>
      <c r="H1874">
        <v>179</v>
      </c>
      <c r="I1874">
        <v>149</v>
      </c>
      <c r="J1874">
        <v>105</v>
      </c>
      <c r="K1874">
        <v>186</v>
      </c>
      <c r="L1874">
        <v>321</v>
      </c>
      <c r="M1874">
        <v>565</v>
      </c>
      <c r="N1874">
        <v>47</v>
      </c>
      <c r="O1874" t="s">
        <v>4022</v>
      </c>
      <c r="P1874" s="1" t="b">
        <f>NOT(OR(Table1[[#This Row],[State]]="Other Foreign Countries", Table1[[#This Row],[State]]="Unknown", Table1[[#This Row],[State]]="Puerto Rico all counties"))</f>
        <v>1</v>
      </c>
    </row>
    <row r="1875" spans="1:16" x14ac:dyDescent="0.25">
      <c r="A1875">
        <v>20113</v>
      </c>
      <c r="B1875" t="s">
        <v>1543</v>
      </c>
      <c r="C1875" t="s">
        <v>1631</v>
      </c>
      <c r="D1875">
        <v>417</v>
      </c>
      <c r="E1875">
        <v>101</v>
      </c>
      <c r="F1875">
        <v>51</v>
      </c>
      <c r="G1875">
        <v>47</v>
      </c>
      <c r="H1875">
        <v>113</v>
      </c>
      <c r="I1875">
        <v>105</v>
      </c>
      <c r="J1875">
        <v>110</v>
      </c>
      <c r="K1875">
        <v>133</v>
      </c>
      <c r="L1875">
        <v>174</v>
      </c>
      <c r="M1875">
        <v>378</v>
      </c>
      <c r="N1875">
        <v>39</v>
      </c>
      <c r="O1875" t="s">
        <v>1632</v>
      </c>
      <c r="P1875" s="1" t="b">
        <f>NOT(OR(Table1[[#This Row],[State]]="Other Foreign Countries", Table1[[#This Row],[State]]="Unknown", Table1[[#This Row],[State]]="Puerto Rico all counties"))</f>
        <v>1</v>
      </c>
    </row>
    <row r="1876" spans="1:16" x14ac:dyDescent="0.25">
      <c r="A1876">
        <v>31117</v>
      </c>
      <c r="B1876" t="s">
        <v>2758</v>
      </c>
      <c r="C1876" t="s">
        <v>1631</v>
      </c>
      <c r="O1876" t="s">
        <v>2844</v>
      </c>
      <c r="P1876" s="1" t="b">
        <f>NOT(OR(Table1[[#This Row],[State]]="Other Foreign Countries", Table1[[#This Row],[State]]="Unknown", Table1[[#This Row],[State]]="Puerto Rico all counties"))</f>
        <v>1</v>
      </c>
    </row>
    <row r="1877" spans="1:16" x14ac:dyDescent="0.25">
      <c r="A1877">
        <v>46089</v>
      </c>
      <c r="B1877" t="s">
        <v>3846</v>
      </c>
      <c r="C1877" t="s">
        <v>1631</v>
      </c>
      <c r="D1877">
        <v>46</v>
      </c>
      <c r="E1877">
        <v>15</v>
      </c>
      <c r="I1877">
        <v>12</v>
      </c>
      <c r="L1877">
        <v>24</v>
      </c>
      <c r="O1877" t="s">
        <v>3914</v>
      </c>
      <c r="P1877" s="1" t="b">
        <f>NOT(OR(Table1[[#This Row],[State]]="Other Foreign Countries", Table1[[#This Row],[State]]="Unknown", Table1[[#This Row],[State]]="Puerto Rico all counties"))</f>
        <v>1</v>
      </c>
    </row>
    <row r="1878" spans="1:16" x14ac:dyDescent="0.25">
      <c r="A1878">
        <v>20119</v>
      </c>
      <c r="B1878" t="s">
        <v>1543</v>
      </c>
      <c r="C1878" t="s">
        <v>1635</v>
      </c>
      <c r="D1878">
        <v>46</v>
      </c>
      <c r="E1878">
        <v>11</v>
      </c>
      <c r="H1878">
        <v>12</v>
      </c>
      <c r="I1878">
        <v>11</v>
      </c>
      <c r="L1878">
        <v>22</v>
      </c>
      <c r="O1878" t="s">
        <v>1636</v>
      </c>
      <c r="P1878" s="1" t="b">
        <f>NOT(OR(Table1[[#This Row],[State]]="Other Foreign Countries", Table1[[#This Row],[State]]="Unknown", Table1[[#This Row],[State]]="Puerto Rico all counties"))</f>
        <v>1</v>
      </c>
    </row>
    <row r="1879" spans="1:16" x14ac:dyDescent="0.25">
      <c r="A1879">
        <v>21163</v>
      </c>
      <c r="B1879" t="s">
        <v>1716</v>
      </c>
      <c r="C1879" t="s">
        <v>1635</v>
      </c>
      <c r="D1879">
        <v>1867</v>
      </c>
      <c r="E1879">
        <v>311</v>
      </c>
      <c r="F1879">
        <v>171</v>
      </c>
      <c r="G1879">
        <v>192</v>
      </c>
      <c r="H1879">
        <v>577</v>
      </c>
      <c r="I1879">
        <v>616</v>
      </c>
      <c r="J1879">
        <v>432</v>
      </c>
      <c r="K1879">
        <v>878</v>
      </c>
      <c r="L1879">
        <v>557</v>
      </c>
      <c r="M1879" s="1">
        <v>1610</v>
      </c>
      <c r="N1879">
        <v>257</v>
      </c>
      <c r="O1879" t="s">
        <v>1836</v>
      </c>
      <c r="P1879" s="1" t="b">
        <f>NOT(OR(Table1[[#This Row],[State]]="Other Foreign Countries", Table1[[#This Row],[State]]="Unknown", Table1[[#This Row],[State]]="Puerto Rico all counties"))</f>
        <v>1</v>
      </c>
    </row>
    <row r="1880" spans="1:16" x14ac:dyDescent="0.25">
      <c r="A1880">
        <v>46093</v>
      </c>
      <c r="B1880" t="s">
        <v>3846</v>
      </c>
      <c r="C1880" t="s">
        <v>1635</v>
      </c>
      <c r="D1880">
        <v>1695</v>
      </c>
      <c r="E1880">
        <v>315</v>
      </c>
      <c r="F1880">
        <v>208</v>
      </c>
      <c r="G1880">
        <v>236</v>
      </c>
      <c r="H1880">
        <v>544</v>
      </c>
      <c r="I1880">
        <v>392</v>
      </c>
      <c r="J1880">
        <v>480</v>
      </c>
      <c r="K1880">
        <v>656</v>
      </c>
      <c r="L1880">
        <v>559</v>
      </c>
      <c r="M1880" s="1">
        <v>1446</v>
      </c>
      <c r="N1880">
        <v>249</v>
      </c>
      <c r="O1880" t="s">
        <v>3916</v>
      </c>
      <c r="P1880" s="1" t="b">
        <f>NOT(OR(Table1[[#This Row],[State]]="Other Foreign Countries", Table1[[#This Row],[State]]="Unknown", Table1[[#This Row],[State]]="Puerto Rico all counties"))</f>
        <v>1</v>
      </c>
    </row>
    <row r="1881" spans="1:16" x14ac:dyDescent="0.25">
      <c r="A1881">
        <v>30059</v>
      </c>
      <c r="B1881" t="s">
        <v>2665</v>
      </c>
      <c r="C1881" t="s">
        <v>2713</v>
      </c>
      <c r="D1881">
        <v>69</v>
      </c>
      <c r="E1881">
        <v>19</v>
      </c>
      <c r="H1881">
        <v>15</v>
      </c>
      <c r="I1881">
        <v>23</v>
      </c>
      <c r="L1881">
        <v>46</v>
      </c>
      <c r="O1881" t="s">
        <v>2714</v>
      </c>
      <c r="P1881" s="1" t="b">
        <f>NOT(OR(Table1[[#This Row],[State]]="Other Foreign Countries", Table1[[#This Row],[State]]="Unknown", Table1[[#This Row],[State]]="Puerto Rico all counties"))</f>
        <v>1</v>
      </c>
    </row>
    <row r="1882" spans="1:16" x14ac:dyDescent="0.25">
      <c r="A1882">
        <v>37119</v>
      </c>
      <c r="B1882" t="s">
        <v>3121</v>
      </c>
      <c r="C1882" t="s">
        <v>3219</v>
      </c>
      <c r="D1882">
        <v>16696</v>
      </c>
      <c r="E1882" s="1">
        <v>2456</v>
      </c>
      <c r="F1882" s="1">
        <v>1480</v>
      </c>
      <c r="G1882" s="1">
        <v>1743</v>
      </c>
      <c r="H1882" s="1">
        <v>5335</v>
      </c>
      <c r="I1882" s="1">
        <v>5682</v>
      </c>
      <c r="J1882" s="1">
        <v>5945</v>
      </c>
      <c r="K1882" s="1">
        <v>5648</v>
      </c>
      <c r="L1882" s="1">
        <v>5103</v>
      </c>
      <c r="M1882" s="1">
        <v>13468</v>
      </c>
      <c r="N1882" s="1">
        <v>3226</v>
      </c>
      <c r="O1882" t="s">
        <v>3220</v>
      </c>
      <c r="P1882" s="1" t="b">
        <f>NOT(OR(Table1[[#This Row],[State]]="Other Foreign Countries", Table1[[#This Row],[State]]="Unknown", Table1[[#This Row],[State]]="Puerto Rico all counties"))</f>
        <v>1</v>
      </c>
    </row>
    <row r="1883" spans="1:16" x14ac:dyDescent="0.25">
      <c r="A1883">
        <v>51117</v>
      </c>
      <c r="B1883" t="s">
        <v>4555</v>
      </c>
      <c r="C1883" t="s">
        <v>3219</v>
      </c>
      <c r="D1883">
        <v>761</v>
      </c>
      <c r="E1883">
        <v>156</v>
      </c>
      <c r="F1883">
        <v>78</v>
      </c>
      <c r="G1883">
        <v>76</v>
      </c>
      <c r="H1883">
        <v>235</v>
      </c>
      <c r="I1883">
        <v>216</v>
      </c>
      <c r="J1883">
        <v>123</v>
      </c>
      <c r="K1883">
        <v>235</v>
      </c>
      <c r="L1883">
        <v>403</v>
      </c>
      <c r="M1883">
        <v>682</v>
      </c>
      <c r="N1883">
        <v>79</v>
      </c>
      <c r="O1883" t="s">
        <v>4642</v>
      </c>
      <c r="P1883" s="1" t="b">
        <f>NOT(OR(Table1[[#This Row],[State]]="Other Foreign Countries", Table1[[#This Row],[State]]="Unknown", Table1[[#This Row],[State]]="Puerto Rico all counties"))</f>
        <v>1</v>
      </c>
    </row>
    <row r="1884" spans="1:16" x14ac:dyDescent="0.25">
      <c r="A1884">
        <v>26107</v>
      </c>
      <c r="B1884" t="s">
        <v>2099</v>
      </c>
      <c r="C1884" t="s">
        <v>2192</v>
      </c>
      <c r="D1884">
        <v>821</v>
      </c>
      <c r="E1884">
        <v>167</v>
      </c>
      <c r="F1884">
        <v>98</v>
      </c>
      <c r="G1884">
        <v>106</v>
      </c>
      <c r="H1884">
        <v>243</v>
      </c>
      <c r="I1884">
        <v>207</v>
      </c>
      <c r="J1884">
        <v>216</v>
      </c>
      <c r="K1884">
        <v>211</v>
      </c>
      <c r="L1884">
        <v>394</v>
      </c>
      <c r="M1884">
        <v>758</v>
      </c>
      <c r="N1884">
        <v>63</v>
      </c>
      <c r="O1884" t="s">
        <v>2193</v>
      </c>
      <c r="P1884" s="1" t="b">
        <f>NOT(OR(Table1[[#This Row],[State]]="Other Foreign Countries", Table1[[#This Row],[State]]="Unknown", Table1[[#This Row],[State]]="Puerto Rico all counties"))</f>
        <v>1</v>
      </c>
    </row>
    <row r="1885" spans="1:16" x14ac:dyDescent="0.25">
      <c r="A1885">
        <v>39103</v>
      </c>
      <c r="B1885" t="s">
        <v>1343</v>
      </c>
      <c r="C1885" t="s">
        <v>3442</v>
      </c>
      <c r="D1885">
        <v>2861</v>
      </c>
      <c r="E1885">
        <v>701</v>
      </c>
      <c r="F1885">
        <v>370</v>
      </c>
      <c r="G1885">
        <v>342</v>
      </c>
      <c r="H1885">
        <v>789</v>
      </c>
      <c r="I1885">
        <v>659</v>
      </c>
      <c r="J1885">
        <v>887</v>
      </c>
      <c r="K1885">
        <v>818</v>
      </c>
      <c r="L1885" s="1">
        <v>1156</v>
      </c>
      <c r="M1885" s="1">
        <v>2633</v>
      </c>
      <c r="N1885">
        <v>227</v>
      </c>
      <c r="O1885" t="s">
        <v>3443</v>
      </c>
      <c r="P1885" s="1" t="b">
        <f>NOT(OR(Table1[[#This Row],[State]]="Other Foreign Countries", Table1[[#This Row],[State]]="Unknown", Table1[[#This Row],[State]]="Puerto Rico all counties"))</f>
        <v>1</v>
      </c>
    </row>
    <row r="1886" spans="1:16" x14ac:dyDescent="0.25">
      <c r="A1886">
        <v>48325</v>
      </c>
      <c r="B1886" t="s">
        <v>2654</v>
      </c>
      <c r="C1886" t="s">
        <v>3442</v>
      </c>
      <c r="D1886">
        <v>3297</v>
      </c>
      <c r="E1886">
        <v>395</v>
      </c>
      <c r="F1886">
        <v>226</v>
      </c>
      <c r="G1886">
        <v>279</v>
      </c>
      <c r="H1886">
        <v>901</v>
      </c>
      <c r="I1886" s="1">
        <v>1496</v>
      </c>
      <c r="J1886">
        <v>852</v>
      </c>
      <c r="K1886" s="1">
        <v>1451</v>
      </c>
      <c r="L1886">
        <v>994</v>
      </c>
      <c r="M1886" s="1">
        <v>2742</v>
      </c>
      <c r="N1886">
        <v>554</v>
      </c>
      <c r="O1886" t="s">
        <v>4335</v>
      </c>
      <c r="P1886" s="1" t="b">
        <f>NOT(OR(Table1[[#This Row],[State]]="Other Foreign Countries", Table1[[#This Row],[State]]="Unknown", Table1[[#This Row],[State]]="Puerto Rico all counties"))</f>
        <v>1</v>
      </c>
    </row>
    <row r="1887" spans="1:16" x14ac:dyDescent="0.25">
      <c r="A1887">
        <v>27093</v>
      </c>
      <c r="B1887" t="s">
        <v>2245</v>
      </c>
      <c r="C1887" t="s">
        <v>2321</v>
      </c>
      <c r="D1887">
        <v>711</v>
      </c>
      <c r="E1887">
        <v>378</v>
      </c>
      <c r="F1887">
        <v>91</v>
      </c>
      <c r="G1887">
        <v>70</v>
      </c>
      <c r="H1887">
        <v>99</v>
      </c>
      <c r="I1887">
        <v>73</v>
      </c>
      <c r="J1887">
        <v>99</v>
      </c>
      <c r="K1887">
        <v>134</v>
      </c>
      <c r="L1887">
        <v>478</v>
      </c>
      <c r="M1887">
        <v>683</v>
      </c>
      <c r="N1887">
        <v>28</v>
      </c>
      <c r="O1887" t="s">
        <v>2322</v>
      </c>
      <c r="P1887" s="1" t="b">
        <f>NOT(OR(Table1[[#This Row],[State]]="Other Foreign Countries", Table1[[#This Row],[State]]="Unknown", Table1[[#This Row],[State]]="Puerto Rico all counties"))</f>
        <v>1</v>
      </c>
    </row>
    <row r="1888" spans="1:16" x14ac:dyDescent="0.25">
      <c r="A1888">
        <v>39105</v>
      </c>
      <c r="B1888" t="s">
        <v>1343</v>
      </c>
      <c r="C1888" t="s">
        <v>3444</v>
      </c>
      <c r="D1888">
        <v>531</v>
      </c>
      <c r="E1888">
        <v>125</v>
      </c>
      <c r="F1888">
        <v>66</v>
      </c>
      <c r="G1888">
        <v>63</v>
      </c>
      <c r="H1888">
        <v>156</v>
      </c>
      <c r="I1888">
        <v>121</v>
      </c>
      <c r="J1888">
        <v>93</v>
      </c>
      <c r="K1888">
        <v>173</v>
      </c>
      <c r="L1888">
        <v>265</v>
      </c>
      <c r="M1888">
        <v>499</v>
      </c>
      <c r="N1888">
        <v>32</v>
      </c>
      <c r="O1888" t="s">
        <v>3445</v>
      </c>
      <c r="P1888" s="1" t="b">
        <f>NOT(OR(Table1[[#This Row],[State]]="Other Foreign Countries", Table1[[#This Row],[State]]="Unknown", Table1[[#This Row],[State]]="Puerto Rico all counties"))</f>
        <v>1</v>
      </c>
    </row>
    <row r="1889" spans="1:16" x14ac:dyDescent="0.25">
      <c r="A1889">
        <v>47121</v>
      </c>
      <c r="B1889" t="s">
        <v>3951</v>
      </c>
      <c r="C1889" t="s">
        <v>3444</v>
      </c>
      <c r="D1889">
        <v>409</v>
      </c>
      <c r="E1889">
        <v>90</v>
      </c>
      <c r="F1889">
        <v>40</v>
      </c>
      <c r="G1889">
        <v>45</v>
      </c>
      <c r="H1889">
        <v>117</v>
      </c>
      <c r="I1889">
        <v>117</v>
      </c>
      <c r="J1889">
        <v>95</v>
      </c>
      <c r="K1889">
        <v>134</v>
      </c>
      <c r="L1889">
        <v>180</v>
      </c>
      <c r="M1889">
        <v>384</v>
      </c>
      <c r="N1889">
        <v>25</v>
      </c>
      <c r="O1889" t="s">
        <v>4029</v>
      </c>
      <c r="P1889" s="1" t="b">
        <f>NOT(OR(Table1[[#This Row],[State]]="Other Foreign Countries", Table1[[#This Row],[State]]="Unknown", Table1[[#This Row],[State]]="Puerto Rico all counties"))</f>
        <v>1</v>
      </c>
    </row>
    <row r="1890" spans="1:16" x14ac:dyDescent="0.25">
      <c r="A1890">
        <v>46095</v>
      </c>
      <c r="B1890" t="s">
        <v>3846</v>
      </c>
      <c r="C1890" t="s">
        <v>3917</v>
      </c>
      <c r="D1890">
        <v>21</v>
      </c>
      <c r="L1890">
        <v>10</v>
      </c>
      <c r="O1890" t="s">
        <v>3918</v>
      </c>
      <c r="P1890" s="1" t="b">
        <f>NOT(OR(Table1[[#This Row],[State]]="Other Foreign Countries", Table1[[#This Row],[State]]="Unknown", Table1[[#This Row],[State]]="Puerto Rico all counties"))</f>
        <v>1</v>
      </c>
    </row>
    <row r="1891" spans="1:16" x14ac:dyDescent="0.25">
      <c r="A1891">
        <v>17129</v>
      </c>
      <c r="B1891" t="s">
        <v>1109</v>
      </c>
      <c r="C1891" t="s">
        <v>1208</v>
      </c>
      <c r="D1891">
        <v>255</v>
      </c>
      <c r="E1891">
        <v>35</v>
      </c>
      <c r="F1891">
        <v>31</v>
      </c>
      <c r="G1891">
        <v>38</v>
      </c>
      <c r="H1891">
        <v>71</v>
      </c>
      <c r="I1891">
        <v>80</v>
      </c>
      <c r="J1891">
        <v>86</v>
      </c>
      <c r="K1891">
        <v>97</v>
      </c>
      <c r="L1891">
        <v>72</v>
      </c>
      <c r="M1891">
        <v>232</v>
      </c>
      <c r="N1891">
        <v>23</v>
      </c>
      <c r="O1891" t="s">
        <v>1209</v>
      </c>
      <c r="P1891" s="1" t="b">
        <f>NOT(OR(Table1[[#This Row],[State]]="Other Foreign Countries", Table1[[#This Row],[State]]="Unknown", Table1[[#This Row],[State]]="Puerto Rico all counties"))</f>
        <v>1</v>
      </c>
    </row>
    <row r="1892" spans="1:16" x14ac:dyDescent="0.25">
      <c r="A1892">
        <v>48327</v>
      </c>
      <c r="B1892" t="s">
        <v>2654</v>
      </c>
      <c r="C1892" t="s">
        <v>1208</v>
      </c>
      <c r="D1892">
        <v>48</v>
      </c>
      <c r="H1892">
        <v>15</v>
      </c>
      <c r="I1892">
        <v>18</v>
      </c>
      <c r="L1892">
        <v>29</v>
      </c>
      <c r="O1892" t="s">
        <v>4336</v>
      </c>
      <c r="P1892" s="1" t="b">
        <f>NOT(OR(Table1[[#This Row],[State]]="Other Foreign Countries", Table1[[#This Row],[State]]="Unknown", Table1[[#This Row],[State]]="Puerto Rico all counties"))</f>
        <v>1</v>
      </c>
    </row>
    <row r="1893" spans="1:16" x14ac:dyDescent="0.25">
      <c r="A1893">
        <v>6045</v>
      </c>
      <c r="B1893" t="s">
        <v>374</v>
      </c>
      <c r="C1893" t="s">
        <v>419</v>
      </c>
      <c r="D1893">
        <v>1349</v>
      </c>
      <c r="E1893">
        <v>370</v>
      </c>
      <c r="F1893">
        <v>113</v>
      </c>
      <c r="G1893">
        <v>114</v>
      </c>
      <c r="H1893">
        <v>416</v>
      </c>
      <c r="I1893">
        <v>336</v>
      </c>
      <c r="J1893">
        <v>211</v>
      </c>
      <c r="K1893">
        <v>297</v>
      </c>
      <c r="L1893">
        <v>841</v>
      </c>
      <c r="M1893" s="1">
        <v>1261</v>
      </c>
      <c r="N1893">
        <v>88</v>
      </c>
      <c r="O1893" t="s">
        <v>420</v>
      </c>
      <c r="P1893" s="1" t="b">
        <f>NOT(OR(Table1[[#This Row],[State]]="Other Foreign Countries", Table1[[#This Row],[State]]="Unknown", Table1[[#This Row],[State]]="Puerto Rico all counties"))</f>
        <v>1</v>
      </c>
    </row>
    <row r="1894" spans="1:16" x14ac:dyDescent="0.25">
      <c r="A1894">
        <v>21165</v>
      </c>
      <c r="B1894" t="s">
        <v>1716</v>
      </c>
      <c r="C1894" t="s">
        <v>1837</v>
      </c>
      <c r="D1894">
        <v>111</v>
      </c>
      <c r="E1894">
        <v>19</v>
      </c>
      <c r="H1894">
        <v>43</v>
      </c>
      <c r="I1894">
        <v>30</v>
      </c>
      <c r="J1894">
        <v>23</v>
      </c>
      <c r="K1894">
        <v>45</v>
      </c>
      <c r="L1894">
        <v>43</v>
      </c>
      <c r="O1894" t="s">
        <v>1838</v>
      </c>
      <c r="P1894" s="1" t="b">
        <f>NOT(OR(Table1[[#This Row],[State]]="Other Foreign Countries", Table1[[#This Row],[State]]="Unknown", Table1[[#This Row],[State]]="Puerto Rico all counties"))</f>
        <v>1</v>
      </c>
    </row>
    <row r="1895" spans="1:16" x14ac:dyDescent="0.25">
      <c r="A1895">
        <v>26109</v>
      </c>
      <c r="B1895" t="s">
        <v>2099</v>
      </c>
      <c r="C1895" t="s">
        <v>2194</v>
      </c>
      <c r="D1895">
        <v>687</v>
      </c>
      <c r="E1895">
        <v>186</v>
      </c>
      <c r="F1895">
        <v>67</v>
      </c>
      <c r="G1895">
        <v>98</v>
      </c>
      <c r="H1895">
        <v>205</v>
      </c>
      <c r="I1895">
        <v>131</v>
      </c>
      <c r="J1895">
        <v>117</v>
      </c>
      <c r="K1895">
        <v>200</v>
      </c>
      <c r="L1895">
        <v>370</v>
      </c>
      <c r="M1895">
        <v>629</v>
      </c>
      <c r="N1895">
        <v>58</v>
      </c>
      <c r="O1895" t="s">
        <v>2195</v>
      </c>
      <c r="P1895" s="1" t="b">
        <f>NOT(OR(Table1[[#This Row],[State]]="Other Foreign Countries", Table1[[#This Row],[State]]="Unknown", Table1[[#This Row],[State]]="Puerto Rico all counties"))</f>
        <v>1</v>
      </c>
    </row>
    <row r="1896" spans="1:16" x14ac:dyDescent="0.25">
      <c r="A1896">
        <v>55078</v>
      </c>
      <c r="B1896" t="s">
        <v>4906</v>
      </c>
      <c r="C1896" t="s">
        <v>2194</v>
      </c>
      <c r="D1896">
        <v>49</v>
      </c>
      <c r="E1896">
        <v>12</v>
      </c>
      <c r="H1896">
        <v>15</v>
      </c>
      <c r="J1896">
        <v>18</v>
      </c>
      <c r="K1896">
        <v>13</v>
      </c>
      <c r="L1896">
        <v>18</v>
      </c>
      <c r="O1896" t="s">
        <v>4962</v>
      </c>
      <c r="P1896" s="1" t="b">
        <f>NOT(OR(Table1[[#This Row],[State]]="Other Foreign Countries", Table1[[#This Row],[State]]="Unknown", Table1[[#This Row],[State]]="Puerto Rico all counties"))</f>
        <v>1</v>
      </c>
    </row>
    <row r="1897" spans="1:16" x14ac:dyDescent="0.25">
      <c r="A1897">
        <v>6047</v>
      </c>
      <c r="B1897" t="s">
        <v>374</v>
      </c>
      <c r="C1897" t="s">
        <v>421</v>
      </c>
      <c r="D1897">
        <v>3020</v>
      </c>
      <c r="E1897">
        <v>750</v>
      </c>
      <c r="F1897">
        <v>297</v>
      </c>
      <c r="G1897">
        <v>360</v>
      </c>
      <c r="H1897">
        <v>933</v>
      </c>
      <c r="I1897">
        <v>680</v>
      </c>
      <c r="J1897" s="1">
        <v>1018</v>
      </c>
      <c r="K1897">
        <v>676</v>
      </c>
      <c r="L1897" s="1">
        <v>1326</v>
      </c>
      <c r="M1897" s="1">
        <v>2750</v>
      </c>
      <c r="N1897">
        <v>270</v>
      </c>
      <c r="O1897" t="s">
        <v>422</v>
      </c>
      <c r="P1897" s="1" t="b">
        <f>NOT(OR(Table1[[#This Row],[State]]="Other Foreign Countries", Table1[[#This Row],[State]]="Unknown", Table1[[#This Row],[State]]="Puerto Rico all counties"))</f>
        <v>1</v>
      </c>
    </row>
    <row r="1898" spans="1:16" x14ac:dyDescent="0.25">
      <c r="A1898">
        <v>17131</v>
      </c>
      <c r="B1898" t="s">
        <v>1109</v>
      </c>
      <c r="C1898" t="s">
        <v>1210</v>
      </c>
      <c r="D1898">
        <v>286</v>
      </c>
      <c r="E1898">
        <v>65</v>
      </c>
      <c r="F1898">
        <v>41</v>
      </c>
      <c r="G1898">
        <v>45</v>
      </c>
      <c r="H1898">
        <v>84</v>
      </c>
      <c r="I1898">
        <v>51</v>
      </c>
      <c r="J1898">
        <v>62</v>
      </c>
      <c r="K1898">
        <v>91</v>
      </c>
      <c r="L1898">
        <v>133</v>
      </c>
      <c r="M1898">
        <v>273</v>
      </c>
      <c r="N1898">
        <v>13</v>
      </c>
      <c r="O1898" t="s">
        <v>1211</v>
      </c>
      <c r="P1898" s="1" t="b">
        <f>NOT(OR(Table1[[#This Row],[State]]="Other Foreign Countries", Table1[[#This Row],[State]]="Unknown", Table1[[#This Row],[State]]="Puerto Rico all counties"))</f>
        <v>1</v>
      </c>
    </row>
    <row r="1899" spans="1:16" x14ac:dyDescent="0.25">
      <c r="A1899">
        <v>21167</v>
      </c>
      <c r="B1899" t="s">
        <v>1716</v>
      </c>
      <c r="C1899" t="s">
        <v>1210</v>
      </c>
      <c r="D1899">
        <v>470</v>
      </c>
      <c r="E1899">
        <v>83</v>
      </c>
      <c r="F1899">
        <v>46</v>
      </c>
      <c r="G1899">
        <v>58</v>
      </c>
      <c r="H1899">
        <v>142</v>
      </c>
      <c r="I1899">
        <v>141</v>
      </c>
      <c r="J1899">
        <v>127</v>
      </c>
      <c r="K1899">
        <v>182</v>
      </c>
      <c r="L1899">
        <v>161</v>
      </c>
      <c r="M1899">
        <v>418</v>
      </c>
      <c r="N1899">
        <v>52</v>
      </c>
      <c r="O1899" t="s">
        <v>1839</v>
      </c>
      <c r="P1899" s="1" t="b">
        <f>NOT(OR(Table1[[#This Row],[State]]="Other Foreign Countries", Table1[[#This Row],[State]]="Unknown", Table1[[#This Row],[State]]="Puerto Rico all counties"))</f>
        <v>1</v>
      </c>
    </row>
    <row r="1900" spans="1:16" x14ac:dyDescent="0.25">
      <c r="A1900">
        <v>29129</v>
      </c>
      <c r="B1900" t="s">
        <v>2510</v>
      </c>
      <c r="C1900" t="s">
        <v>1210</v>
      </c>
      <c r="D1900">
        <v>91</v>
      </c>
      <c r="E1900">
        <v>34</v>
      </c>
      <c r="H1900">
        <v>19</v>
      </c>
      <c r="I1900">
        <v>21</v>
      </c>
      <c r="J1900">
        <v>14</v>
      </c>
      <c r="K1900">
        <v>16</v>
      </c>
      <c r="L1900">
        <v>61</v>
      </c>
      <c r="O1900" t="s">
        <v>2594</v>
      </c>
      <c r="P1900" s="1" t="b">
        <f>NOT(OR(Table1[[#This Row],[State]]="Other Foreign Countries", Table1[[#This Row],[State]]="Unknown", Table1[[#This Row],[State]]="Puerto Rico all counties"))</f>
        <v>1</v>
      </c>
    </row>
    <row r="1901" spans="1:16" x14ac:dyDescent="0.25">
      <c r="A1901">
        <v>34021</v>
      </c>
      <c r="B1901" t="s">
        <v>2938</v>
      </c>
      <c r="C1901" t="s">
        <v>1210</v>
      </c>
      <c r="D1901">
        <v>2349</v>
      </c>
      <c r="E1901">
        <v>520</v>
      </c>
      <c r="F1901">
        <v>247</v>
      </c>
      <c r="G1901">
        <v>272</v>
      </c>
      <c r="H1901">
        <v>663</v>
      </c>
      <c r="I1901">
        <v>647</v>
      </c>
      <c r="J1901">
        <v>712</v>
      </c>
      <c r="K1901">
        <v>594</v>
      </c>
      <c r="L1901" s="1">
        <v>1043</v>
      </c>
      <c r="M1901" s="1">
        <v>2090</v>
      </c>
      <c r="N1901">
        <v>259</v>
      </c>
      <c r="O1901" t="s">
        <v>2956</v>
      </c>
      <c r="P1901" s="1" t="b">
        <f>NOT(OR(Table1[[#This Row],[State]]="Other Foreign Countries", Table1[[#This Row],[State]]="Unknown", Table1[[#This Row],[State]]="Puerto Rico all counties"))</f>
        <v>1</v>
      </c>
    </row>
    <row r="1902" spans="1:16" x14ac:dyDescent="0.25">
      <c r="A1902">
        <v>38057</v>
      </c>
      <c r="B1902" t="s">
        <v>3286</v>
      </c>
      <c r="C1902" t="s">
        <v>1210</v>
      </c>
      <c r="D1902">
        <v>176</v>
      </c>
      <c r="E1902">
        <v>48</v>
      </c>
      <c r="F1902">
        <v>20</v>
      </c>
      <c r="G1902">
        <v>25</v>
      </c>
      <c r="H1902">
        <v>49</v>
      </c>
      <c r="I1902">
        <v>34</v>
      </c>
      <c r="J1902">
        <v>36</v>
      </c>
      <c r="K1902">
        <v>47</v>
      </c>
      <c r="L1902">
        <v>93</v>
      </c>
      <c r="M1902">
        <v>163</v>
      </c>
      <c r="N1902">
        <v>13</v>
      </c>
      <c r="O1902" t="s">
        <v>3333</v>
      </c>
      <c r="P1902" s="1" t="b">
        <f>NOT(OR(Table1[[#This Row],[State]]="Other Foreign Countries", Table1[[#This Row],[State]]="Unknown", Table1[[#This Row],[State]]="Puerto Rico all counties"))</f>
        <v>1</v>
      </c>
    </row>
    <row r="1903" spans="1:16" x14ac:dyDescent="0.25">
      <c r="A1903">
        <v>39107</v>
      </c>
      <c r="B1903" t="s">
        <v>1343</v>
      </c>
      <c r="C1903" t="s">
        <v>1210</v>
      </c>
      <c r="D1903">
        <v>514</v>
      </c>
      <c r="E1903">
        <v>142</v>
      </c>
      <c r="F1903">
        <v>62</v>
      </c>
      <c r="G1903">
        <v>91</v>
      </c>
      <c r="H1903">
        <v>129</v>
      </c>
      <c r="I1903">
        <v>90</v>
      </c>
      <c r="J1903">
        <v>105</v>
      </c>
      <c r="K1903">
        <v>142</v>
      </c>
      <c r="L1903">
        <v>267</v>
      </c>
      <c r="M1903">
        <v>482</v>
      </c>
      <c r="N1903">
        <v>32</v>
      </c>
      <c r="O1903" t="s">
        <v>3446</v>
      </c>
      <c r="P1903" s="1" t="b">
        <f>NOT(OR(Table1[[#This Row],[State]]="Other Foreign Countries", Table1[[#This Row],[State]]="Unknown", Table1[[#This Row],[State]]="Puerto Rico all counties"))</f>
        <v>1</v>
      </c>
    </row>
    <row r="1904" spans="1:16" x14ac:dyDescent="0.25">
      <c r="A1904">
        <v>42085</v>
      </c>
      <c r="B1904" t="s">
        <v>3665</v>
      </c>
      <c r="C1904" t="s">
        <v>1210</v>
      </c>
      <c r="D1904">
        <v>1939</v>
      </c>
      <c r="E1904">
        <v>433</v>
      </c>
      <c r="F1904">
        <v>221</v>
      </c>
      <c r="G1904">
        <v>263</v>
      </c>
      <c r="H1904">
        <v>513</v>
      </c>
      <c r="I1904">
        <v>509</v>
      </c>
      <c r="J1904">
        <v>500</v>
      </c>
      <c r="K1904">
        <v>604</v>
      </c>
      <c r="L1904">
        <v>835</v>
      </c>
      <c r="M1904" s="1">
        <v>1739</v>
      </c>
      <c r="N1904">
        <v>200</v>
      </c>
      <c r="O1904" t="s">
        <v>3729</v>
      </c>
      <c r="P1904" s="1" t="b">
        <f>NOT(OR(Table1[[#This Row],[State]]="Other Foreign Countries", Table1[[#This Row],[State]]="Unknown", Table1[[#This Row],[State]]="Puerto Rico all counties"))</f>
        <v>1</v>
      </c>
    </row>
    <row r="1905" spans="1:16" x14ac:dyDescent="0.25">
      <c r="A1905">
        <v>54055</v>
      </c>
      <c r="B1905" t="s">
        <v>4833</v>
      </c>
      <c r="C1905" t="s">
        <v>1210</v>
      </c>
      <c r="D1905">
        <v>1734</v>
      </c>
      <c r="E1905">
        <v>361</v>
      </c>
      <c r="F1905">
        <v>161</v>
      </c>
      <c r="G1905">
        <v>158</v>
      </c>
      <c r="H1905">
        <v>562</v>
      </c>
      <c r="I1905">
        <v>492</v>
      </c>
      <c r="J1905">
        <v>280</v>
      </c>
      <c r="K1905">
        <v>505</v>
      </c>
      <c r="L1905">
        <v>949</v>
      </c>
      <c r="M1905" s="1">
        <v>1630</v>
      </c>
      <c r="N1905">
        <v>104</v>
      </c>
      <c r="O1905" t="s">
        <v>4868</v>
      </c>
      <c r="P1905" s="1" t="b">
        <f>NOT(OR(Table1[[#This Row],[State]]="Other Foreign Countries", Table1[[#This Row],[State]]="Unknown", Table1[[#This Row],[State]]="Puerto Rico all counties"))</f>
        <v>1</v>
      </c>
    </row>
    <row r="1906" spans="1:16" x14ac:dyDescent="0.25">
      <c r="A1906">
        <v>13199</v>
      </c>
      <c r="B1906" t="s">
        <v>754</v>
      </c>
      <c r="C1906" t="s">
        <v>920</v>
      </c>
      <c r="D1906">
        <v>568</v>
      </c>
      <c r="E1906">
        <v>112</v>
      </c>
      <c r="F1906">
        <v>56</v>
      </c>
      <c r="G1906">
        <v>63</v>
      </c>
      <c r="H1906">
        <v>171</v>
      </c>
      <c r="I1906">
        <v>166</v>
      </c>
      <c r="J1906">
        <v>135</v>
      </c>
      <c r="K1906">
        <v>194</v>
      </c>
      <c r="L1906">
        <v>239</v>
      </c>
      <c r="M1906">
        <v>494</v>
      </c>
      <c r="N1906">
        <v>74</v>
      </c>
      <c r="O1906" t="s">
        <v>921</v>
      </c>
      <c r="P1906" s="1" t="b">
        <f>NOT(OR(Table1[[#This Row],[State]]="Other Foreign Countries", Table1[[#This Row],[State]]="Unknown", Table1[[#This Row],[State]]="Puerto Rico all counties"))</f>
        <v>1</v>
      </c>
    </row>
    <row r="1907" spans="1:16" x14ac:dyDescent="0.25">
      <c r="A1907">
        <v>31121</v>
      </c>
      <c r="B1907" t="s">
        <v>2758</v>
      </c>
      <c r="C1907" t="s">
        <v>2846</v>
      </c>
      <c r="D1907">
        <v>282</v>
      </c>
      <c r="E1907">
        <v>119</v>
      </c>
      <c r="F1907">
        <v>35</v>
      </c>
      <c r="G1907">
        <v>31</v>
      </c>
      <c r="H1907">
        <v>51</v>
      </c>
      <c r="I1907">
        <v>46</v>
      </c>
      <c r="J1907">
        <v>35</v>
      </c>
      <c r="K1907">
        <v>61</v>
      </c>
      <c r="L1907">
        <v>186</v>
      </c>
      <c r="M1907">
        <v>265</v>
      </c>
      <c r="N1907">
        <v>17</v>
      </c>
      <c r="O1907" t="s">
        <v>2847</v>
      </c>
      <c r="P1907" s="1" t="b">
        <f>NOT(OR(Table1[[#This Row],[State]]="Other Foreign Countries", Table1[[#This Row],[State]]="Unknown", Table1[[#This Row],[State]]="Puerto Rico all counties"))</f>
        <v>1</v>
      </c>
    </row>
    <row r="1908" spans="1:16" x14ac:dyDescent="0.25">
      <c r="A1908">
        <v>33013</v>
      </c>
      <c r="B1908" t="s">
        <v>2920</v>
      </c>
      <c r="C1908" t="s">
        <v>2931</v>
      </c>
      <c r="D1908">
        <v>3077</v>
      </c>
      <c r="E1908">
        <v>761</v>
      </c>
      <c r="F1908">
        <v>375</v>
      </c>
      <c r="G1908">
        <v>438</v>
      </c>
      <c r="H1908">
        <v>895</v>
      </c>
      <c r="I1908">
        <v>608</v>
      </c>
      <c r="J1908">
        <v>940</v>
      </c>
      <c r="K1908">
        <v>886</v>
      </c>
      <c r="L1908" s="1">
        <v>1251</v>
      </c>
      <c r="M1908" s="1">
        <v>2751</v>
      </c>
      <c r="N1908">
        <v>326</v>
      </c>
      <c r="O1908" t="s">
        <v>2932</v>
      </c>
      <c r="P1908" s="1" t="b">
        <f>NOT(OR(Table1[[#This Row],[State]]="Other Foreign Countries", Table1[[#This Row],[State]]="Unknown", Table1[[#This Row],[State]]="Puerto Rico all counties"))</f>
        <v>1</v>
      </c>
    </row>
    <row r="1909" spans="1:16" x14ac:dyDescent="0.25">
      <c r="A1909">
        <v>8077</v>
      </c>
      <c r="B1909" t="s">
        <v>489</v>
      </c>
      <c r="C1909" t="s">
        <v>563</v>
      </c>
      <c r="D1909">
        <v>5370</v>
      </c>
      <c r="E1909" s="1">
        <v>1622</v>
      </c>
      <c r="F1909">
        <v>680</v>
      </c>
      <c r="G1909">
        <v>650</v>
      </c>
      <c r="H1909" s="1">
        <v>1327</v>
      </c>
      <c r="I1909" s="1">
        <v>1091</v>
      </c>
      <c r="J1909" s="1">
        <v>1313</v>
      </c>
      <c r="K1909" s="1">
        <v>1531</v>
      </c>
      <c r="L1909" s="1">
        <v>2526</v>
      </c>
      <c r="M1909" s="1">
        <v>4820</v>
      </c>
      <c r="N1909">
        <v>550</v>
      </c>
      <c r="O1909" t="s">
        <v>564</v>
      </c>
      <c r="P1909" s="1" t="b">
        <f>NOT(OR(Table1[[#This Row],[State]]="Other Foreign Countries", Table1[[#This Row],[State]]="Unknown", Table1[[#This Row],[State]]="Puerto Rico all counties"))</f>
        <v>1</v>
      </c>
    </row>
    <row r="1910" spans="1:16" x14ac:dyDescent="0.25">
      <c r="A1910">
        <v>21169</v>
      </c>
      <c r="B1910" t="s">
        <v>1716</v>
      </c>
      <c r="C1910" t="s">
        <v>1840</v>
      </c>
      <c r="D1910">
        <v>137</v>
      </c>
      <c r="E1910">
        <v>29</v>
      </c>
      <c r="F1910">
        <v>17</v>
      </c>
      <c r="G1910">
        <v>14</v>
      </c>
      <c r="H1910">
        <v>38</v>
      </c>
      <c r="I1910">
        <v>39</v>
      </c>
      <c r="J1910">
        <v>36</v>
      </c>
      <c r="K1910">
        <v>38</v>
      </c>
      <c r="L1910">
        <v>63</v>
      </c>
      <c r="M1910">
        <v>122</v>
      </c>
      <c r="N1910">
        <v>15</v>
      </c>
      <c r="O1910" t="s">
        <v>1841</v>
      </c>
      <c r="P1910" s="1" t="b">
        <f>NOT(OR(Table1[[#This Row],[State]]="Other Foreign Countries", Table1[[#This Row],[State]]="Unknown", Table1[[#This Row],[State]]="Puerto Rico all counties"))</f>
        <v>1</v>
      </c>
    </row>
    <row r="1911" spans="1:16" x14ac:dyDescent="0.25">
      <c r="A1911">
        <v>18103</v>
      </c>
      <c r="B1911" t="s">
        <v>1266</v>
      </c>
      <c r="C1911" t="s">
        <v>1335</v>
      </c>
      <c r="D1911">
        <v>1468</v>
      </c>
      <c r="E1911">
        <v>646</v>
      </c>
      <c r="F1911">
        <v>177</v>
      </c>
      <c r="G1911">
        <v>192</v>
      </c>
      <c r="H1911">
        <v>285</v>
      </c>
      <c r="I1911">
        <v>168</v>
      </c>
      <c r="J1911">
        <v>256</v>
      </c>
      <c r="K1911">
        <v>451</v>
      </c>
      <c r="L1911">
        <v>761</v>
      </c>
      <c r="M1911" s="1">
        <v>1333</v>
      </c>
      <c r="N1911">
        <v>134</v>
      </c>
      <c r="O1911" t="s">
        <v>1336</v>
      </c>
      <c r="P1911" s="1" t="b">
        <f>NOT(OR(Table1[[#This Row],[State]]="Other Foreign Countries", Table1[[#This Row],[State]]="Unknown", Table1[[#This Row],[State]]="Puerto Rico all counties"))</f>
        <v>1</v>
      </c>
    </row>
    <row r="1912" spans="1:16" x14ac:dyDescent="0.25">
      <c r="A1912">
        <v>20121</v>
      </c>
      <c r="B1912" t="s">
        <v>1543</v>
      </c>
      <c r="C1912" t="s">
        <v>1335</v>
      </c>
      <c r="D1912">
        <v>584</v>
      </c>
      <c r="E1912">
        <v>129</v>
      </c>
      <c r="F1912">
        <v>70</v>
      </c>
      <c r="G1912">
        <v>61</v>
      </c>
      <c r="H1912">
        <v>191</v>
      </c>
      <c r="I1912">
        <v>133</v>
      </c>
      <c r="J1912">
        <v>187</v>
      </c>
      <c r="K1912">
        <v>160</v>
      </c>
      <c r="L1912">
        <v>236</v>
      </c>
      <c r="M1912">
        <v>542</v>
      </c>
      <c r="N1912">
        <v>42</v>
      </c>
      <c r="O1912" t="s">
        <v>1637</v>
      </c>
      <c r="P1912" s="1" t="b">
        <f>NOT(OR(Table1[[#This Row],[State]]="Other Foreign Countries", Table1[[#This Row],[State]]="Unknown", Table1[[#This Row],[State]]="Puerto Rico all counties"))</f>
        <v>1</v>
      </c>
    </row>
    <row r="1913" spans="1:16" x14ac:dyDescent="0.25">
      <c r="A1913">
        <v>39109</v>
      </c>
      <c r="B1913" t="s">
        <v>1343</v>
      </c>
      <c r="C1913" t="s">
        <v>1335</v>
      </c>
      <c r="D1913">
        <v>2352</v>
      </c>
      <c r="E1913">
        <v>442</v>
      </c>
      <c r="F1913">
        <v>306</v>
      </c>
      <c r="G1913">
        <v>295</v>
      </c>
      <c r="H1913">
        <v>711</v>
      </c>
      <c r="I1913">
        <v>598</v>
      </c>
      <c r="J1913">
        <v>733</v>
      </c>
      <c r="K1913">
        <v>787</v>
      </c>
      <c r="L1913">
        <v>832</v>
      </c>
      <c r="M1913" s="1">
        <v>2079</v>
      </c>
      <c r="N1913">
        <v>272</v>
      </c>
      <c r="O1913" t="s">
        <v>3447</v>
      </c>
      <c r="P1913" s="1" t="b">
        <f>NOT(OR(Table1[[#This Row],[State]]="Other Foreign Countries", Table1[[#This Row],[State]]="Unknown", Table1[[#This Row],[State]]="Puerto Rico all counties"))</f>
        <v>1</v>
      </c>
    </row>
    <row r="1914" spans="1:16" x14ac:dyDescent="0.25">
      <c r="A1914">
        <v>12086</v>
      </c>
      <c r="B1914" t="s">
        <v>637</v>
      </c>
      <c r="C1914" t="s">
        <v>710</v>
      </c>
      <c r="D1914">
        <v>17755</v>
      </c>
      <c r="E1914" s="1">
        <v>2968</v>
      </c>
      <c r="F1914" s="1">
        <v>1611</v>
      </c>
      <c r="G1914" s="1">
        <v>1724</v>
      </c>
      <c r="H1914" s="1">
        <v>5557</v>
      </c>
      <c r="I1914" s="1">
        <v>5895</v>
      </c>
      <c r="J1914" s="1">
        <v>6579</v>
      </c>
      <c r="K1914" s="1">
        <v>6026</v>
      </c>
      <c r="L1914" s="1">
        <v>5150</v>
      </c>
      <c r="M1914" s="1">
        <v>15609</v>
      </c>
      <c r="N1914" s="1">
        <v>2145</v>
      </c>
      <c r="O1914" t="s">
        <v>711</v>
      </c>
      <c r="P1914" s="1" t="b">
        <f>NOT(OR(Table1[[#This Row],[State]]="Other Foreign Countries", Table1[[#This Row],[State]]="Unknown", Table1[[#This Row],[State]]="Puerto Rico all counties"))</f>
        <v>1</v>
      </c>
    </row>
    <row r="1915" spans="1:16" x14ac:dyDescent="0.25">
      <c r="A1915">
        <v>25017</v>
      </c>
      <c r="B1915" t="s">
        <v>2073</v>
      </c>
      <c r="C1915" t="s">
        <v>2089</v>
      </c>
      <c r="D1915">
        <v>12971</v>
      </c>
      <c r="E1915" s="1">
        <v>3403</v>
      </c>
      <c r="F1915" s="1">
        <v>1673</v>
      </c>
      <c r="G1915" s="1">
        <v>1569</v>
      </c>
      <c r="H1915" s="1">
        <v>3553</v>
      </c>
      <c r="I1915" s="1">
        <v>2773</v>
      </c>
      <c r="J1915" s="1">
        <v>3910</v>
      </c>
      <c r="K1915" s="1">
        <v>3026</v>
      </c>
      <c r="L1915" s="1">
        <v>6035</v>
      </c>
      <c r="M1915" s="1">
        <v>11857</v>
      </c>
      <c r="N1915" s="1">
        <v>1112</v>
      </c>
      <c r="O1915" t="s">
        <v>2090</v>
      </c>
      <c r="P1915" s="1" t="b">
        <f>NOT(OR(Table1[[#This Row],[State]]="Other Foreign Countries", Table1[[#This Row],[State]]="Unknown", Table1[[#This Row],[State]]="Puerto Rico all counties"))</f>
        <v>1</v>
      </c>
    </row>
    <row r="1916" spans="1:16" x14ac:dyDescent="0.25">
      <c r="A1916">
        <v>34023</v>
      </c>
      <c r="B1916" t="s">
        <v>2938</v>
      </c>
      <c r="C1916" t="s">
        <v>2089</v>
      </c>
      <c r="D1916">
        <v>4730</v>
      </c>
      <c r="E1916" s="1">
        <v>1053</v>
      </c>
      <c r="F1916">
        <v>537</v>
      </c>
      <c r="G1916">
        <v>519</v>
      </c>
      <c r="H1916" s="1">
        <v>1285</v>
      </c>
      <c r="I1916" s="1">
        <v>1336</v>
      </c>
      <c r="J1916" s="1">
        <v>1672</v>
      </c>
      <c r="K1916" s="1">
        <v>1144</v>
      </c>
      <c r="L1916" s="1">
        <v>1914</v>
      </c>
      <c r="M1916" s="1">
        <v>4253</v>
      </c>
      <c r="N1916">
        <v>477</v>
      </c>
      <c r="O1916" t="s">
        <v>2957</v>
      </c>
      <c r="P1916" s="1" t="b">
        <f>NOT(OR(Table1[[#This Row],[State]]="Other Foreign Countries", Table1[[#This Row],[State]]="Unknown", Table1[[#This Row],[State]]="Puerto Rico all counties"))</f>
        <v>1</v>
      </c>
    </row>
    <row r="1917" spans="1:16" x14ac:dyDescent="0.25">
      <c r="A1917">
        <v>51119</v>
      </c>
      <c r="B1917" t="s">
        <v>4555</v>
      </c>
      <c r="C1917" t="s">
        <v>2089</v>
      </c>
      <c r="D1917">
        <v>317</v>
      </c>
      <c r="E1917">
        <v>57</v>
      </c>
      <c r="F1917">
        <v>36</v>
      </c>
      <c r="G1917">
        <v>35</v>
      </c>
      <c r="H1917">
        <v>94</v>
      </c>
      <c r="I1917">
        <v>95</v>
      </c>
      <c r="J1917">
        <v>46</v>
      </c>
      <c r="K1917">
        <v>98</v>
      </c>
      <c r="L1917">
        <v>173</v>
      </c>
      <c r="M1917">
        <v>282</v>
      </c>
      <c r="N1917">
        <v>35</v>
      </c>
      <c r="O1917" t="s">
        <v>4643</v>
      </c>
      <c r="P1917" s="1" t="b">
        <f>NOT(OR(Table1[[#This Row],[State]]="Other Foreign Countries", Table1[[#This Row],[State]]="Unknown", Table1[[#This Row],[State]]="Puerto Rico all counties"))</f>
        <v>1</v>
      </c>
    </row>
    <row r="1918" spans="1:16" x14ac:dyDescent="0.25">
      <c r="A1918">
        <v>26111</v>
      </c>
      <c r="B1918" t="s">
        <v>2099</v>
      </c>
      <c r="C1918" t="s">
        <v>2196</v>
      </c>
      <c r="D1918">
        <v>1757</v>
      </c>
      <c r="E1918">
        <v>500</v>
      </c>
      <c r="F1918">
        <v>210</v>
      </c>
      <c r="G1918">
        <v>201</v>
      </c>
      <c r="H1918">
        <v>482</v>
      </c>
      <c r="I1918">
        <v>364</v>
      </c>
      <c r="J1918">
        <v>444</v>
      </c>
      <c r="K1918">
        <v>493</v>
      </c>
      <c r="L1918">
        <v>820</v>
      </c>
      <c r="M1918" s="1">
        <v>1616</v>
      </c>
      <c r="N1918">
        <v>141</v>
      </c>
      <c r="O1918" t="s">
        <v>2197</v>
      </c>
      <c r="P1918" s="1" t="b">
        <f>NOT(OR(Table1[[#This Row],[State]]="Other Foreign Countries", Table1[[#This Row],[State]]="Unknown", Table1[[#This Row],[State]]="Puerto Rico all counties"))</f>
        <v>1</v>
      </c>
    </row>
    <row r="1919" spans="1:16" x14ac:dyDescent="0.25">
      <c r="A1919">
        <v>48329</v>
      </c>
      <c r="B1919" t="s">
        <v>2654</v>
      </c>
      <c r="C1919" t="s">
        <v>2196</v>
      </c>
      <c r="D1919">
        <v>2226</v>
      </c>
      <c r="E1919">
        <v>419</v>
      </c>
      <c r="F1919">
        <v>236</v>
      </c>
      <c r="G1919">
        <v>325</v>
      </c>
      <c r="H1919">
        <v>740</v>
      </c>
      <c r="I1919">
        <v>506</v>
      </c>
      <c r="J1919">
        <v>947</v>
      </c>
      <c r="K1919">
        <v>734</v>
      </c>
      <c r="L1919">
        <v>545</v>
      </c>
      <c r="M1919" s="1">
        <v>2009</v>
      </c>
      <c r="N1919">
        <v>217</v>
      </c>
      <c r="O1919" t="s">
        <v>4337</v>
      </c>
      <c r="P1919" s="1" t="b">
        <f>NOT(OR(Table1[[#This Row],[State]]="Other Foreign Countries", Table1[[#This Row],[State]]="Unknown", Table1[[#This Row],[State]]="Puerto Rico all counties"))</f>
        <v>1</v>
      </c>
    </row>
    <row r="1920" spans="1:16" x14ac:dyDescent="0.25">
      <c r="A1920">
        <v>42087</v>
      </c>
      <c r="B1920" t="s">
        <v>3665</v>
      </c>
      <c r="C1920" t="s">
        <v>3730</v>
      </c>
      <c r="D1920">
        <v>737</v>
      </c>
      <c r="E1920">
        <v>168</v>
      </c>
      <c r="F1920">
        <v>98</v>
      </c>
      <c r="G1920">
        <v>111</v>
      </c>
      <c r="H1920">
        <v>201</v>
      </c>
      <c r="I1920">
        <v>159</v>
      </c>
      <c r="J1920">
        <v>168</v>
      </c>
      <c r="K1920">
        <v>236</v>
      </c>
      <c r="L1920">
        <v>333</v>
      </c>
      <c r="M1920">
        <v>675</v>
      </c>
      <c r="N1920">
        <v>62</v>
      </c>
      <c r="O1920" t="s">
        <v>3731</v>
      </c>
      <c r="P1920" s="1" t="b">
        <f>NOT(OR(Table1[[#This Row],[State]]="Other Foreign Countries", Table1[[#This Row],[State]]="Unknown", Table1[[#This Row],[State]]="Puerto Rico all counties"))</f>
        <v>1</v>
      </c>
    </row>
    <row r="1921" spans="1:16" x14ac:dyDescent="0.25">
      <c r="A1921">
        <v>48331</v>
      </c>
      <c r="B1921" t="s">
        <v>2654</v>
      </c>
      <c r="C1921" t="s">
        <v>4338</v>
      </c>
      <c r="D1921">
        <v>598</v>
      </c>
      <c r="E1921">
        <v>121</v>
      </c>
      <c r="F1921">
        <v>68</v>
      </c>
      <c r="G1921">
        <v>60</v>
      </c>
      <c r="H1921">
        <v>208</v>
      </c>
      <c r="I1921">
        <v>141</v>
      </c>
      <c r="J1921">
        <v>145</v>
      </c>
      <c r="K1921">
        <v>183</v>
      </c>
      <c r="L1921">
        <v>270</v>
      </c>
      <c r="M1921">
        <v>548</v>
      </c>
      <c r="N1921">
        <v>50</v>
      </c>
      <c r="O1921" t="s">
        <v>4339</v>
      </c>
      <c r="P1921" s="1" t="b">
        <f>NOT(OR(Table1[[#This Row],[State]]="Other Foreign Countries", Table1[[#This Row],[State]]="Unknown", Table1[[#This Row],[State]]="Puerto Rico all counties"))</f>
        <v>1</v>
      </c>
    </row>
    <row r="1922" spans="1:16" x14ac:dyDescent="0.25">
      <c r="A1922">
        <v>49027</v>
      </c>
      <c r="B1922" t="s">
        <v>4486</v>
      </c>
      <c r="C1922" t="s">
        <v>4506</v>
      </c>
      <c r="D1922">
        <v>156</v>
      </c>
      <c r="E1922">
        <v>36</v>
      </c>
      <c r="F1922">
        <v>21</v>
      </c>
      <c r="G1922">
        <v>24</v>
      </c>
      <c r="H1922">
        <v>41</v>
      </c>
      <c r="I1922">
        <v>34</v>
      </c>
      <c r="J1922">
        <v>47</v>
      </c>
      <c r="K1922">
        <v>38</v>
      </c>
      <c r="L1922">
        <v>71</v>
      </c>
      <c r="M1922">
        <v>142</v>
      </c>
      <c r="N1922">
        <v>14</v>
      </c>
      <c r="O1922" t="s">
        <v>4507</v>
      </c>
      <c r="P1922" s="1" t="b">
        <f>NOT(OR(Table1[[#This Row],[State]]="Other Foreign Countries", Table1[[#This Row],[State]]="Unknown", Table1[[#This Row],[State]]="Puerto Rico all counties"))</f>
        <v>1</v>
      </c>
    </row>
    <row r="1923" spans="1:16" x14ac:dyDescent="0.25">
      <c r="A1923">
        <v>27095</v>
      </c>
      <c r="B1923" t="s">
        <v>2245</v>
      </c>
      <c r="C1923" t="s">
        <v>2323</v>
      </c>
      <c r="D1923">
        <v>991</v>
      </c>
      <c r="E1923">
        <v>445</v>
      </c>
      <c r="F1923">
        <v>112</v>
      </c>
      <c r="G1923">
        <v>99</v>
      </c>
      <c r="H1923">
        <v>202</v>
      </c>
      <c r="I1923">
        <v>133</v>
      </c>
      <c r="J1923">
        <v>161</v>
      </c>
      <c r="K1923">
        <v>213</v>
      </c>
      <c r="L1923">
        <v>617</v>
      </c>
      <c r="M1923">
        <v>927</v>
      </c>
      <c r="N1923">
        <v>64</v>
      </c>
      <c r="O1923" t="s">
        <v>2324</v>
      </c>
      <c r="P1923" s="1" t="b">
        <f>NOT(OR(Table1[[#This Row],[State]]="Other Foreign Countries", Table1[[#This Row],[State]]="Unknown", Table1[[#This Row],[State]]="Puerto Rico all counties"))</f>
        <v>1</v>
      </c>
    </row>
    <row r="1924" spans="1:16" x14ac:dyDescent="0.25">
      <c r="A1924">
        <v>5091</v>
      </c>
      <c r="B1924" t="s">
        <v>242</v>
      </c>
      <c r="C1924" t="s">
        <v>320</v>
      </c>
      <c r="D1924">
        <v>836</v>
      </c>
      <c r="E1924">
        <v>153</v>
      </c>
      <c r="F1924">
        <v>84</v>
      </c>
      <c r="G1924">
        <v>100</v>
      </c>
      <c r="H1924">
        <v>271</v>
      </c>
      <c r="I1924">
        <v>228</v>
      </c>
      <c r="J1924">
        <v>193</v>
      </c>
      <c r="K1924">
        <v>284</v>
      </c>
      <c r="L1924">
        <v>359</v>
      </c>
      <c r="M1924">
        <v>740</v>
      </c>
      <c r="N1924">
        <v>96</v>
      </c>
      <c r="O1924" t="s">
        <v>321</v>
      </c>
      <c r="P1924" s="1" t="b">
        <f>NOT(OR(Table1[[#This Row],[State]]="Other Foreign Countries", Table1[[#This Row],[State]]="Unknown", Table1[[#This Row],[State]]="Puerto Rico all counties"))</f>
        <v>1</v>
      </c>
    </row>
    <row r="1925" spans="1:16" x14ac:dyDescent="0.25">
      <c r="A1925">
        <v>13201</v>
      </c>
      <c r="B1925" t="s">
        <v>754</v>
      </c>
      <c r="C1925" t="s">
        <v>320</v>
      </c>
      <c r="D1925">
        <v>103</v>
      </c>
      <c r="E1925">
        <v>15</v>
      </c>
      <c r="H1925">
        <v>35</v>
      </c>
      <c r="I1925">
        <v>35</v>
      </c>
      <c r="J1925">
        <v>24</v>
      </c>
      <c r="K1925">
        <v>27</v>
      </c>
      <c r="L1925">
        <v>52</v>
      </c>
      <c r="O1925" t="s">
        <v>922</v>
      </c>
      <c r="P1925" s="1" t="b">
        <f>NOT(OR(Table1[[#This Row],[State]]="Other Foreign Countries", Table1[[#This Row],[State]]="Unknown", Table1[[#This Row],[State]]="Puerto Rico all counties"))</f>
        <v>1</v>
      </c>
    </row>
    <row r="1926" spans="1:16" x14ac:dyDescent="0.25">
      <c r="A1926">
        <v>29131</v>
      </c>
      <c r="B1926" t="s">
        <v>2510</v>
      </c>
      <c r="C1926" t="s">
        <v>320</v>
      </c>
      <c r="D1926">
        <v>679</v>
      </c>
      <c r="E1926">
        <v>164</v>
      </c>
      <c r="F1926">
        <v>72</v>
      </c>
      <c r="G1926">
        <v>92</v>
      </c>
      <c r="H1926">
        <v>201</v>
      </c>
      <c r="I1926">
        <v>150</v>
      </c>
      <c r="J1926">
        <v>132</v>
      </c>
      <c r="K1926">
        <v>201</v>
      </c>
      <c r="L1926">
        <v>346</v>
      </c>
      <c r="M1926">
        <v>642</v>
      </c>
      <c r="N1926">
        <v>37</v>
      </c>
      <c r="O1926" t="s">
        <v>2595</v>
      </c>
      <c r="P1926" s="1" t="b">
        <f>NOT(OR(Table1[[#This Row],[State]]="Other Foreign Countries", Table1[[#This Row],[State]]="Unknown", Table1[[#This Row],[State]]="Puerto Rico all counties"))</f>
        <v>1</v>
      </c>
    </row>
    <row r="1927" spans="1:16" x14ac:dyDescent="0.25">
      <c r="A1927">
        <v>19129</v>
      </c>
      <c r="B1927" t="s">
        <v>1399</v>
      </c>
      <c r="C1927" t="s">
        <v>1489</v>
      </c>
      <c r="D1927">
        <v>594</v>
      </c>
      <c r="E1927">
        <v>125</v>
      </c>
      <c r="F1927">
        <v>73</v>
      </c>
      <c r="G1927">
        <v>86</v>
      </c>
      <c r="H1927">
        <v>156</v>
      </c>
      <c r="I1927">
        <v>154</v>
      </c>
      <c r="J1927">
        <v>136</v>
      </c>
      <c r="K1927">
        <v>212</v>
      </c>
      <c r="L1927">
        <v>246</v>
      </c>
      <c r="M1927">
        <v>529</v>
      </c>
      <c r="N1927">
        <v>65</v>
      </c>
      <c r="O1927" t="s">
        <v>1490</v>
      </c>
      <c r="P1927" s="1" t="b">
        <f>NOT(OR(Table1[[#This Row],[State]]="Other Foreign Countries", Table1[[#This Row],[State]]="Unknown", Table1[[#This Row],[State]]="Puerto Rico all counties"))</f>
        <v>1</v>
      </c>
    </row>
    <row r="1928" spans="1:16" x14ac:dyDescent="0.25">
      <c r="A1928">
        <v>48333</v>
      </c>
      <c r="B1928" t="s">
        <v>2654</v>
      </c>
      <c r="C1928" t="s">
        <v>1489</v>
      </c>
      <c r="D1928">
        <v>138</v>
      </c>
      <c r="E1928">
        <v>20</v>
      </c>
      <c r="F1928">
        <v>13</v>
      </c>
      <c r="G1928">
        <v>14</v>
      </c>
      <c r="H1928">
        <v>45</v>
      </c>
      <c r="I1928">
        <v>46</v>
      </c>
      <c r="J1928">
        <v>32</v>
      </c>
      <c r="K1928">
        <v>45</v>
      </c>
      <c r="L1928">
        <v>61</v>
      </c>
      <c r="O1928" t="s">
        <v>4340</v>
      </c>
      <c r="P1928" s="1" t="b">
        <f>NOT(OR(Table1[[#This Row],[State]]="Other Foreign Countries", Table1[[#This Row],[State]]="Unknown", Table1[[#This Row],[State]]="Puerto Rico all counties"))</f>
        <v>1</v>
      </c>
    </row>
    <row r="1929" spans="1:16" x14ac:dyDescent="0.25">
      <c r="A1929">
        <v>55079</v>
      </c>
      <c r="B1929" t="s">
        <v>4906</v>
      </c>
      <c r="C1929" t="s">
        <v>4963</v>
      </c>
      <c r="D1929">
        <v>9457</v>
      </c>
      <c r="E1929" s="1">
        <v>2060</v>
      </c>
      <c r="F1929" s="1">
        <v>1219</v>
      </c>
      <c r="G1929" s="1">
        <v>1203</v>
      </c>
      <c r="H1929" s="1">
        <v>2933</v>
      </c>
      <c r="I1929" s="1">
        <v>2042</v>
      </c>
      <c r="J1929" s="1">
        <v>2873</v>
      </c>
      <c r="K1929" s="1">
        <v>2818</v>
      </c>
      <c r="L1929" s="1">
        <v>3766</v>
      </c>
      <c r="M1929" s="1">
        <v>8180</v>
      </c>
      <c r="N1929" s="1">
        <v>1276</v>
      </c>
      <c r="O1929" t="s">
        <v>4964</v>
      </c>
      <c r="P1929" s="1" t="b">
        <f>NOT(OR(Table1[[#This Row],[State]]="Other Foreign Countries", Table1[[#This Row],[State]]="Unknown", Table1[[#This Row],[State]]="Puerto Rico all counties"))</f>
        <v>1</v>
      </c>
    </row>
    <row r="1930" spans="1:16" x14ac:dyDescent="0.25">
      <c r="A1930">
        <v>46097</v>
      </c>
      <c r="B1930" t="s">
        <v>3846</v>
      </c>
      <c r="C1930" t="s">
        <v>3919</v>
      </c>
      <c r="D1930">
        <v>55</v>
      </c>
      <c r="E1930">
        <v>18</v>
      </c>
      <c r="G1930">
        <v>11</v>
      </c>
      <c r="H1930">
        <v>14</v>
      </c>
      <c r="L1930">
        <v>39</v>
      </c>
      <c r="O1930" t="s">
        <v>3920</v>
      </c>
      <c r="P1930" s="1" t="b">
        <f>NOT(OR(Table1[[#This Row],[State]]="Other Foreign Countries", Table1[[#This Row],[State]]="Unknown", Table1[[#This Row],[State]]="Puerto Rico all counties"))</f>
        <v>1</v>
      </c>
    </row>
    <row r="1931" spans="1:16" x14ac:dyDescent="0.25">
      <c r="A1931">
        <v>8079</v>
      </c>
      <c r="B1931" t="s">
        <v>489</v>
      </c>
      <c r="C1931" t="s">
        <v>565</v>
      </c>
      <c r="D1931">
        <v>24</v>
      </c>
      <c r="H1931">
        <v>11</v>
      </c>
      <c r="O1931" t="s">
        <v>566</v>
      </c>
      <c r="P1931" s="1" t="b">
        <f>NOT(OR(Table1[[#This Row],[State]]="Other Foreign Countries", Table1[[#This Row],[State]]="Unknown", Table1[[#This Row],[State]]="Puerto Rico all counties"))</f>
        <v>1</v>
      </c>
    </row>
    <row r="1932" spans="1:16" x14ac:dyDescent="0.25">
      <c r="A1932">
        <v>30061</v>
      </c>
      <c r="B1932" t="s">
        <v>2665</v>
      </c>
      <c r="C1932" t="s">
        <v>565</v>
      </c>
      <c r="D1932">
        <v>200</v>
      </c>
      <c r="E1932">
        <v>32</v>
      </c>
      <c r="F1932">
        <v>22</v>
      </c>
      <c r="G1932">
        <v>25</v>
      </c>
      <c r="H1932">
        <v>64</v>
      </c>
      <c r="I1932">
        <v>57</v>
      </c>
      <c r="J1932">
        <v>48</v>
      </c>
      <c r="K1932">
        <v>58</v>
      </c>
      <c r="L1932">
        <v>94</v>
      </c>
      <c r="M1932">
        <v>179</v>
      </c>
      <c r="N1932">
        <v>21</v>
      </c>
      <c r="O1932" t="s">
        <v>2715</v>
      </c>
      <c r="P1932" s="1" t="b">
        <f>NOT(OR(Table1[[#This Row],[State]]="Other Foreign Countries", Table1[[#This Row],[State]]="Unknown", Table1[[#This Row],[State]]="Puerto Rico all counties"))</f>
        <v>1</v>
      </c>
    </row>
    <row r="1933" spans="1:16" x14ac:dyDescent="0.25">
      <c r="A1933">
        <v>32021</v>
      </c>
      <c r="B1933" t="s">
        <v>326</v>
      </c>
      <c r="C1933" t="s">
        <v>565</v>
      </c>
      <c r="D1933">
        <v>157</v>
      </c>
      <c r="E1933">
        <v>35</v>
      </c>
      <c r="F1933">
        <v>16</v>
      </c>
      <c r="G1933">
        <v>24</v>
      </c>
      <c r="H1933">
        <v>48</v>
      </c>
      <c r="I1933">
        <v>34</v>
      </c>
      <c r="J1933">
        <v>34</v>
      </c>
      <c r="K1933">
        <v>43</v>
      </c>
      <c r="L1933">
        <v>80</v>
      </c>
      <c r="M1933">
        <v>142</v>
      </c>
      <c r="N1933">
        <v>15</v>
      </c>
      <c r="O1933" t="s">
        <v>2907</v>
      </c>
      <c r="P1933" s="1" t="b">
        <f>NOT(OR(Table1[[#This Row],[State]]="Other Foreign Countries", Table1[[#This Row],[State]]="Unknown", Table1[[#This Row],[State]]="Puerto Rico all counties"))</f>
        <v>1</v>
      </c>
    </row>
    <row r="1934" spans="1:16" x14ac:dyDescent="0.25">
      <c r="A1934">
        <v>54057</v>
      </c>
      <c r="B1934" t="s">
        <v>4833</v>
      </c>
      <c r="C1934" t="s">
        <v>565</v>
      </c>
      <c r="D1934">
        <v>643</v>
      </c>
      <c r="E1934">
        <v>120</v>
      </c>
      <c r="F1934">
        <v>71</v>
      </c>
      <c r="G1934">
        <v>87</v>
      </c>
      <c r="H1934">
        <v>184</v>
      </c>
      <c r="I1934">
        <v>181</v>
      </c>
      <c r="J1934">
        <v>138</v>
      </c>
      <c r="K1934">
        <v>215</v>
      </c>
      <c r="L1934">
        <v>290</v>
      </c>
      <c r="M1934">
        <v>597</v>
      </c>
      <c r="N1934">
        <v>46</v>
      </c>
      <c r="O1934" t="s">
        <v>4869</v>
      </c>
      <c r="P1934" s="1" t="b">
        <f>NOT(OR(Table1[[#This Row],[State]]="Other Foreign Countries", Table1[[#This Row],[State]]="Unknown", Table1[[#This Row],[State]]="Puerto Rico all counties"))</f>
        <v>1</v>
      </c>
    </row>
    <row r="1935" spans="1:16" x14ac:dyDescent="0.25">
      <c r="A1935">
        <v>54059</v>
      </c>
      <c r="B1935" t="s">
        <v>4833</v>
      </c>
      <c r="C1935" t="s">
        <v>4870</v>
      </c>
      <c r="D1935">
        <v>341</v>
      </c>
      <c r="E1935">
        <v>48</v>
      </c>
      <c r="F1935">
        <v>35</v>
      </c>
      <c r="G1935">
        <v>33</v>
      </c>
      <c r="H1935">
        <v>117</v>
      </c>
      <c r="I1935">
        <v>108</v>
      </c>
      <c r="J1935">
        <v>47</v>
      </c>
      <c r="K1935">
        <v>100</v>
      </c>
      <c r="L1935">
        <v>194</v>
      </c>
      <c r="M1935">
        <v>331</v>
      </c>
      <c r="N1935">
        <v>10</v>
      </c>
      <c r="O1935" t="s">
        <v>4871</v>
      </c>
      <c r="P1935" s="1" t="b">
        <f>NOT(OR(Table1[[#This Row],[State]]="Other Foreign Countries", Table1[[#This Row],[State]]="Unknown", Table1[[#This Row],[State]]="Puerto Rico all counties"))</f>
        <v>1</v>
      </c>
    </row>
    <row r="1936" spans="1:16" x14ac:dyDescent="0.25">
      <c r="A1936">
        <v>16067</v>
      </c>
      <c r="B1936" t="s">
        <v>1032</v>
      </c>
      <c r="C1936" t="s">
        <v>1088</v>
      </c>
      <c r="D1936">
        <v>258</v>
      </c>
      <c r="E1936">
        <v>56</v>
      </c>
      <c r="F1936">
        <v>42</v>
      </c>
      <c r="G1936">
        <v>34</v>
      </c>
      <c r="H1936">
        <v>69</v>
      </c>
      <c r="I1936">
        <v>57</v>
      </c>
      <c r="J1936">
        <v>69</v>
      </c>
      <c r="K1936">
        <v>78</v>
      </c>
      <c r="L1936">
        <v>111</v>
      </c>
      <c r="M1936">
        <v>233</v>
      </c>
      <c r="N1936">
        <v>25</v>
      </c>
      <c r="O1936" t="s">
        <v>1089</v>
      </c>
      <c r="P1936" s="1" t="b">
        <f>NOT(OR(Table1[[#This Row],[State]]="Other Foreign Countries", Table1[[#This Row],[State]]="Unknown", Table1[[#This Row],[State]]="Puerto Rico all counties"))</f>
        <v>1</v>
      </c>
    </row>
    <row r="1937" spans="1:16" x14ac:dyDescent="0.25">
      <c r="A1937">
        <v>46099</v>
      </c>
      <c r="B1937" t="s">
        <v>3846</v>
      </c>
      <c r="C1937" t="s">
        <v>3921</v>
      </c>
      <c r="D1937">
        <v>4714</v>
      </c>
      <c r="E1937" s="1">
        <v>1334</v>
      </c>
      <c r="F1937">
        <v>598</v>
      </c>
      <c r="G1937">
        <v>616</v>
      </c>
      <c r="H1937" s="1">
        <v>1256</v>
      </c>
      <c r="I1937">
        <v>910</v>
      </c>
      <c r="J1937" s="1">
        <v>1261</v>
      </c>
      <c r="K1937" s="1">
        <v>1548</v>
      </c>
      <c r="L1937" s="1">
        <v>1905</v>
      </c>
      <c r="M1937" s="1">
        <v>4205</v>
      </c>
      <c r="N1937">
        <v>509</v>
      </c>
      <c r="O1937" t="s">
        <v>3922</v>
      </c>
      <c r="P1937" s="1" t="b">
        <f>NOT(OR(Table1[[#This Row],[State]]="Other Foreign Countries", Table1[[#This Row],[State]]="Unknown", Table1[[#This Row],[State]]="Puerto Rico all counties"))</f>
        <v>1</v>
      </c>
    </row>
    <row r="1938" spans="1:16" x14ac:dyDescent="0.25">
      <c r="A1938">
        <v>26113</v>
      </c>
      <c r="B1938" t="s">
        <v>2099</v>
      </c>
      <c r="C1938" t="s">
        <v>2198</v>
      </c>
      <c r="D1938">
        <v>318</v>
      </c>
      <c r="E1938">
        <v>76</v>
      </c>
      <c r="F1938">
        <v>31</v>
      </c>
      <c r="G1938">
        <v>45</v>
      </c>
      <c r="H1938">
        <v>90</v>
      </c>
      <c r="I1938">
        <v>76</v>
      </c>
      <c r="J1938">
        <v>76</v>
      </c>
      <c r="K1938">
        <v>84</v>
      </c>
      <c r="L1938">
        <v>158</v>
      </c>
      <c r="M1938">
        <v>294</v>
      </c>
      <c r="N1938">
        <v>24</v>
      </c>
      <c r="O1938" t="s">
        <v>2199</v>
      </c>
      <c r="P1938" s="1" t="b">
        <f>NOT(OR(Table1[[#This Row],[State]]="Other Foreign Countries", Table1[[#This Row],[State]]="Unknown", Table1[[#This Row],[State]]="Puerto Rico all counties"))</f>
        <v>1</v>
      </c>
    </row>
    <row r="1939" spans="1:16" x14ac:dyDescent="0.25">
      <c r="A1939">
        <v>5093</v>
      </c>
      <c r="B1939" t="s">
        <v>242</v>
      </c>
      <c r="C1939" t="s">
        <v>322</v>
      </c>
      <c r="D1939">
        <v>589</v>
      </c>
      <c r="E1939">
        <v>111</v>
      </c>
      <c r="F1939">
        <v>67</v>
      </c>
      <c r="G1939">
        <v>76</v>
      </c>
      <c r="H1939">
        <v>192</v>
      </c>
      <c r="I1939">
        <v>143</v>
      </c>
      <c r="J1939">
        <v>86</v>
      </c>
      <c r="K1939">
        <v>200</v>
      </c>
      <c r="L1939">
        <v>303</v>
      </c>
      <c r="M1939">
        <v>537</v>
      </c>
      <c r="N1939">
        <v>52</v>
      </c>
      <c r="O1939" t="s">
        <v>323</v>
      </c>
      <c r="P1939" s="1" t="b">
        <f>NOT(OR(Table1[[#This Row],[State]]="Other Foreign Countries", Table1[[#This Row],[State]]="Unknown", Table1[[#This Row],[State]]="Puerto Rico all counties"))</f>
        <v>1</v>
      </c>
    </row>
    <row r="1940" spans="1:16" x14ac:dyDescent="0.25">
      <c r="A1940">
        <v>29133</v>
      </c>
      <c r="B1940" t="s">
        <v>2510</v>
      </c>
      <c r="C1940" t="s">
        <v>322</v>
      </c>
      <c r="D1940">
        <v>210</v>
      </c>
      <c r="E1940">
        <v>42</v>
      </c>
      <c r="F1940">
        <v>22</v>
      </c>
      <c r="G1940">
        <v>33</v>
      </c>
      <c r="H1940">
        <v>64</v>
      </c>
      <c r="I1940">
        <v>49</v>
      </c>
      <c r="J1940">
        <v>34</v>
      </c>
      <c r="K1940">
        <v>57</v>
      </c>
      <c r="L1940">
        <v>119</v>
      </c>
      <c r="M1940">
        <v>196</v>
      </c>
      <c r="N1940">
        <v>14</v>
      </c>
      <c r="O1940" t="s">
        <v>2596</v>
      </c>
      <c r="P1940" s="1" t="b">
        <f>NOT(OR(Table1[[#This Row],[State]]="Other Foreign Countries", Table1[[#This Row],[State]]="Unknown", Table1[[#This Row],[State]]="Puerto Rico all counties"))</f>
        <v>1</v>
      </c>
    </row>
    <row r="1941" spans="1:16" x14ac:dyDescent="0.25">
      <c r="A1941">
        <v>30063</v>
      </c>
      <c r="B1941" t="s">
        <v>2665</v>
      </c>
      <c r="C1941" t="s">
        <v>2716</v>
      </c>
      <c r="D1941">
        <v>2584</v>
      </c>
      <c r="E1941">
        <v>552</v>
      </c>
      <c r="F1941">
        <v>302</v>
      </c>
      <c r="G1941">
        <v>307</v>
      </c>
      <c r="H1941">
        <v>775</v>
      </c>
      <c r="I1941">
        <v>648</v>
      </c>
      <c r="J1941">
        <v>986</v>
      </c>
      <c r="K1941">
        <v>730</v>
      </c>
      <c r="L1941">
        <v>868</v>
      </c>
      <c r="M1941" s="1">
        <v>2292</v>
      </c>
      <c r="N1941">
        <v>292</v>
      </c>
      <c r="O1941" t="s">
        <v>2717</v>
      </c>
      <c r="P1941" s="1" t="b">
        <f>NOT(OR(Table1[[#This Row],[State]]="Other Foreign Countries", Table1[[#This Row],[State]]="Unknown", Table1[[#This Row],[State]]="Puerto Rico all counties"))</f>
        <v>1</v>
      </c>
    </row>
    <row r="1942" spans="1:16" x14ac:dyDescent="0.25">
      <c r="A1942">
        <v>13205</v>
      </c>
      <c r="B1942" t="s">
        <v>754</v>
      </c>
      <c r="C1942" t="s">
        <v>923</v>
      </c>
      <c r="D1942">
        <v>422</v>
      </c>
      <c r="E1942">
        <v>60</v>
      </c>
      <c r="F1942">
        <v>38</v>
      </c>
      <c r="G1942">
        <v>54</v>
      </c>
      <c r="H1942">
        <v>136</v>
      </c>
      <c r="I1942">
        <v>134</v>
      </c>
      <c r="J1942">
        <v>119</v>
      </c>
      <c r="K1942">
        <v>145</v>
      </c>
      <c r="L1942">
        <v>158</v>
      </c>
      <c r="M1942">
        <v>356</v>
      </c>
      <c r="N1942">
        <v>66</v>
      </c>
      <c r="O1942" t="s">
        <v>924</v>
      </c>
      <c r="P1942" s="1" t="b">
        <f>NOT(OR(Table1[[#This Row],[State]]="Other Foreign Countries", Table1[[#This Row],[State]]="Unknown", Table1[[#This Row],[State]]="Puerto Rico all counties"))</f>
        <v>1</v>
      </c>
    </row>
    <row r="1943" spans="1:16" x14ac:dyDescent="0.25">
      <c r="A1943">
        <v>19131</v>
      </c>
      <c r="B1943" t="s">
        <v>1399</v>
      </c>
      <c r="C1943" t="s">
        <v>923</v>
      </c>
      <c r="D1943">
        <v>177</v>
      </c>
      <c r="E1943">
        <v>52</v>
      </c>
      <c r="F1943">
        <v>20</v>
      </c>
      <c r="G1943">
        <v>23</v>
      </c>
      <c r="H1943">
        <v>48</v>
      </c>
      <c r="I1943">
        <v>34</v>
      </c>
      <c r="J1943">
        <v>42</v>
      </c>
      <c r="K1943">
        <v>39</v>
      </c>
      <c r="L1943">
        <v>96</v>
      </c>
      <c r="M1943">
        <v>166</v>
      </c>
      <c r="N1943">
        <v>11</v>
      </c>
      <c r="O1943" t="s">
        <v>1491</v>
      </c>
      <c r="P1943" s="1" t="b">
        <f>NOT(OR(Table1[[#This Row],[State]]="Other Foreign Countries", Table1[[#This Row],[State]]="Unknown", Table1[[#This Row],[State]]="Puerto Rico all counties"))</f>
        <v>1</v>
      </c>
    </row>
    <row r="1944" spans="1:16" x14ac:dyDescent="0.25">
      <c r="A1944">
        <v>20123</v>
      </c>
      <c r="B1944" t="s">
        <v>1543</v>
      </c>
      <c r="C1944" t="s">
        <v>923</v>
      </c>
      <c r="D1944">
        <v>98</v>
      </c>
      <c r="E1944">
        <v>32</v>
      </c>
      <c r="H1944">
        <v>24</v>
      </c>
      <c r="I1944">
        <v>20</v>
      </c>
      <c r="J1944">
        <v>28</v>
      </c>
      <c r="K1944">
        <v>17</v>
      </c>
      <c r="L1944">
        <v>53</v>
      </c>
      <c r="O1944" t="s">
        <v>1638</v>
      </c>
      <c r="P1944" s="1" t="b">
        <f>NOT(OR(Table1[[#This Row],[State]]="Other Foreign Countries", Table1[[#This Row],[State]]="Unknown", Table1[[#This Row],[State]]="Puerto Rico all counties"))</f>
        <v>1</v>
      </c>
    </row>
    <row r="1945" spans="1:16" x14ac:dyDescent="0.25">
      <c r="A1945">
        <v>37121</v>
      </c>
      <c r="B1945" t="s">
        <v>3121</v>
      </c>
      <c r="C1945" t="s">
        <v>923</v>
      </c>
      <c r="D1945">
        <v>342</v>
      </c>
      <c r="E1945">
        <v>68</v>
      </c>
      <c r="F1945">
        <v>38</v>
      </c>
      <c r="G1945">
        <v>47</v>
      </c>
      <c r="H1945">
        <v>105</v>
      </c>
      <c r="I1945">
        <v>84</v>
      </c>
      <c r="J1945">
        <v>65</v>
      </c>
      <c r="K1945">
        <v>89</v>
      </c>
      <c r="L1945">
        <v>188</v>
      </c>
      <c r="M1945">
        <v>310</v>
      </c>
      <c r="N1945">
        <v>32</v>
      </c>
      <c r="O1945" t="s">
        <v>3221</v>
      </c>
      <c r="P1945" s="1" t="b">
        <f>NOT(OR(Table1[[#This Row],[State]]="Other Foreign Countries", Table1[[#This Row],[State]]="Unknown", Table1[[#This Row],[State]]="Puerto Rico all counties"))</f>
        <v>1</v>
      </c>
    </row>
    <row r="1946" spans="1:16" x14ac:dyDescent="0.25">
      <c r="A1946">
        <v>48335</v>
      </c>
      <c r="B1946" t="s">
        <v>2654</v>
      </c>
      <c r="C1946" t="s">
        <v>923</v>
      </c>
      <c r="D1946">
        <v>131</v>
      </c>
      <c r="E1946">
        <v>19</v>
      </c>
      <c r="F1946">
        <v>11</v>
      </c>
      <c r="G1946">
        <v>30</v>
      </c>
      <c r="H1946">
        <v>47</v>
      </c>
      <c r="I1946">
        <v>24</v>
      </c>
      <c r="J1946">
        <v>30</v>
      </c>
      <c r="K1946">
        <v>51</v>
      </c>
      <c r="L1946">
        <v>50</v>
      </c>
      <c r="O1946" t="s">
        <v>4341</v>
      </c>
      <c r="P1946" s="1" t="b">
        <f>NOT(OR(Table1[[#This Row],[State]]="Other Foreign Countries", Table1[[#This Row],[State]]="Unknown", Table1[[#This Row],[State]]="Puerto Rico all counties"))</f>
        <v>1</v>
      </c>
    </row>
    <row r="1947" spans="1:16" x14ac:dyDescent="0.25">
      <c r="A1947">
        <v>1097</v>
      </c>
      <c r="B1947" t="s">
        <v>15</v>
      </c>
      <c r="C1947" t="s">
        <v>112</v>
      </c>
      <c r="D1947">
        <v>10124</v>
      </c>
      <c r="E1947" s="1">
        <v>2207</v>
      </c>
      <c r="F1947" s="1">
        <v>1068</v>
      </c>
      <c r="G1947" s="1">
        <v>1296</v>
      </c>
      <c r="H1947" s="1">
        <v>2922</v>
      </c>
      <c r="I1947" s="1">
        <v>2631</v>
      </c>
      <c r="J1947" s="1">
        <v>2172</v>
      </c>
      <c r="K1947" s="1">
        <v>3589</v>
      </c>
      <c r="L1947" s="1">
        <v>4363</v>
      </c>
      <c r="M1947" s="1">
        <v>8848</v>
      </c>
      <c r="N1947" s="1">
        <v>1273</v>
      </c>
      <c r="O1947" t="s">
        <v>113</v>
      </c>
      <c r="P1947" s="1" t="b">
        <f>NOT(OR(Table1[[#This Row],[State]]="Other Foreign Countries", Table1[[#This Row],[State]]="Unknown", Table1[[#This Row],[State]]="Puerto Rico all counties"))</f>
        <v>1</v>
      </c>
    </row>
    <row r="1948" spans="1:16" x14ac:dyDescent="0.25">
      <c r="A1948">
        <v>6049</v>
      </c>
      <c r="B1948" t="s">
        <v>374</v>
      </c>
      <c r="C1948" t="s">
        <v>423</v>
      </c>
      <c r="D1948">
        <v>201</v>
      </c>
      <c r="E1948">
        <v>45</v>
      </c>
      <c r="F1948">
        <v>27</v>
      </c>
      <c r="G1948">
        <v>18</v>
      </c>
      <c r="H1948">
        <v>59</v>
      </c>
      <c r="I1948">
        <v>52</v>
      </c>
      <c r="J1948">
        <v>37</v>
      </c>
      <c r="K1948">
        <v>55</v>
      </c>
      <c r="L1948">
        <v>109</v>
      </c>
      <c r="M1948">
        <v>190</v>
      </c>
      <c r="N1948">
        <v>11</v>
      </c>
      <c r="O1948" t="s">
        <v>424</v>
      </c>
      <c r="P1948" s="1" t="b">
        <f>NOT(OR(Table1[[#This Row],[State]]="Other Foreign Countries", Table1[[#This Row],[State]]="Unknown", Table1[[#This Row],[State]]="Puerto Rico all counties"))</f>
        <v>1</v>
      </c>
    </row>
    <row r="1949" spans="1:16" x14ac:dyDescent="0.25">
      <c r="A1949">
        <v>8081</v>
      </c>
      <c r="B1949" t="s">
        <v>489</v>
      </c>
      <c r="C1949" t="s">
        <v>567</v>
      </c>
      <c r="D1949">
        <v>282</v>
      </c>
      <c r="E1949">
        <v>83</v>
      </c>
      <c r="F1949">
        <v>30</v>
      </c>
      <c r="G1949">
        <v>41</v>
      </c>
      <c r="H1949">
        <v>73</v>
      </c>
      <c r="I1949">
        <v>55</v>
      </c>
      <c r="J1949">
        <v>70</v>
      </c>
      <c r="K1949">
        <v>75</v>
      </c>
      <c r="L1949">
        <v>137</v>
      </c>
      <c r="M1949">
        <v>257</v>
      </c>
      <c r="N1949">
        <v>25</v>
      </c>
      <c r="O1949" t="s">
        <v>568</v>
      </c>
      <c r="P1949" s="1" t="b">
        <f>NOT(OR(Table1[[#This Row],[State]]="Other Foreign Countries", Table1[[#This Row],[State]]="Unknown", Table1[[#This Row],[State]]="Puerto Rico all counties"))</f>
        <v>1</v>
      </c>
    </row>
    <row r="1950" spans="1:16" x14ac:dyDescent="0.25">
      <c r="A1950">
        <v>4015</v>
      </c>
      <c r="B1950" t="s">
        <v>211</v>
      </c>
      <c r="C1950" t="s">
        <v>228</v>
      </c>
      <c r="D1950">
        <v>6819</v>
      </c>
      <c r="E1950" s="1">
        <v>1412</v>
      </c>
      <c r="F1950">
        <v>740</v>
      </c>
      <c r="G1950">
        <v>771</v>
      </c>
      <c r="H1950" s="1">
        <v>1994</v>
      </c>
      <c r="I1950" s="1">
        <v>1902</v>
      </c>
      <c r="J1950" s="1">
        <v>1087</v>
      </c>
      <c r="K1950" s="1">
        <v>1650</v>
      </c>
      <c r="L1950" s="1">
        <v>4082</v>
      </c>
      <c r="M1950" s="1">
        <v>6265</v>
      </c>
      <c r="N1950">
        <v>553</v>
      </c>
      <c r="O1950" t="s">
        <v>229</v>
      </c>
      <c r="P1950" s="1" t="b">
        <f>NOT(OR(Table1[[#This Row],[State]]="Other Foreign Countries", Table1[[#This Row],[State]]="Unknown", Table1[[#This Row],[State]]="Puerto Rico all counties"))</f>
        <v>1</v>
      </c>
    </row>
    <row r="1951" spans="1:16" x14ac:dyDescent="0.25">
      <c r="A1951">
        <v>29135</v>
      </c>
      <c r="B1951" t="s">
        <v>2510</v>
      </c>
      <c r="C1951" t="s">
        <v>2597</v>
      </c>
      <c r="D1951">
        <v>305</v>
      </c>
      <c r="E1951">
        <v>98</v>
      </c>
      <c r="F1951">
        <v>39</v>
      </c>
      <c r="G1951">
        <v>44</v>
      </c>
      <c r="H1951">
        <v>72</v>
      </c>
      <c r="I1951">
        <v>52</v>
      </c>
      <c r="J1951">
        <v>60</v>
      </c>
      <c r="K1951">
        <v>89</v>
      </c>
      <c r="L1951">
        <v>156</v>
      </c>
      <c r="M1951">
        <v>283</v>
      </c>
      <c r="N1951">
        <v>22</v>
      </c>
      <c r="O1951" t="s">
        <v>2598</v>
      </c>
      <c r="P1951" s="1" t="b">
        <f>NOT(OR(Table1[[#This Row],[State]]="Other Foreign Countries", Table1[[#This Row],[State]]="Unknown", Table1[[#This Row],[State]]="Puerto Rico all counties"))</f>
        <v>1</v>
      </c>
    </row>
    <row r="1952" spans="1:16" x14ac:dyDescent="0.25">
      <c r="A1952">
        <v>34025</v>
      </c>
      <c r="B1952" t="s">
        <v>2938</v>
      </c>
      <c r="C1952" t="s">
        <v>2958</v>
      </c>
      <c r="D1952">
        <v>4886</v>
      </c>
      <c r="E1952" s="1">
        <v>1162</v>
      </c>
      <c r="F1952">
        <v>499</v>
      </c>
      <c r="G1952">
        <v>507</v>
      </c>
      <c r="H1952" s="1">
        <v>1275</v>
      </c>
      <c r="I1952" s="1">
        <v>1443</v>
      </c>
      <c r="J1952" s="1">
        <v>1260</v>
      </c>
      <c r="K1952" s="1">
        <v>1206</v>
      </c>
      <c r="L1952" s="1">
        <v>2420</v>
      </c>
      <c r="M1952" s="1">
        <v>4526</v>
      </c>
      <c r="N1952">
        <v>358</v>
      </c>
      <c r="O1952" t="s">
        <v>2959</v>
      </c>
      <c r="P1952" s="1" t="b">
        <f>NOT(OR(Table1[[#This Row],[State]]="Other Foreign Countries", Table1[[#This Row],[State]]="Unknown", Table1[[#This Row],[State]]="Puerto Rico all counties"))</f>
        <v>1</v>
      </c>
    </row>
    <row r="1953" spans="1:16" x14ac:dyDescent="0.25">
      <c r="A1953">
        <v>6051</v>
      </c>
      <c r="B1953" t="s">
        <v>374</v>
      </c>
      <c r="C1953" t="s">
        <v>425</v>
      </c>
      <c r="D1953">
        <v>157</v>
      </c>
      <c r="E1953">
        <v>34</v>
      </c>
      <c r="F1953">
        <v>12</v>
      </c>
      <c r="G1953">
        <v>14</v>
      </c>
      <c r="H1953">
        <v>56</v>
      </c>
      <c r="I1953">
        <v>41</v>
      </c>
      <c r="J1953">
        <v>66</v>
      </c>
      <c r="K1953">
        <v>40</v>
      </c>
      <c r="L1953">
        <v>51</v>
      </c>
      <c r="M1953">
        <v>131</v>
      </c>
      <c r="N1953">
        <v>26</v>
      </c>
      <c r="O1953" t="s">
        <v>426</v>
      </c>
      <c r="P1953" s="1" t="b">
        <f>NOT(OR(Table1[[#This Row],[State]]="Other Foreign Countries", Table1[[#This Row],[State]]="Unknown", Table1[[#This Row],[State]]="Puerto Rico all counties"))</f>
        <v>1</v>
      </c>
    </row>
    <row r="1954" spans="1:16" x14ac:dyDescent="0.25">
      <c r="A1954">
        <v>19133</v>
      </c>
      <c r="B1954" t="s">
        <v>1399</v>
      </c>
      <c r="C1954" t="s">
        <v>1492</v>
      </c>
      <c r="D1954">
        <v>190</v>
      </c>
      <c r="E1954">
        <v>58</v>
      </c>
      <c r="F1954">
        <v>29</v>
      </c>
      <c r="G1954">
        <v>31</v>
      </c>
      <c r="H1954">
        <v>32</v>
      </c>
      <c r="I1954">
        <v>40</v>
      </c>
      <c r="J1954">
        <v>45</v>
      </c>
      <c r="K1954">
        <v>34</v>
      </c>
      <c r="L1954">
        <v>111</v>
      </c>
      <c r="M1954">
        <v>174</v>
      </c>
      <c r="N1954">
        <v>16</v>
      </c>
      <c r="O1954" t="s">
        <v>1493</v>
      </c>
      <c r="P1954" s="1" t="b">
        <f>NOT(OR(Table1[[#This Row],[State]]="Other Foreign Countries", Table1[[#This Row],[State]]="Unknown", Table1[[#This Row],[State]]="Puerto Rico all counties"))</f>
        <v>1</v>
      </c>
    </row>
    <row r="1955" spans="1:16" x14ac:dyDescent="0.25">
      <c r="A1955">
        <v>54061</v>
      </c>
      <c r="B1955" t="s">
        <v>4833</v>
      </c>
      <c r="C1955" t="s">
        <v>4872</v>
      </c>
      <c r="D1955">
        <v>1486</v>
      </c>
      <c r="E1955">
        <v>263</v>
      </c>
      <c r="F1955">
        <v>165</v>
      </c>
      <c r="G1955">
        <v>170</v>
      </c>
      <c r="H1955">
        <v>507</v>
      </c>
      <c r="I1955">
        <v>381</v>
      </c>
      <c r="J1955">
        <v>550</v>
      </c>
      <c r="K1955">
        <v>444</v>
      </c>
      <c r="L1955">
        <v>492</v>
      </c>
      <c r="M1955" s="1">
        <v>1359</v>
      </c>
      <c r="N1955">
        <v>127</v>
      </c>
      <c r="O1955" t="s">
        <v>4873</v>
      </c>
      <c r="P1955" s="1" t="b">
        <f>NOT(OR(Table1[[#This Row],[State]]="Other Foreign Countries", Table1[[#This Row],[State]]="Unknown", Table1[[#This Row],[State]]="Puerto Rico all counties"))</f>
        <v>1</v>
      </c>
    </row>
    <row r="1956" spans="1:16" x14ac:dyDescent="0.25">
      <c r="A1956">
        <v>1099</v>
      </c>
      <c r="B1956" t="s">
        <v>15</v>
      </c>
      <c r="C1956" t="s">
        <v>114</v>
      </c>
      <c r="D1956">
        <v>507</v>
      </c>
      <c r="E1956">
        <v>94</v>
      </c>
      <c r="F1956">
        <v>50</v>
      </c>
      <c r="G1956">
        <v>62</v>
      </c>
      <c r="H1956">
        <v>155</v>
      </c>
      <c r="I1956">
        <v>146</v>
      </c>
      <c r="J1956">
        <v>110</v>
      </c>
      <c r="K1956">
        <v>183</v>
      </c>
      <c r="L1956">
        <v>214</v>
      </c>
      <c r="M1956">
        <v>441</v>
      </c>
      <c r="N1956">
        <v>66</v>
      </c>
      <c r="O1956" t="s">
        <v>115</v>
      </c>
      <c r="P1956" s="1" t="b">
        <f>NOT(OR(Table1[[#This Row],[State]]="Other Foreign Countries", Table1[[#This Row],[State]]="Unknown", Table1[[#This Row],[State]]="Puerto Rico all counties"))</f>
        <v>1</v>
      </c>
    </row>
    <row r="1957" spans="1:16" x14ac:dyDescent="0.25">
      <c r="A1957">
        <v>5095</v>
      </c>
      <c r="B1957" t="s">
        <v>242</v>
      </c>
      <c r="C1957" t="s">
        <v>114</v>
      </c>
      <c r="D1957">
        <v>134</v>
      </c>
      <c r="E1957">
        <v>18</v>
      </c>
      <c r="F1957">
        <v>10</v>
      </c>
      <c r="G1957">
        <v>22</v>
      </c>
      <c r="H1957">
        <v>49</v>
      </c>
      <c r="I1957">
        <v>35</v>
      </c>
      <c r="J1957">
        <v>20</v>
      </c>
      <c r="K1957">
        <v>36</v>
      </c>
      <c r="L1957">
        <v>78</v>
      </c>
      <c r="M1957">
        <v>120</v>
      </c>
      <c r="N1957">
        <v>14</v>
      </c>
      <c r="O1957" t="s">
        <v>324</v>
      </c>
      <c r="P1957" s="1" t="b">
        <f>NOT(OR(Table1[[#This Row],[State]]="Other Foreign Countries", Table1[[#This Row],[State]]="Unknown", Table1[[#This Row],[State]]="Puerto Rico all counties"))</f>
        <v>1</v>
      </c>
    </row>
    <row r="1958" spans="1:16" x14ac:dyDescent="0.25">
      <c r="A1958">
        <v>12087</v>
      </c>
      <c r="B1958" t="s">
        <v>637</v>
      </c>
      <c r="C1958" t="s">
        <v>114</v>
      </c>
      <c r="D1958">
        <v>2159</v>
      </c>
      <c r="E1958">
        <v>447</v>
      </c>
      <c r="F1958">
        <v>252</v>
      </c>
      <c r="G1958">
        <v>243</v>
      </c>
      <c r="H1958">
        <v>590</v>
      </c>
      <c r="I1958">
        <v>627</v>
      </c>
      <c r="J1958">
        <v>544</v>
      </c>
      <c r="K1958">
        <v>881</v>
      </c>
      <c r="L1958">
        <v>734</v>
      </c>
      <c r="M1958" s="1">
        <v>1888</v>
      </c>
      <c r="N1958">
        <v>269</v>
      </c>
      <c r="O1958" t="s">
        <v>712</v>
      </c>
      <c r="P1958" s="1" t="b">
        <f>NOT(OR(Table1[[#This Row],[State]]="Other Foreign Countries", Table1[[#This Row],[State]]="Unknown", Table1[[#This Row],[State]]="Puerto Rico all counties"))</f>
        <v>1</v>
      </c>
    </row>
    <row r="1959" spans="1:16" x14ac:dyDescent="0.25">
      <c r="A1959">
        <v>13207</v>
      </c>
      <c r="B1959" t="s">
        <v>754</v>
      </c>
      <c r="C1959" t="s">
        <v>114</v>
      </c>
      <c r="D1959">
        <v>767</v>
      </c>
      <c r="E1959">
        <v>123</v>
      </c>
      <c r="F1959">
        <v>75</v>
      </c>
      <c r="G1959">
        <v>91</v>
      </c>
      <c r="H1959">
        <v>245</v>
      </c>
      <c r="I1959">
        <v>233</v>
      </c>
      <c r="J1959">
        <v>197</v>
      </c>
      <c r="K1959">
        <v>268</v>
      </c>
      <c r="L1959">
        <v>302</v>
      </c>
      <c r="M1959">
        <v>674</v>
      </c>
      <c r="N1959">
        <v>93</v>
      </c>
      <c r="O1959" t="s">
        <v>925</v>
      </c>
      <c r="P1959" s="1" t="b">
        <f>NOT(OR(Table1[[#This Row],[State]]="Other Foreign Countries", Table1[[#This Row],[State]]="Unknown", Table1[[#This Row],[State]]="Puerto Rico all counties"))</f>
        <v>1</v>
      </c>
    </row>
    <row r="1960" spans="1:16" x14ac:dyDescent="0.25">
      <c r="A1960">
        <v>17133</v>
      </c>
      <c r="B1960" t="s">
        <v>1109</v>
      </c>
      <c r="C1960" t="s">
        <v>114</v>
      </c>
      <c r="D1960">
        <v>786</v>
      </c>
      <c r="E1960">
        <v>128</v>
      </c>
      <c r="F1960">
        <v>80</v>
      </c>
      <c r="G1960">
        <v>85</v>
      </c>
      <c r="H1960">
        <v>254</v>
      </c>
      <c r="I1960">
        <v>239</v>
      </c>
      <c r="J1960">
        <v>220</v>
      </c>
      <c r="K1960">
        <v>273</v>
      </c>
      <c r="L1960">
        <v>293</v>
      </c>
      <c r="M1960">
        <v>690</v>
      </c>
      <c r="N1960">
        <v>96</v>
      </c>
      <c r="O1960" t="s">
        <v>1212</v>
      </c>
      <c r="P1960" s="1" t="b">
        <f>NOT(OR(Table1[[#This Row],[State]]="Other Foreign Countries", Table1[[#This Row],[State]]="Unknown", Table1[[#This Row],[State]]="Puerto Rico all counties"))</f>
        <v>1</v>
      </c>
    </row>
    <row r="1961" spans="1:16" x14ac:dyDescent="0.25">
      <c r="A1961">
        <v>18105</v>
      </c>
      <c r="B1961" t="s">
        <v>1266</v>
      </c>
      <c r="C1961" t="s">
        <v>114</v>
      </c>
      <c r="D1961">
        <v>1886</v>
      </c>
      <c r="E1961">
        <v>537</v>
      </c>
      <c r="F1961">
        <v>214</v>
      </c>
      <c r="G1961">
        <v>276</v>
      </c>
      <c r="H1961">
        <v>477</v>
      </c>
      <c r="I1961">
        <v>382</v>
      </c>
      <c r="J1961">
        <v>557</v>
      </c>
      <c r="K1961">
        <v>626</v>
      </c>
      <c r="L1961">
        <v>703</v>
      </c>
      <c r="M1961" s="1">
        <v>1704</v>
      </c>
      <c r="N1961">
        <v>181</v>
      </c>
      <c r="O1961" t="s">
        <v>1337</v>
      </c>
      <c r="P1961" s="1" t="b">
        <f>NOT(OR(Table1[[#This Row],[State]]="Other Foreign Countries", Table1[[#This Row],[State]]="Unknown", Table1[[#This Row],[State]]="Puerto Rico all counties"))</f>
        <v>1</v>
      </c>
    </row>
    <row r="1962" spans="1:16" x14ac:dyDescent="0.25">
      <c r="A1962">
        <v>19135</v>
      </c>
      <c r="B1962" t="s">
        <v>1399</v>
      </c>
      <c r="C1962" t="s">
        <v>114</v>
      </c>
      <c r="D1962">
        <v>179</v>
      </c>
      <c r="E1962">
        <v>50</v>
      </c>
      <c r="F1962">
        <v>21</v>
      </c>
      <c r="G1962">
        <v>31</v>
      </c>
      <c r="H1962">
        <v>38</v>
      </c>
      <c r="I1962">
        <v>39</v>
      </c>
      <c r="J1962">
        <v>23</v>
      </c>
      <c r="K1962">
        <v>48</v>
      </c>
      <c r="L1962">
        <v>108</v>
      </c>
      <c r="O1962" t="s">
        <v>1494</v>
      </c>
      <c r="P1962" s="1" t="b">
        <f>NOT(OR(Table1[[#This Row],[State]]="Other Foreign Countries", Table1[[#This Row],[State]]="Unknown", Table1[[#This Row],[State]]="Puerto Rico all counties"))</f>
        <v>1</v>
      </c>
    </row>
    <row r="1963" spans="1:16" x14ac:dyDescent="0.25">
      <c r="A1963">
        <v>21171</v>
      </c>
      <c r="B1963" t="s">
        <v>1716</v>
      </c>
      <c r="C1963" t="s">
        <v>114</v>
      </c>
      <c r="D1963">
        <v>144</v>
      </c>
      <c r="E1963">
        <v>21</v>
      </c>
      <c r="F1963">
        <v>18</v>
      </c>
      <c r="G1963">
        <v>17</v>
      </c>
      <c r="H1963">
        <v>47</v>
      </c>
      <c r="I1963">
        <v>41</v>
      </c>
      <c r="J1963">
        <v>30</v>
      </c>
      <c r="K1963">
        <v>51</v>
      </c>
      <c r="L1963">
        <v>63</v>
      </c>
      <c r="O1963" t="s">
        <v>1842</v>
      </c>
      <c r="P1963" s="1" t="b">
        <f>NOT(OR(Table1[[#This Row],[State]]="Other Foreign Countries", Table1[[#This Row],[State]]="Unknown", Table1[[#This Row],[State]]="Puerto Rico all counties"))</f>
        <v>1</v>
      </c>
    </row>
    <row r="1964" spans="1:16" x14ac:dyDescent="0.25">
      <c r="A1964">
        <v>26115</v>
      </c>
      <c r="B1964" t="s">
        <v>2099</v>
      </c>
      <c r="C1964" t="s">
        <v>114</v>
      </c>
      <c r="D1964">
        <v>2640</v>
      </c>
      <c r="E1964">
        <v>669</v>
      </c>
      <c r="F1964">
        <v>324</v>
      </c>
      <c r="G1964">
        <v>329</v>
      </c>
      <c r="H1964">
        <v>739</v>
      </c>
      <c r="I1964">
        <v>579</v>
      </c>
      <c r="J1964">
        <v>677</v>
      </c>
      <c r="K1964">
        <v>772</v>
      </c>
      <c r="L1964" s="1">
        <v>1191</v>
      </c>
      <c r="M1964" s="1">
        <v>2452</v>
      </c>
      <c r="N1964">
        <v>188</v>
      </c>
      <c r="O1964" t="s">
        <v>2200</v>
      </c>
      <c r="P1964" s="1" t="b">
        <f>NOT(OR(Table1[[#This Row],[State]]="Other Foreign Countries", Table1[[#This Row],[State]]="Unknown", Table1[[#This Row],[State]]="Puerto Rico all counties"))</f>
        <v>1</v>
      </c>
    </row>
    <row r="1965" spans="1:16" x14ac:dyDescent="0.25">
      <c r="A1965">
        <v>28095</v>
      </c>
      <c r="B1965" t="s">
        <v>322</v>
      </c>
      <c r="C1965" t="s">
        <v>114</v>
      </c>
      <c r="D1965">
        <v>731</v>
      </c>
      <c r="E1965">
        <v>128</v>
      </c>
      <c r="F1965">
        <v>59</v>
      </c>
      <c r="G1965">
        <v>87</v>
      </c>
      <c r="H1965">
        <v>237</v>
      </c>
      <c r="I1965">
        <v>220</v>
      </c>
      <c r="J1965">
        <v>164</v>
      </c>
      <c r="K1965">
        <v>245</v>
      </c>
      <c r="L1965">
        <v>322</v>
      </c>
      <c r="M1965">
        <v>680</v>
      </c>
      <c r="N1965">
        <v>51</v>
      </c>
      <c r="O1965" t="s">
        <v>2457</v>
      </c>
      <c r="P1965" s="1" t="b">
        <f>NOT(OR(Table1[[#This Row],[State]]="Other Foreign Countries", Table1[[#This Row],[State]]="Unknown", Table1[[#This Row],[State]]="Puerto Rico all counties"))</f>
        <v>1</v>
      </c>
    </row>
    <row r="1966" spans="1:16" x14ac:dyDescent="0.25">
      <c r="A1966">
        <v>29137</v>
      </c>
      <c r="B1966" t="s">
        <v>2510</v>
      </c>
      <c r="C1966" t="s">
        <v>114</v>
      </c>
      <c r="D1966">
        <v>248</v>
      </c>
      <c r="E1966">
        <v>66</v>
      </c>
      <c r="F1966">
        <v>38</v>
      </c>
      <c r="G1966">
        <v>35</v>
      </c>
      <c r="H1966">
        <v>56</v>
      </c>
      <c r="I1966">
        <v>53</v>
      </c>
      <c r="J1966">
        <v>33</v>
      </c>
      <c r="K1966">
        <v>79</v>
      </c>
      <c r="L1966">
        <v>136</v>
      </c>
      <c r="M1966">
        <v>234</v>
      </c>
      <c r="N1966">
        <v>14</v>
      </c>
      <c r="O1966" t="s">
        <v>2599</v>
      </c>
      <c r="P1966" s="1" t="b">
        <f>NOT(OR(Table1[[#This Row],[State]]="Other Foreign Countries", Table1[[#This Row],[State]]="Unknown", Table1[[#This Row],[State]]="Puerto Rico all counties"))</f>
        <v>1</v>
      </c>
    </row>
    <row r="1967" spans="1:16" x14ac:dyDescent="0.25">
      <c r="A1967">
        <v>36055</v>
      </c>
      <c r="B1967" t="s">
        <v>3029</v>
      </c>
      <c r="C1967" t="s">
        <v>114</v>
      </c>
      <c r="D1967">
        <v>8064</v>
      </c>
      <c r="E1967" s="1">
        <v>1895</v>
      </c>
      <c r="F1967">
        <v>985</v>
      </c>
      <c r="G1967">
        <v>969</v>
      </c>
      <c r="H1967" s="1">
        <v>2354</v>
      </c>
      <c r="I1967" s="1">
        <v>1861</v>
      </c>
      <c r="J1967" s="1">
        <v>2354</v>
      </c>
      <c r="K1967" s="1">
        <v>2190</v>
      </c>
      <c r="L1967" s="1">
        <v>3520</v>
      </c>
      <c r="M1967" s="1">
        <v>7247</v>
      </c>
      <c r="N1967">
        <v>817</v>
      </c>
      <c r="O1967" t="s">
        <v>3068</v>
      </c>
      <c r="P1967" s="1" t="b">
        <f>NOT(OR(Table1[[#This Row],[State]]="Other Foreign Countries", Table1[[#This Row],[State]]="Unknown", Table1[[#This Row],[State]]="Puerto Rico all counties"))</f>
        <v>1</v>
      </c>
    </row>
    <row r="1968" spans="1:16" x14ac:dyDescent="0.25">
      <c r="A1968">
        <v>39111</v>
      </c>
      <c r="B1968" t="s">
        <v>1343</v>
      </c>
      <c r="C1968" t="s">
        <v>114</v>
      </c>
      <c r="D1968">
        <v>297</v>
      </c>
      <c r="E1968">
        <v>94</v>
      </c>
      <c r="F1968">
        <v>38</v>
      </c>
      <c r="G1968">
        <v>41</v>
      </c>
      <c r="H1968">
        <v>71</v>
      </c>
      <c r="I1968">
        <v>53</v>
      </c>
      <c r="J1968">
        <v>46</v>
      </c>
      <c r="K1968">
        <v>81</v>
      </c>
      <c r="L1968">
        <v>170</v>
      </c>
      <c r="M1968">
        <v>286</v>
      </c>
      <c r="N1968">
        <v>11</v>
      </c>
      <c r="O1968" t="s">
        <v>3448</v>
      </c>
      <c r="P1968" s="1" t="b">
        <f>NOT(OR(Table1[[#This Row],[State]]="Other Foreign Countries", Table1[[#This Row],[State]]="Unknown", Table1[[#This Row],[State]]="Puerto Rico all counties"))</f>
        <v>1</v>
      </c>
    </row>
    <row r="1969" spans="1:16" x14ac:dyDescent="0.25">
      <c r="A1969">
        <v>42089</v>
      </c>
      <c r="B1969" t="s">
        <v>3665</v>
      </c>
      <c r="C1969" t="s">
        <v>114</v>
      </c>
      <c r="D1969">
        <v>2410</v>
      </c>
      <c r="E1969">
        <v>440</v>
      </c>
      <c r="F1969">
        <v>218</v>
      </c>
      <c r="G1969">
        <v>261</v>
      </c>
      <c r="H1969">
        <v>728</v>
      </c>
      <c r="I1969">
        <v>763</v>
      </c>
      <c r="J1969">
        <v>661</v>
      </c>
      <c r="K1969">
        <v>727</v>
      </c>
      <c r="L1969" s="1">
        <v>1022</v>
      </c>
      <c r="M1969" s="1">
        <v>2158</v>
      </c>
      <c r="N1969">
        <v>252</v>
      </c>
      <c r="O1969" t="s">
        <v>3732</v>
      </c>
      <c r="P1969" s="1" t="b">
        <f>NOT(OR(Table1[[#This Row],[State]]="Other Foreign Countries", Table1[[#This Row],[State]]="Unknown", Table1[[#This Row],[State]]="Puerto Rico all counties"))</f>
        <v>1</v>
      </c>
    </row>
    <row r="1970" spans="1:16" x14ac:dyDescent="0.25">
      <c r="A1970">
        <v>47123</v>
      </c>
      <c r="B1970" t="s">
        <v>3951</v>
      </c>
      <c r="C1970" t="s">
        <v>114</v>
      </c>
      <c r="D1970">
        <v>1324</v>
      </c>
      <c r="E1970">
        <v>300</v>
      </c>
      <c r="F1970">
        <v>144</v>
      </c>
      <c r="G1970">
        <v>142</v>
      </c>
      <c r="H1970">
        <v>404</v>
      </c>
      <c r="I1970">
        <v>334</v>
      </c>
      <c r="J1970">
        <v>271</v>
      </c>
      <c r="K1970">
        <v>389</v>
      </c>
      <c r="L1970">
        <v>664</v>
      </c>
      <c r="M1970" s="1">
        <v>1204</v>
      </c>
      <c r="N1970">
        <v>120</v>
      </c>
      <c r="O1970" t="s">
        <v>4030</v>
      </c>
      <c r="P1970" s="1" t="b">
        <f>NOT(OR(Table1[[#This Row],[State]]="Other Foreign Countries", Table1[[#This Row],[State]]="Unknown", Table1[[#This Row],[State]]="Puerto Rico all counties"))</f>
        <v>1</v>
      </c>
    </row>
    <row r="1971" spans="1:16" x14ac:dyDescent="0.25">
      <c r="A1971">
        <v>54063</v>
      </c>
      <c r="B1971" t="s">
        <v>4833</v>
      </c>
      <c r="C1971" t="s">
        <v>114</v>
      </c>
      <c r="D1971">
        <v>434</v>
      </c>
      <c r="E1971">
        <v>91</v>
      </c>
      <c r="F1971">
        <v>45</v>
      </c>
      <c r="G1971">
        <v>55</v>
      </c>
      <c r="H1971">
        <v>135</v>
      </c>
      <c r="I1971">
        <v>108</v>
      </c>
      <c r="J1971">
        <v>70</v>
      </c>
      <c r="K1971">
        <v>128</v>
      </c>
      <c r="L1971">
        <v>236</v>
      </c>
      <c r="M1971">
        <v>405</v>
      </c>
      <c r="N1971">
        <v>28</v>
      </c>
      <c r="O1971" t="s">
        <v>4874</v>
      </c>
      <c r="P1971" s="1" t="b">
        <f>NOT(OR(Table1[[#This Row],[State]]="Other Foreign Countries", Table1[[#This Row],[State]]="Unknown", Table1[[#This Row],[State]]="Puerto Rico all counties"))</f>
        <v>1</v>
      </c>
    </row>
    <row r="1972" spans="1:16" x14ac:dyDescent="0.25">
      <c r="A1972">
        <v>55081</v>
      </c>
      <c r="B1972" t="s">
        <v>4906</v>
      </c>
      <c r="C1972" t="s">
        <v>114</v>
      </c>
      <c r="D1972">
        <v>2378</v>
      </c>
      <c r="E1972">
        <v>537</v>
      </c>
      <c r="F1972">
        <v>271</v>
      </c>
      <c r="G1972">
        <v>296</v>
      </c>
      <c r="H1972">
        <v>671</v>
      </c>
      <c r="I1972">
        <v>603</v>
      </c>
      <c r="J1972">
        <v>506</v>
      </c>
      <c r="K1972">
        <v>927</v>
      </c>
      <c r="L1972">
        <v>945</v>
      </c>
      <c r="M1972" s="1">
        <v>2084</v>
      </c>
      <c r="N1972">
        <v>294</v>
      </c>
      <c r="O1972" t="s">
        <v>4965</v>
      </c>
      <c r="P1972" s="1" t="b">
        <f>NOT(OR(Table1[[#This Row],[State]]="Other Foreign Countries", Table1[[#This Row],[State]]="Unknown", Table1[[#This Row],[State]]="Puerto Rico all counties"))</f>
        <v>1</v>
      </c>
    </row>
    <row r="1973" spans="1:16" x14ac:dyDescent="0.25">
      <c r="A1973">
        <v>48337</v>
      </c>
      <c r="B1973" t="s">
        <v>2654</v>
      </c>
      <c r="C1973" t="s">
        <v>4342</v>
      </c>
      <c r="D1973">
        <v>525</v>
      </c>
      <c r="E1973">
        <v>96</v>
      </c>
      <c r="F1973">
        <v>62</v>
      </c>
      <c r="G1973">
        <v>59</v>
      </c>
      <c r="H1973">
        <v>158</v>
      </c>
      <c r="I1973">
        <v>150</v>
      </c>
      <c r="J1973">
        <v>103</v>
      </c>
      <c r="K1973">
        <v>153</v>
      </c>
      <c r="L1973">
        <v>269</v>
      </c>
      <c r="M1973">
        <v>482</v>
      </c>
      <c r="N1973">
        <v>43</v>
      </c>
      <c r="O1973" t="s">
        <v>4343</v>
      </c>
      <c r="P1973" s="1" t="b">
        <f>NOT(OR(Table1[[#This Row],[State]]="Other Foreign Countries", Table1[[#This Row],[State]]="Unknown", Table1[[#This Row],[State]]="Puerto Rico all counties"))</f>
        <v>1</v>
      </c>
    </row>
    <row r="1974" spans="1:16" x14ac:dyDescent="0.25">
      <c r="A1974">
        <v>26117</v>
      </c>
      <c r="B1974" t="s">
        <v>2099</v>
      </c>
      <c r="C1974" t="s">
        <v>2201</v>
      </c>
      <c r="D1974">
        <v>1221</v>
      </c>
      <c r="E1974">
        <v>244</v>
      </c>
      <c r="F1974">
        <v>130</v>
      </c>
      <c r="G1974">
        <v>148</v>
      </c>
      <c r="H1974">
        <v>364</v>
      </c>
      <c r="I1974">
        <v>335</v>
      </c>
      <c r="J1974">
        <v>343</v>
      </c>
      <c r="K1974">
        <v>342</v>
      </c>
      <c r="L1974">
        <v>536</v>
      </c>
      <c r="M1974" s="1">
        <v>1100</v>
      </c>
      <c r="N1974">
        <v>121</v>
      </c>
      <c r="O1974" t="s">
        <v>2202</v>
      </c>
      <c r="P1974" s="1" t="b">
        <f>NOT(OR(Table1[[#This Row],[State]]="Other Foreign Countries", Table1[[#This Row],[State]]="Unknown", Table1[[#This Row],[State]]="Puerto Rico all counties"))</f>
        <v>1</v>
      </c>
    </row>
    <row r="1975" spans="1:16" x14ac:dyDescent="0.25">
      <c r="A1975">
        <v>6053</v>
      </c>
      <c r="B1975" t="s">
        <v>374</v>
      </c>
      <c r="C1975" t="s">
        <v>427</v>
      </c>
      <c r="D1975">
        <v>5683</v>
      </c>
      <c r="E1975" s="1">
        <v>1125</v>
      </c>
      <c r="F1975">
        <v>645</v>
      </c>
      <c r="G1975">
        <v>678</v>
      </c>
      <c r="H1975" s="1">
        <v>1729</v>
      </c>
      <c r="I1975" s="1">
        <v>1506</v>
      </c>
      <c r="J1975" s="1">
        <v>1430</v>
      </c>
      <c r="K1975" s="1">
        <v>1692</v>
      </c>
      <c r="L1975" s="1">
        <v>2561</v>
      </c>
      <c r="M1975" s="1">
        <v>4995</v>
      </c>
      <c r="N1975">
        <v>688</v>
      </c>
      <c r="O1975" t="s">
        <v>428</v>
      </c>
      <c r="P1975" s="1" t="b">
        <f>NOT(OR(Table1[[#This Row],[State]]="Other Foreign Countries", Table1[[#This Row],[State]]="Unknown", Table1[[#This Row],[State]]="Puerto Rico all counties"))</f>
        <v>1</v>
      </c>
    </row>
    <row r="1976" spans="1:16" x14ac:dyDescent="0.25">
      <c r="A1976">
        <v>8083</v>
      </c>
      <c r="B1976" t="s">
        <v>489</v>
      </c>
      <c r="C1976" t="s">
        <v>569</v>
      </c>
      <c r="D1976">
        <v>788</v>
      </c>
      <c r="E1976">
        <v>208</v>
      </c>
      <c r="F1976">
        <v>102</v>
      </c>
      <c r="G1976">
        <v>101</v>
      </c>
      <c r="H1976">
        <v>203</v>
      </c>
      <c r="I1976">
        <v>174</v>
      </c>
      <c r="J1976">
        <v>155</v>
      </c>
      <c r="K1976">
        <v>224</v>
      </c>
      <c r="L1976">
        <v>409</v>
      </c>
      <c r="M1976">
        <v>709</v>
      </c>
      <c r="N1976">
        <v>79</v>
      </c>
      <c r="O1976" t="s">
        <v>570</v>
      </c>
      <c r="P1976" s="1" t="b">
        <f>NOT(OR(Table1[[#This Row],[State]]="Other Foreign Countries", Table1[[#This Row],[State]]="Unknown", Table1[[#This Row],[State]]="Puerto Rico all counties"))</f>
        <v>1</v>
      </c>
    </row>
    <row r="1977" spans="1:16" x14ac:dyDescent="0.25">
      <c r="A1977">
        <v>1101</v>
      </c>
      <c r="B1977" t="s">
        <v>15</v>
      </c>
      <c r="C1977" t="s">
        <v>116</v>
      </c>
      <c r="D1977">
        <v>8643</v>
      </c>
      <c r="E1977" s="1">
        <v>1247</v>
      </c>
      <c r="F1977">
        <v>803</v>
      </c>
      <c r="G1977">
        <v>873</v>
      </c>
      <c r="H1977" s="1">
        <v>2594</v>
      </c>
      <c r="I1977" s="1">
        <v>3126</v>
      </c>
      <c r="J1977" s="1">
        <v>1862</v>
      </c>
      <c r="K1977" s="1">
        <v>3399</v>
      </c>
      <c r="L1977" s="1">
        <v>3382</v>
      </c>
      <c r="M1977" s="1">
        <v>6616</v>
      </c>
      <c r="N1977" s="1">
        <v>2027</v>
      </c>
      <c r="O1977" t="s">
        <v>117</v>
      </c>
      <c r="P1977" s="1" t="b">
        <f>NOT(OR(Table1[[#This Row],[State]]="Other Foreign Countries", Table1[[#This Row],[State]]="Unknown", Table1[[#This Row],[State]]="Puerto Rico all counties"))</f>
        <v>1</v>
      </c>
    </row>
    <row r="1978" spans="1:16" x14ac:dyDescent="0.25">
      <c r="A1978">
        <v>5097</v>
      </c>
      <c r="B1978" t="s">
        <v>242</v>
      </c>
      <c r="C1978" t="s">
        <v>116</v>
      </c>
      <c r="D1978">
        <v>223</v>
      </c>
      <c r="E1978">
        <v>39</v>
      </c>
      <c r="F1978">
        <v>16</v>
      </c>
      <c r="G1978">
        <v>30</v>
      </c>
      <c r="H1978">
        <v>80</v>
      </c>
      <c r="I1978">
        <v>58</v>
      </c>
      <c r="J1978">
        <v>32</v>
      </c>
      <c r="K1978">
        <v>68</v>
      </c>
      <c r="L1978">
        <v>123</v>
      </c>
      <c r="M1978">
        <v>204</v>
      </c>
      <c r="N1978">
        <v>19</v>
      </c>
      <c r="O1978" t="s">
        <v>325</v>
      </c>
      <c r="P1978" s="1" t="b">
        <f>NOT(OR(Table1[[#This Row],[State]]="Other Foreign Countries", Table1[[#This Row],[State]]="Unknown", Table1[[#This Row],[State]]="Puerto Rico all counties"))</f>
        <v>1</v>
      </c>
    </row>
    <row r="1979" spans="1:16" x14ac:dyDescent="0.25">
      <c r="A1979">
        <v>13209</v>
      </c>
      <c r="B1979" t="s">
        <v>754</v>
      </c>
      <c r="C1979" t="s">
        <v>116</v>
      </c>
      <c r="D1979">
        <v>158</v>
      </c>
      <c r="E1979">
        <v>29</v>
      </c>
      <c r="F1979">
        <v>14</v>
      </c>
      <c r="G1979">
        <v>18</v>
      </c>
      <c r="H1979">
        <v>50</v>
      </c>
      <c r="I1979">
        <v>47</v>
      </c>
      <c r="J1979">
        <v>45</v>
      </c>
      <c r="K1979">
        <v>50</v>
      </c>
      <c r="L1979">
        <v>63</v>
      </c>
      <c r="M1979">
        <v>140</v>
      </c>
      <c r="N1979">
        <v>18</v>
      </c>
      <c r="O1979" t="s">
        <v>926</v>
      </c>
      <c r="P1979" s="1" t="b">
        <f>NOT(OR(Table1[[#This Row],[State]]="Other Foreign Countries", Table1[[#This Row],[State]]="Unknown", Table1[[#This Row],[State]]="Puerto Rico all counties"))</f>
        <v>1</v>
      </c>
    </row>
    <row r="1980" spans="1:16" x14ac:dyDescent="0.25">
      <c r="A1980">
        <v>17135</v>
      </c>
      <c r="B1980" t="s">
        <v>1109</v>
      </c>
      <c r="C1980" t="s">
        <v>116</v>
      </c>
      <c r="D1980">
        <v>480</v>
      </c>
      <c r="E1980">
        <v>80</v>
      </c>
      <c r="F1980">
        <v>51</v>
      </c>
      <c r="G1980">
        <v>67</v>
      </c>
      <c r="H1980">
        <v>152</v>
      </c>
      <c r="I1980">
        <v>130</v>
      </c>
      <c r="J1980">
        <v>130</v>
      </c>
      <c r="K1980">
        <v>130</v>
      </c>
      <c r="L1980">
        <v>220</v>
      </c>
      <c r="M1980">
        <v>437</v>
      </c>
      <c r="N1980">
        <v>42</v>
      </c>
      <c r="O1980" t="s">
        <v>1213</v>
      </c>
      <c r="P1980" s="1" t="b">
        <f>NOT(OR(Table1[[#This Row],[State]]="Other Foreign Countries", Table1[[#This Row],[State]]="Unknown", Table1[[#This Row],[State]]="Puerto Rico all counties"))</f>
        <v>1</v>
      </c>
    </row>
    <row r="1981" spans="1:16" x14ac:dyDescent="0.25">
      <c r="A1981">
        <v>18107</v>
      </c>
      <c r="B1981" t="s">
        <v>1266</v>
      </c>
      <c r="C1981" t="s">
        <v>116</v>
      </c>
      <c r="D1981">
        <v>555</v>
      </c>
      <c r="E1981">
        <v>159</v>
      </c>
      <c r="F1981">
        <v>84</v>
      </c>
      <c r="G1981">
        <v>94</v>
      </c>
      <c r="H1981">
        <v>130</v>
      </c>
      <c r="I1981">
        <v>88</v>
      </c>
      <c r="J1981">
        <v>143</v>
      </c>
      <c r="K1981">
        <v>158</v>
      </c>
      <c r="L1981">
        <v>254</v>
      </c>
      <c r="M1981">
        <v>518</v>
      </c>
      <c r="N1981">
        <v>37</v>
      </c>
      <c r="O1981" t="s">
        <v>1338</v>
      </c>
      <c r="P1981" s="1" t="b">
        <f>NOT(OR(Table1[[#This Row],[State]]="Other Foreign Countries", Table1[[#This Row],[State]]="Unknown", Table1[[#This Row],[State]]="Puerto Rico all counties"))</f>
        <v>1</v>
      </c>
    </row>
    <row r="1982" spans="1:16" x14ac:dyDescent="0.25">
      <c r="A1982">
        <v>19137</v>
      </c>
      <c r="B1982" t="s">
        <v>1399</v>
      </c>
      <c r="C1982" t="s">
        <v>116</v>
      </c>
      <c r="D1982">
        <v>228</v>
      </c>
      <c r="E1982">
        <v>73</v>
      </c>
      <c r="F1982">
        <v>30</v>
      </c>
      <c r="G1982">
        <v>27</v>
      </c>
      <c r="H1982">
        <v>52</v>
      </c>
      <c r="I1982">
        <v>46</v>
      </c>
      <c r="J1982">
        <v>34</v>
      </c>
      <c r="K1982">
        <v>75</v>
      </c>
      <c r="L1982">
        <v>119</v>
      </c>
      <c r="M1982">
        <v>214</v>
      </c>
      <c r="N1982">
        <v>14</v>
      </c>
      <c r="O1982" t="s">
        <v>1495</v>
      </c>
      <c r="P1982" s="1" t="b">
        <f>NOT(OR(Table1[[#This Row],[State]]="Other Foreign Countries", Table1[[#This Row],[State]]="Unknown", Table1[[#This Row],[State]]="Puerto Rico all counties"))</f>
        <v>1</v>
      </c>
    </row>
    <row r="1983" spans="1:16" x14ac:dyDescent="0.25">
      <c r="A1983">
        <v>20125</v>
      </c>
      <c r="B1983" t="s">
        <v>1543</v>
      </c>
      <c r="C1983" t="s">
        <v>116</v>
      </c>
      <c r="D1983">
        <v>569</v>
      </c>
      <c r="E1983">
        <v>132</v>
      </c>
      <c r="F1983">
        <v>68</v>
      </c>
      <c r="G1983">
        <v>65</v>
      </c>
      <c r="H1983">
        <v>170</v>
      </c>
      <c r="I1983">
        <v>134</v>
      </c>
      <c r="J1983">
        <v>131</v>
      </c>
      <c r="K1983">
        <v>171</v>
      </c>
      <c r="L1983">
        <v>267</v>
      </c>
      <c r="M1983">
        <v>529</v>
      </c>
      <c r="N1983">
        <v>40</v>
      </c>
      <c r="O1983" t="s">
        <v>1639</v>
      </c>
      <c r="P1983" s="1" t="b">
        <f>NOT(OR(Table1[[#This Row],[State]]="Other Foreign Countries", Table1[[#This Row],[State]]="Unknown", Table1[[#This Row],[State]]="Puerto Rico all counties"))</f>
        <v>1</v>
      </c>
    </row>
    <row r="1984" spans="1:16" x14ac:dyDescent="0.25">
      <c r="A1984">
        <v>21173</v>
      </c>
      <c r="B1984" t="s">
        <v>1716</v>
      </c>
      <c r="C1984" t="s">
        <v>116</v>
      </c>
      <c r="D1984">
        <v>496</v>
      </c>
      <c r="E1984">
        <v>99</v>
      </c>
      <c r="F1984">
        <v>61</v>
      </c>
      <c r="G1984">
        <v>81</v>
      </c>
      <c r="H1984">
        <v>143</v>
      </c>
      <c r="I1984">
        <v>112</v>
      </c>
      <c r="J1984">
        <v>141</v>
      </c>
      <c r="K1984">
        <v>169</v>
      </c>
      <c r="L1984">
        <v>186</v>
      </c>
      <c r="M1984">
        <v>466</v>
      </c>
      <c r="N1984">
        <v>30</v>
      </c>
      <c r="O1984" t="s">
        <v>1843</v>
      </c>
      <c r="P1984" s="1" t="b">
        <f>NOT(OR(Table1[[#This Row],[State]]="Other Foreign Countries", Table1[[#This Row],[State]]="Unknown", Table1[[#This Row],[State]]="Puerto Rico all counties"))</f>
        <v>1</v>
      </c>
    </row>
    <row r="1985" spans="1:16" x14ac:dyDescent="0.25">
      <c r="A1985">
        <v>24031</v>
      </c>
      <c r="B1985" t="s">
        <v>2031</v>
      </c>
      <c r="C1985" t="s">
        <v>116</v>
      </c>
      <c r="D1985">
        <v>10228</v>
      </c>
      <c r="E1985" s="1">
        <v>1764</v>
      </c>
      <c r="F1985" s="1">
        <v>1277</v>
      </c>
      <c r="G1985" s="1">
        <v>1190</v>
      </c>
      <c r="H1985" s="1">
        <v>2960</v>
      </c>
      <c r="I1985" s="1">
        <v>3037</v>
      </c>
      <c r="J1985" s="1">
        <v>3306</v>
      </c>
      <c r="K1985" s="1">
        <v>3970</v>
      </c>
      <c r="L1985" s="1">
        <v>2952</v>
      </c>
      <c r="M1985" s="1">
        <v>8070</v>
      </c>
      <c r="N1985" s="1">
        <v>2157</v>
      </c>
      <c r="O1985" t="s">
        <v>2057</v>
      </c>
      <c r="P1985" s="1" t="b">
        <f>NOT(OR(Table1[[#This Row],[State]]="Other Foreign Countries", Table1[[#This Row],[State]]="Unknown", Table1[[#This Row],[State]]="Puerto Rico all counties"))</f>
        <v>1</v>
      </c>
    </row>
    <row r="1986" spans="1:16" x14ac:dyDescent="0.25">
      <c r="A1986">
        <v>28097</v>
      </c>
      <c r="B1986" t="s">
        <v>322</v>
      </c>
      <c r="C1986" t="s">
        <v>116</v>
      </c>
      <c r="D1986">
        <v>222</v>
      </c>
      <c r="E1986">
        <v>36</v>
      </c>
      <c r="F1986">
        <v>20</v>
      </c>
      <c r="G1986">
        <v>19</v>
      </c>
      <c r="H1986">
        <v>92</v>
      </c>
      <c r="I1986">
        <v>55</v>
      </c>
      <c r="J1986">
        <v>50</v>
      </c>
      <c r="K1986">
        <v>59</v>
      </c>
      <c r="L1986">
        <v>113</v>
      </c>
      <c r="M1986">
        <v>202</v>
      </c>
      <c r="N1986">
        <v>20</v>
      </c>
      <c r="O1986" t="s">
        <v>2458</v>
      </c>
      <c r="P1986" s="1" t="b">
        <f>NOT(OR(Table1[[#This Row],[State]]="Other Foreign Countries", Table1[[#This Row],[State]]="Unknown", Table1[[#This Row],[State]]="Puerto Rico all counties"))</f>
        <v>1</v>
      </c>
    </row>
    <row r="1987" spans="1:16" x14ac:dyDescent="0.25">
      <c r="A1987">
        <v>29139</v>
      </c>
      <c r="B1987" t="s">
        <v>2510</v>
      </c>
      <c r="C1987" t="s">
        <v>116</v>
      </c>
      <c r="D1987">
        <v>270</v>
      </c>
      <c r="E1987">
        <v>91</v>
      </c>
      <c r="F1987">
        <v>34</v>
      </c>
      <c r="G1987">
        <v>29</v>
      </c>
      <c r="H1987">
        <v>70</v>
      </c>
      <c r="I1987">
        <v>46</v>
      </c>
      <c r="J1987">
        <v>51</v>
      </c>
      <c r="K1987">
        <v>72</v>
      </c>
      <c r="L1987">
        <v>147</v>
      </c>
      <c r="M1987">
        <v>252</v>
      </c>
      <c r="N1987">
        <v>18</v>
      </c>
      <c r="O1987" t="s">
        <v>2600</v>
      </c>
      <c r="P1987" s="1" t="b">
        <f>NOT(OR(Table1[[#This Row],[State]]="Other Foreign Countries", Table1[[#This Row],[State]]="Unknown", Table1[[#This Row],[State]]="Puerto Rico all counties"))</f>
        <v>1</v>
      </c>
    </row>
    <row r="1988" spans="1:16" x14ac:dyDescent="0.25">
      <c r="A1988">
        <v>36057</v>
      </c>
      <c r="B1988" t="s">
        <v>3029</v>
      </c>
      <c r="C1988" t="s">
        <v>116</v>
      </c>
      <c r="D1988">
        <v>655</v>
      </c>
      <c r="E1988">
        <v>165</v>
      </c>
      <c r="F1988">
        <v>88</v>
      </c>
      <c r="G1988">
        <v>83</v>
      </c>
      <c r="H1988">
        <v>185</v>
      </c>
      <c r="I1988">
        <v>134</v>
      </c>
      <c r="J1988">
        <v>153</v>
      </c>
      <c r="K1988">
        <v>182</v>
      </c>
      <c r="L1988">
        <v>320</v>
      </c>
      <c r="M1988">
        <v>586</v>
      </c>
      <c r="N1988">
        <v>69</v>
      </c>
      <c r="O1988" t="s">
        <v>3069</v>
      </c>
      <c r="P1988" s="1" t="b">
        <f>NOT(OR(Table1[[#This Row],[State]]="Other Foreign Countries", Table1[[#This Row],[State]]="Unknown", Table1[[#This Row],[State]]="Puerto Rico all counties"))</f>
        <v>1</v>
      </c>
    </row>
    <row r="1989" spans="1:16" x14ac:dyDescent="0.25">
      <c r="A1989">
        <v>37123</v>
      </c>
      <c r="B1989" t="s">
        <v>3121</v>
      </c>
      <c r="C1989" t="s">
        <v>116</v>
      </c>
      <c r="D1989">
        <v>552</v>
      </c>
      <c r="E1989">
        <v>66</v>
      </c>
      <c r="F1989">
        <v>34</v>
      </c>
      <c r="G1989">
        <v>73</v>
      </c>
      <c r="H1989">
        <v>216</v>
      </c>
      <c r="I1989">
        <v>163</v>
      </c>
      <c r="J1989">
        <v>121</v>
      </c>
      <c r="K1989">
        <v>173</v>
      </c>
      <c r="L1989">
        <v>258</v>
      </c>
      <c r="M1989">
        <v>494</v>
      </c>
      <c r="N1989">
        <v>58</v>
      </c>
      <c r="O1989" t="s">
        <v>3222</v>
      </c>
      <c r="P1989" s="1" t="b">
        <f>NOT(OR(Table1[[#This Row],[State]]="Other Foreign Countries", Table1[[#This Row],[State]]="Unknown", Table1[[#This Row],[State]]="Puerto Rico all counties"))</f>
        <v>1</v>
      </c>
    </row>
    <row r="1990" spans="1:16" x14ac:dyDescent="0.25">
      <c r="A1990">
        <v>39113</v>
      </c>
      <c r="B1990" t="s">
        <v>1343</v>
      </c>
      <c r="C1990" t="s">
        <v>116</v>
      </c>
      <c r="D1990">
        <v>12417</v>
      </c>
      <c r="E1990" s="1">
        <v>2575</v>
      </c>
      <c r="F1990" s="1">
        <v>1599</v>
      </c>
      <c r="G1990" s="1">
        <v>1699</v>
      </c>
      <c r="H1990" s="1">
        <v>3667</v>
      </c>
      <c r="I1990" s="1">
        <v>2877</v>
      </c>
      <c r="J1990" s="1">
        <v>3299</v>
      </c>
      <c r="K1990" s="1">
        <v>4590</v>
      </c>
      <c r="L1990" s="1">
        <v>4528</v>
      </c>
      <c r="M1990" s="1">
        <v>10507</v>
      </c>
      <c r="N1990" s="1">
        <v>1910</v>
      </c>
      <c r="O1990" t="s">
        <v>3449</v>
      </c>
      <c r="P1990" s="1" t="b">
        <f>NOT(OR(Table1[[#This Row],[State]]="Other Foreign Countries", Table1[[#This Row],[State]]="Unknown", Table1[[#This Row],[State]]="Puerto Rico all counties"))</f>
        <v>1</v>
      </c>
    </row>
    <row r="1991" spans="1:16" x14ac:dyDescent="0.25">
      <c r="A1991">
        <v>42091</v>
      </c>
      <c r="B1991" t="s">
        <v>3665</v>
      </c>
      <c r="C1991" t="s">
        <v>116</v>
      </c>
      <c r="D1991">
        <v>7535</v>
      </c>
      <c r="E1991" s="1">
        <v>1483</v>
      </c>
      <c r="F1991">
        <v>866</v>
      </c>
      <c r="G1991">
        <v>869</v>
      </c>
      <c r="H1991" s="1">
        <v>2255</v>
      </c>
      <c r="I1991" s="1">
        <v>2062</v>
      </c>
      <c r="J1991" s="1">
        <v>2171</v>
      </c>
      <c r="K1991" s="1">
        <v>2115</v>
      </c>
      <c r="L1991" s="1">
        <v>3248</v>
      </c>
      <c r="M1991" s="1">
        <v>6812</v>
      </c>
      <c r="N1991">
        <v>723</v>
      </c>
      <c r="O1991" t="s">
        <v>3733</v>
      </c>
      <c r="P1991" s="1" t="b">
        <f>NOT(OR(Table1[[#This Row],[State]]="Other Foreign Countries", Table1[[#This Row],[State]]="Unknown", Table1[[#This Row],[State]]="Puerto Rico all counties"))</f>
        <v>1</v>
      </c>
    </row>
    <row r="1992" spans="1:16" x14ac:dyDescent="0.25">
      <c r="A1992">
        <v>47125</v>
      </c>
      <c r="B1992" t="s">
        <v>3951</v>
      </c>
      <c r="C1992" t="s">
        <v>116</v>
      </c>
      <c r="D1992">
        <v>23053</v>
      </c>
      <c r="E1992" s="1">
        <v>2124</v>
      </c>
      <c r="F1992" s="1">
        <v>1507</v>
      </c>
      <c r="G1992" s="1">
        <v>2030</v>
      </c>
      <c r="H1992" s="1">
        <v>7262</v>
      </c>
      <c r="I1992" s="1">
        <v>10130</v>
      </c>
      <c r="J1992" s="1">
        <v>9311</v>
      </c>
      <c r="K1992" s="1">
        <v>9322</v>
      </c>
      <c r="L1992" s="1">
        <v>4420</v>
      </c>
      <c r="M1992" s="1">
        <v>18559</v>
      </c>
      <c r="N1992" s="1">
        <v>4494</v>
      </c>
      <c r="O1992" t="s">
        <v>4031</v>
      </c>
      <c r="P1992" s="1" t="b">
        <f>NOT(OR(Table1[[#This Row],[State]]="Other Foreign Countries", Table1[[#This Row],[State]]="Unknown", Table1[[#This Row],[State]]="Puerto Rico all counties"))</f>
        <v>1</v>
      </c>
    </row>
    <row r="1993" spans="1:16" x14ac:dyDescent="0.25">
      <c r="A1993">
        <v>48339</v>
      </c>
      <c r="B1993" t="s">
        <v>2654</v>
      </c>
      <c r="C1993" t="s">
        <v>116</v>
      </c>
      <c r="D1993">
        <v>16882</v>
      </c>
      <c r="E1993" s="1">
        <v>2549</v>
      </c>
      <c r="F1993" s="1">
        <v>1410</v>
      </c>
      <c r="G1993" s="1">
        <v>1822</v>
      </c>
      <c r="H1993" s="1">
        <v>5253</v>
      </c>
      <c r="I1993" s="1">
        <v>5848</v>
      </c>
      <c r="J1993" s="1">
        <v>6928</v>
      </c>
      <c r="K1993" s="1">
        <v>5758</v>
      </c>
      <c r="L1993" s="1">
        <v>4196</v>
      </c>
      <c r="M1993" s="1">
        <v>14577</v>
      </c>
      <c r="N1993" s="1">
        <v>2303</v>
      </c>
      <c r="O1993" t="s">
        <v>4344</v>
      </c>
      <c r="P1993" s="1" t="b">
        <f>NOT(OR(Table1[[#This Row],[State]]="Other Foreign Countries", Table1[[#This Row],[State]]="Unknown", Table1[[#This Row],[State]]="Puerto Rico all counties"))</f>
        <v>1</v>
      </c>
    </row>
    <row r="1994" spans="1:16" x14ac:dyDescent="0.25">
      <c r="A1994">
        <v>51121</v>
      </c>
      <c r="B1994" t="s">
        <v>4555</v>
      </c>
      <c r="C1994" t="s">
        <v>116</v>
      </c>
      <c r="D1994">
        <v>1110</v>
      </c>
      <c r="E1994">
        <v>226</v>
      </c>
      <c r="F1994">
        <v>152</v>
      </c>
      <c r="G1994">
        <v>149</v>
      </c>
      <c r="H1994">
        <v>318</v>
      </c>
      <c r="I1994">
        <v>265</v>
      </c>
      <c r="J1994">
        <v>350</v>
      </c>
      <c r="K1994">
        <v>362</v>
      </c>
      <c r="L1994">
        <v>398</v>
      </c>
      <c r="M1994">
        <v>992</v>
      </c>
      <c r="N1994">
        <v>117</v>
      </c>
      <c r="O1994" t="s">
        <v>4644</v>
      </c>
      <c r="P1994" s="1" t="b">
        <f>NOT(OR(Table1[[#This Row],[State]]="Other Foreign Countries", Table1[[#This Row],[State]]="Unknown", Table1[[#This Row],[State]]="Puerto Rico all counties"))</f>
        <v>1</v>
      </c>
    </row>
    <row r="1995" spans="1:16" x14ac:dyDescent="0.25">
      <c r="A1995">
        <v>26119</v>
      </c>
      <c r="B1995" t="s">
        <v>2099</v>
      </c>
      <c r="C1995" t="s">
        <v>2203</v>
      </c>
      <c r="D1995">
        <v>386</v>
      </c>
      <c r="E1995">
        <v>82</v>
      </c>
      <c r="F1995">
        <v>43</v>
      </c>
      <c r="G1995">
        <v>54</v>
      </c>
      <c r="H1995">
        <v>128</v>
      </c>
      <c r="I1995">
        <v>79</v>
      </c>
      <c r="J1995">
        <v>58</v>
      </c>
      <c r="K1995">
        <v>103</v>
      </c>
      <c r="L1995">
        <v>225</v>
      </c>
      <c r="M1995">
        <v>358</v>
      </c>
      <c r="N1995">
        <v>28</v>
      </c>
      <c r="O1995" t="s">
        <v>2204</v>
      </c>
      <c r="P1995" s="1" t="b">
        <f>NOT(OR(Table1[[#This Row],[State]]="Other Foreign Countries", Table1[[#This Row],[State]]="Unknown", Table1[[#This Row],[State]]="Puerto Rico all counties"))</f>
        <v>1</v>
      </c>
    </row>
    <row r="1996" spans="1:16" x14ac:dyDescent="0.25">
      <c r="A1996">
        <v>42093</v>
      </c>
      <c r="B1996" t="s">
        <v>3665</v>
      </c>
      <c r="C1996" t="s">
        <v>3734</v>
      </c>
      <c r="D1996">
        <v>322</v>
      </c>
      <c r="E1996">
        <v>65</v>
      </c>
      <c r="F1996">
        <v>50</v>
      </c>
      <c r="G1996">
        <v>29</v>
      </c>
      <c r="H1996">
        <v>97</v>
      </c>
      <c r="I1996">
        <v>81</v>
      </c>
      <c r="J1996">
        <v>94</v>
      </c>
      <c r="K1996">
        <v>103</v>
      </c>
      <c r="L1996">
        <v>125</v>
      </c>
      <c r="M1996">
        <v>295</v>
      </c>
      <c r="N1996">
        <v>27</v>
      </c>
      <c r="O1996" t="s">
        <v>3735</v>
      </c>
      <c r="P1996" s="1" t="b">
        <f>NOT(OR(Table1[[#This Row],[State]]="Other Foreign Countries", Table1[[#This Row],[State]]="Unknown", Table1[[#This Row],[State]]="Puerto Rico all counties"))</f>
        <v>1</v>
      </c>
    </row>
    <row r="1997" spans="1:16" x14ac:dyDescent="0.25">
      <c r="A1997">
        <v>8085</v>
      </c>
      <c r="B1997" t="s">
        <v>489</v>
      </c>
      <c r="C1997" t="s">
        <v>571</v>
      </c>
      <c r="D1997">
        <v>1134</v>
      </c>
      <c r="E1997">
        <v>385</v>
      </c>
      <c r="F1997">
        <v>140</v>
      </c>
      <c r="G1997">
        <v>118</v>
      </c>
      <c r="H1997">
        <v>260</v>
      </c>
      <c r="I1997">
        <v>231</v>
      </c>
      <c r="J1997">
        <v>241</v>
      </c>
      <c r="K1997">
        <v>278</v>
      </c>
      <c r="L1997">
        <v>615</v>
      </c>
      <c r="M1997" s="1">
        <v>1032</v>
      </c>
      <c r="N1997">
        <v>102</v>
      </c>
      <c r="O1997" t="s">
        <v>572</v>
      </c>
      <c r="P1997" s="1" t="b">
        <f>NOT(OR(Table1[[#This Row],[State]]="Other Foreign Countries", Table1[[#This Row],[State]]="Unknown", Table1[[#This Row],[State]]="Puerto Rico all counties"))</f>
        <v>1</v>
      </c>
    </row>
    <row r="1998" spans="1:16" x14ac:dyDescent="0.25">
      <c r="A1998">
        <v>46101</v>
      </c>
      <c r="B1998" t="s">
        <v>3846</v>
      </c>
      <c r="C1998" t="s">
        <v>3923</v>
      </c>
      <c r="D1998">
        <v>129</v>
      </c>
      <c r="E1998">
        <v>31</v>
      </c>
      <c r="F1998">
        <v>17</v>
      </c>
      <c r="G1998">
        <v>19</v>
      </c>
      <c r="H1998">
        <v>34</v>
      </c>
      <c r="I1998">
        <v>28</v>
      </c>
      <c r="J1998">
        <v>36</v>
      </c>
      <c r="K1998">
        <v>41</v>
      </c>
      <c r="L1998">
        <v>52</v>
      </c>
      <c r="M1998">
        <v>114</v>
      </c>
      <c r="N1998">
        <v>15</v>
      </c>
      <c r="O1998" t="s">
        <v>3924</v>
      </c>
      <c r="P1998" s="1" t="b">
        <f>NOT(OR(Table1[[#This Row],[State]]="Other Foreign Countries", Table1[[#This Row],[State]]="Unknown", Table1[[#This Row],[State]]="Puerto Rico all counties"))</f>
        <v>1</v>
      </c>
    </row>
    <row r="1999" spans="1:16" x14ac:dyDescent="0.25">
      <c r="A1999">
        <v>37125</v>
      </c>
      <c r="B1999" t="s">
        <v>3121</v>
      </c>
      <c r="C1999" t="s">
        <v>3223</v>
      </c>
      <c r="D1999">
        <v>6168</v>
      </c>
      <c r="E1999">
        <v>617</v>
      </c>
      <c r="F1999">
        <v>378</v>
      </c>
      <c r="G1999">
        <v>483</v>
      </c>
      <c r="H1999" s="1">
        <v>1641</v>
      </c>
      <c r="I1999" s="1">
        <v>3049</v>
      </c>
      <c r="J1999" s="1">
        <v>1898</v>
      </c>
      <c r="K1999" s="1">
        <v>2579</v>
      </c>
      <c r="L1999" s="1">
        <v>1691</v>
      </c>
      <c r="M1999" s="1">
        <v>5155</v>
      </c>
      <c r="N1999" s="1">
        <v>1013</v>
      </c>
      <c r="O1999" t="s">
        <v>3224</v>
      </c>
      <c r="P1999" s="1" t="b">
        <f>NOT(OR(Table1[[#This Row],[State]]="Other Foreign Countries", Table1[[#This Row],[State]]="Unknown", Table1[[#This Row],[State]]="Puerto Rico all counties"))</f>
        <v>1</v>
      </c>
    </row>
    <row r="2000" spans="1:16" x14ac:dyDescent="0.25">
      <c r="A2000">
        <v>47127</v>
      </c>
      <c r="B2000" t="s">
        <v>3951</v>
      </c>
      <c r="C2000" t="s">
        <v>3223</v>
      </c>
      <c r="D2000">
        <v>192</v>
      </c>
      <c r="E2000">
        <v>29</v>
      </c>
      <c r="F2000">
        <v>20</v>
      </c>
      <c r="G2000">
        <v>15</v>
      </c>
      <c r="H2000">
        <v>64</v>
      </c>
      <c r="I2000">
        <v>64</v>
      </c>
      <c r="J2000">
        <v>49</v>
      </c>
      <c r="K2000">
        <v>69</v>
      </c>
      <c r="L2000">
        <v>74</v>
      </c>
      <c r="M2000">
        <v>180</v>
      </c>
      <c r="N2000">
        <v>12</v>
      </c>
      <c r="O2000" t="s">
        <v>4032</v>
      </c>
      <c r="P2000" s="1" t="b">
        <f>NOT(OR(Table1[[#This Row],[State]]="Other Foreign Countries", Table1[[#This Row],[State]]="Unknown", Table1[[#This Row],[State]]="Puerto Rico all counties"))</f>
        <v>1</v>
      </c>
    </row>
    <row r="2001" spans="1:16" x14ac:dyDescent="0.25">
      <c r="A2001">
        <v>48341</v>
      </c>
      <c r="B2001" t="s">
        <v>2654</v>
      </c>
      <c r="C2001" t="s">
        <v>3223</v>
      </c>
      <c r="D2001">
        <v>142</v>
      </c>
      <c r="E2001">
        <v>36</v>
      </c>
      <c r="F2001">
        <v>14</v>
      </c>
      <c r="G2001">
        <v>18</v>
      </c>
      <c r="H2001">
        <v>38</v>
      </c>
      <c r="I2001">
        <v>36</v>
      </c>
      <c r="J2001">
        <v>40</v>
      </c>
      <c r="K2001">
        <v>37</v>
      </c>
      <c r="L2001">
        <v>65</v>
      </c>
      <c r="M2001">
        <v>129</v>
      </c>
      <c r="N2001">
        <v>13</v>
      </c>
      <c r="O2001" t="s">
        <v>4345</v>
      </c>
      <c r="P2001" s="1" t="b">
        <f>NOT(OR(Table1[[#This Row],[State]]="Other Foreign Countries", Table1[[#This Row],[State]]="Unknown", Table1[[#This Row],[State]]="Puerto Rico all counties"))</f>
        <v>1</v>
      </c>
    </row>
    <row r="2002" spans="1:16" x14ac:dyDescent="0.25">
      <c r="A2002">
        <v>35033</v>
      </c>
      <c r="B2002" t="s">
        <v>2971</v>
      </c>
      <c r="C2002" t="s">
        <v>3005</v>
      </c>
      <c r="D2002">
        <v>145</v>
      </c>
      <c r="E2002">
        <v>12</v>
      </c>
      <c r="F2002">
        <v>11</v>
      </c>
      <c r="G2002">
        <v>10</v>
      </c>
      <c r="H2002">
        <v>60</v>
      </c>
      <c r="I2002">
        <v>52</v>
      </c>
      <c r="J2002">
        <v>15</v>
      </c>
      <c r="K2002">
        <v>49</v>
      </c>
      <c r="L2002">
        <v>81</v>
      </c>
      <c r="O2002" t="s">
        <v>3006</v>
      </c>
      <c r="P2002" s="1" t="b">
        <f>NOT(OR(Table1[[#This Row],[State]]="Other Foreign Countries", Table1[[#This Row],[State]]="Unknown", Table1[[#This Row],[State]]="Puerto Rico all counties"))</f>
        <v>1</v>
      </c>
    </row>
    <row r="2003" spans="1:16" x14ac:dyDescent="0.25">
      <c r="A2003">
        <v>22067</v>
      </c>
      <c r="B2003" t="s">
        <v>1892</v>
      </c>
      <c r="C2003" t="s">
        <v>1948</v>
      </c>
      <c r="D2003">
        <v>450</v>
      </c>
      <c r="E2003">
        <v>79</v>
      </c>
      <c r="F2003">
        <v>46</v>
      </c>
      <c r="G2003">
        <v>55</v>
      </c>
      <c r="H2003">
        <v>161</v>
      </c>
      <c r="I2003">
        <v>109</v>
      </c>
      <c r="J2003">
        <v>81</v>
      </c>
      <c r="K2003">
        <v>151</v>
      </c>
      <c r="L2003">
        <v>218</v>
      </c>
      <c r="M2003">
        <v>412</v>
      </c>
      <c r="N2003">
        <v>38</v>
      </c>
      <c r="O2003" t="s">
        <v>1949</v>
      </c>
      <c r="P2003" s="1" t="b">
        <f>NOT(OR(Table1[[#This Row],[State]]="Other Foreign Countries", Table1[[#This Row],[State]]="Unknown", Table1[[#This Row],[State]]="Puerto Rico all counties"))</f>
        <v>1</v>
      </c>
    </row>
    <row r="2004" spans="1:16" x14ac:dyDescent="0.25">
      <c r="A2004">
        <v>1103</v>
      </c>
      <c r="B2004" t="s">
        <v>15</v>
      </c>
      <c r="C2004" t="s">
        <v>118</v>
      </c>
      <c r="D2004">
        <v>2612</v>
      </c>
      <c r="E2004">
        <v>460</v>
      </c>
      <c r="F2004">
        <v>303</v>
      </c>
      <c r="G2004">
        <v>334</v>
      </c>
      <c r="H2004">
        <v>781</v>
      </c>
      <c r="I2004">
        <v>734</v>
      </c>
      <c r="J2004">
        <v>705</v>
      </c>
      <c r="K2004">
        <v>908</v>
      </c>
      <c r="L2004">
        <v>999</v>
      </c>
      <c r="M2004" s="1">
        <v>2337</v>
      </c>
      <c r="N2004">
        <v>275</v>
      </c>
      <c r="O2004" t="s">
        <v>119</v>
      </c>
      <c r="P2004" s="1" t="b">
        <f>NOT(OR(Table1[[#This Row],[State]]="Other Foreign Countries", Table1[[#This Row],[State]]="Unknown", Table1[[#This Row],[State]]="Puerto Rico all counties"))</f>
        <v>1</v>
      </c>
    </row>
    <row r="2005" spans="1:16" x14ac:dyDescent="0.25">
      <c r="A2005">
        <v>8087</v>
      </c>
      <c r="B2005" t="s">
        <v>489</v>
      </c>
      <c r="C2005" t="s">
        <v>118</v>
      </c>
      <c r="D2005">
        <v>331</v>
      </c>
      <c r="E2005">
        <v>79</v>
      </c>
      <c r="F2005">
        <v>42</v>
      </c>
      <c r="G2005">
        <v>49</v>
      </c>
      <c r="H2005">
        <v>97</v>
      </c>
      <c r="I2005">
        <v>64</v>
      </c>
      <c r="J2005">
        <v>96</v>
      </c>
      <c r="K2005">
        <v>96</v>
      </c>
      <c r="L2005">
        <v>139</v>
      </c>
      <c r="M2005">
        <v>299</v>
      </c>
      <c r="N2005">
        <v>32</v>
      </c>
      <c r="O2005" t="s">
        <v>573</v>
      </c>
      <c r="P2005" s="1" t="b">
        <f>NOT(OR(Table1[[#This Row],[State]]="Other Foreign Countries", Table1[[#This Row],[State]]="Unknown", Table1[[#This Row],[State]]="Puerto Rico all counties"))</f>
        <v>1</v>
      </c>
    </row>
    <row r="2006" spans="1:16" x14ac:dyDescent="0.25">
      <c r="A2006">
        <v>13211</v>
      </c>
      <c r="B2006" t="s">
        <v>754</v>
      </c>
      <c r="C2006" t="s">
        <v>118</v>
      </c>
      <c r="D2006">
        <v>392</v>
      </c>
      <c r="E2006">
        <v>87</v>
      </c>
      <c r="F2006">
        <v>47</v>
      </c>
      <c r="G2006">
        <v>37</v>
      </c>
      <c r="H2006">
        <v>117</v>
      </c>
      <c r="I2006">
        <v>104</v>
      </c>
      <c r="J2006">
        <v>82</v>
      </c>
      <c r="K2006">
        <v>121</v>
      </c>
      <c r="L2006">
        <v>189</v>
      </c>
      <c r="M2006">
        <v>362</v>
      </c>
      <c r="N2006">
        <v>30</v>
      </c>
      <c r="O2006" t="s">
        <v>927</v>
      </c>
      <c r="P2006" s="1" t="b">
        <f>NOT(OR(Table1[[#This Row],[State]]="Other Foreign Countries", Table1[[#This Row],[State]]="Unknown", Table1[[#This Row],[State]]="Puerto Rico all counties"))</f>
        <v>1</v>
      </c>
    </row>
    <row r="2007" spans="1:16" x14ac:dyDescent="0.25">
      <c r="A2007">
        <v>17137</v>
      </c>
      <c r="B2007" t="s">
        <v>1109</v>
      </c>
      <c r="C2007" t="s">
        <v>118</v>
      </c>
      <c r="D2007">
        <v>519</v>
      </c>
      <c r="E2007">
        <v>100</v>
      </c>
      <c r="F2007">
        <v>60</v>
      </c>
      <c r="G2007">
        <v>60</v>
      </c>
      <c r="H2007">
        <v>164</v>
      </c>
      <c r="I2007">
        <v>135</v>
      </c>
      <c r="J2007">
        <v>130</v>
      </c>
      <c r="K2007">
        <v>149</v>
      </c>
      <c r="L2007">
        <v>240</v>
      </c>
      <c r="M2007">
        <v>476</v>
      </c>
      <c r="N2007">
        <v>43</v>
      </c>
      <c r="O2007" t="s">
        <v>1214</v>
      </c>
      <c r="P2007" s="1" t="b">
        <f>NOT(OR(Table1[[#This Row],[State]]="Other Foreign Countries", Table1[[#This Row],[State]]="Unknown", Table1[[#This Row],[State]]="Puerto Rico all counties"))</f>
        <v>1</v>
      </c>
    </row>
    <row r="2008" spans="1:16" x14ac:dyDescent="0.25">
      <c r="A2008">
        <v>18109</v>
      </c>
      <c r="B2008" t="s">
        <v>1266</v>
      </c>
      <c r="C2008" t="s">
        <v>118</v>
      </c>
      <c r="D2008">
        <v>1755</v>
      </c>
      <c r="E2008">
        <v>507</v>
      </c>
      <c r="F2008">
        <v>236</v>
      </c>
      <c r="G2008">
        <v>201</v>
      </c>
      <c r="H2008">
        <v>448</v>
      </c>
      <c r="I2008">
        <v>363</v>
      </c>
      <c r="J2008">
        <v>445</v>
      </c>
      <c r="K2008">
        <v>579</v>
      </c>
      <c r="L2008">
        <v>731</v>
      </c>
      <c r="M2008" s="1">
        <v>1620</v>
      </c>
      <c r="N2008">
        <v>135</v>
      </c>
      <c r="O2008" t="s">
        <v>1339</v>
      </c>
      <c r="P2008" s="1" t="b">
        <f>NOT(OR(Table1[[#This Row],[State]]="Other Foreign Countries", Table1[[#This Row],[State]]="Unknown", Table1[[#This Row],[State]]="Puerto Rico all counties"))</f>
        <v>1</v>
      </c>
    </row>
    <row r="2009" spans="1:16" x14ac:dyDescent="0.25">
      <c r="A2009">
        <v>21175</v>
      </c>
      <c r="B2009" t="s">
        <v>1716</v>
      </c>
      <c r="C2009" t="s">
        <v>118</v>
      </c>
      <c r="D2009">
        <v>195</v>
      </c>
      <c r="E2009">
        <v>33</v>
      </c>
      <c r="F2009">
        <v>23</v>
      </c>
      <c r="G2009">
        <v>26</v>
      </c>
      <c r="H2009">
        <v>55</v>
      </c>
      <c r="I2009">
        <v>58</v>
      </c>
      <c r="J2009">
        <v>43</v>
      </c>
      <c r="K2009">
        <v>52</v>
      </c>
      <c r="L2009">
        <v>100</v>
      </c>
      <c r="M2009">
        <v>184</v>
      </c>
      <c r="N2009">
        <v>11</v>
      </c>
      <c r="O2009" t="s">
        <v>1844</v>
      </c>
      <c r="P2009" s="1" t="b">
        <f>NOT(OR(Table1[[#This Row],[State]]="Other Foreign Countries", Table1[[#This Row],[State]]="Unknown", Table1[[#This Row],[State]]="Puerto Rico all counties"))</f>
        <v>1</v>
      </c>
    </row>
    <row r="2010" spans="1:16" x14ac:dyDescent="0.25">
      <c r="A2010">
        <v>29141</v>
      </c>
      <c r="B2010" t="s">
        <v>2510</v>
      </c>
      <c r="C2010" t="s">
        <v>118</v>
      </c>
      <c r="D2010">
        <v>624</v>
      </c>
      <c r="E2010">
        <v>146</v>
      </c>
      <c r="F2010">
        <v>79</v>
      </c>
      <c r="G2010">
        <v>73</v>
      </c>
      <c r="H2010">
        <v>203</v>
      </c>
      <c r="I2010">
        <v>123</v>
      </c>
      <c r="J2010">
        <v>91</v>
      </c>
      <c r="K2010">
        <v>166</v>
      </c>
      <c r="L2010">
        <v>367</v>
      </c>
      <c r="M2010">
        <v>583</v>
      </c>
      <c r="N2010">
        <v>41</v>
      </c>
      <c r="O2010" t="s">
        <v>2601</v>
      </c>
      <c r="P2010" s="1" t="b">
        <f>NOT(OR(Table1[[#This Row],[State]]="Other Foreign Countries", Table1[[#This Row],[State]]="Unknown", Table1[[#This Row],[State]]="Puerto Rico all counties"))</f>
        <v>1</v>
      </c>
    </row>
    <row r="2011" spans="1:16" x14ac:dyDescent="0.25">
      <c r="A2011">
        <v>39115</v>
      </c>
      <c r="B2011" t="s">
        <v>1343</v>
      </c>
      <c r="C2011" t="s">
        <v>118</v>
      </c>
      <c r="D2011">
        <v>436</v>
      </c>
      <c r="E2011">
        <v>114</v>
      </c>
      <c r="F2011">
        <v>55</v>
      </c>
      <c r="G2011">
        <v>56</v>
      </c>
      <c r="H2011">
        <v>107</v>
      </c>
      <c r="I2011">
        <v>104</v>
      </c>
      <c r="J2011">
        <v>86</v>
      </c>
      <c r="K2011">
        <v>133</v>
      </c>
      <c r="L2011">
        <v>217</v>
      </c>
      <c r="M2011">
        <v>405</v>
      </c>
      <c r="N2011">
        <v>30</v>
      </c>
      <c r="O2011" t="s">
        <v>3450</v>
      </c>
      <c r="P2011" s="1" t="b">
        <f>NOT(OR(Table1[[#This Row],[State]]="Other Foreign Countries", Table1[[#This Row],[State]]="Unknown", Table1[[#This Row],[State]]="Puerto Rico all counties"))</f>
        <v>1</v>
      </c>
    </row>
    <row r="2012" spans="1:16" x14ac:dyDescent="0.25">
      <c r="A2012">
        <v>47129</v>
      </c>
      <c r="B2012" t="s">
        <v>3951</v>
      </c>
      <c r="C2012" t="s">
        <v>118</v>
      </c>
      <c r="D2012">
        <v>627</v>
      </c>
      <c r="E2012">
        <v>146</v>
      </c>
      <c r="F2012">
        <v>71</v>
      </c>
      <c r="G2012">
        <v>82</v>
      </c>
      <c r="H2012">
        <v>157</v>
      </c>
      <c r="I2012">
        <v>171</v>
      </c>
      <c r="J2012">
        <v>136</v>
      </c>
      <c r="K2012">
        <v>206</v>
      </c>
      <c r="L2012">
        <v>285</v>
      </c>
      <c r="M2012">
        <v>577</v>
      </c>
      <c r="N2012">
        <v>50</v>
      </c>
      <c r="O2012" t="s">
        <v>4033</v>
      </c>
      <c r="P2012" s="1" t="b">
        <f>NOT(OR(Table1[[#This Row],[State]]="Other Foreign Countries", Table1[[#This Row],[State]]="Unknown", Table1[[#This Row],[State]]="Puerto Rico all counties"))</f>
        <v>1</v>
      </c>
    </row>
    <row r="2013" spans="1:16" x14ac:dyDescent="0.25">
      <c r="A2013">
        <v>49029</v>
      </c>
      <c r="B2013" t="s">
        <v>4486</v>
      </c>
      <c r="C2013" t="s">
        <v>118</v>
      </c>
      <c r="D2013">
        <v>264</v>
      </c>
      <c r="E2013">
        <v>45</v>
      </c>
      <c r="F2013">
        <v>33</v>
      </c>
      <c r="G2013">
        <v>39</v>
      </c>
      <c r="H2013">
        <v>75</v>
      </c>
      <c r="I2013">
        <v>72</v>
      </c>
      <c r="J2013">
        <v>55</v>
      </c>
      <c r="K2013">
        <v>129</v>
      </c>
      <c r="L2013">
        <v>80</v>
      </c>
      <c r="M2013">
        <v>239</v>
      </c>
      <c r="N2013">
        <v>25</v>
      </c>
      <c r="O2013" t="s">
        <v>4508</v>
      </c>
      <c r="P2013" s="1" t="b">
        <f>NOT(OR(Table1[[#This Row],[State]]="Other Foreign Countries", Table1[[#This Row],[State]]="Unknown", Table1[[#This Row],[State]]="Puerto Rico all counties"))</f>
        <v>1</v>
      </c>
    </row>
    <row r="2014" spans="1:16" x14ac:dyDescent="0.25">
      <c r="A2014">
        <v>54065</v>
      </c>
      <c r="B2014" t="s">
        <v>4833</v>
      </c>
      <c r="C2014" t="s">
        <v>118</v>
      </c>
      <c r="D2014">
        <v>531</v>
      </c>
      <c r="E2014">
        <v>106</v>
      </c>
      <c r="F2014">
        <v>45</v>
      </c>
      <c r="G2014">
        <v>69</v>
      </c>
      <c r="H2014">
        <v>159</v>
      </c>
      <c r="I2014">
        <v>152</v>
      </c>
      <c r="J2014">
        <v>122</v>
      </c>
      <c r="K2014">
        <v>191</v>
      </c>
      <c r="L2014">
        <v>218</v>
      </c>
      <c r="M2014">
        <v>482</v>
      </c>
      <c r="N2014">
        <v>49</v>
      </c>
      <c r="O2014" t="s">
        <v>4875</v>
      </c>
      <c r="P2014" s="1" t="b">
        <f>NOT(OR(Table1[[#This Row],[State]]="Other Foreign Countries", Table1[[#This Row],[State]]="Unknown", Table1[[#This Row],[State]]="Puerto Rico all counties"))</f>
        <v>1</v>
      </c>
    </row>
    <row r="2015" spans="1:16" x14ac:dyDescent="0.25">
      <c r="A2015">
        <v>31123</v>
      </c>
      <c r="B2015" t="s">
        <v>2758</v>
      </c>
      <c r="C2015" t="s">
        <v>2848</v>
      </c>
      <c r="D2015">
        <v>139</v>
      </c>
      <c r="E2015">
        <v>53</v>
      </c>
      <c r="F2015">
        <v>14</v>
      </c>
      <c r="G2015">
        <v>18</v>
      </c>
      <c r="H2015">
        <v>33</v>
      </c>
      <c r="I2015">
        <v>21</v>
      </c>
      <c r="J2015">
        <v>26</v>
      </c>
      <c r="K2015">
        <v>36</v>
      </c>
      <c r="L2015">
        <v>77</v>
      </c>
      <c r="M2015">
        <v>127</v>
      </c>
      <c r="N2015">
        <v>12</v>
      </c>
      <c r="O2015" t="s">
        <v>2849</v>
      </c>
      <c r="P2015" s="1" t="b">
        <f>NOT(OR(Table1[[#This Row],[State]]="Other Foreign Countries", Table1[[#This Row],[State]]="Unknown", Table1[[#This Row],[State]]="Puerto Rico all counties"))</f>
        <v>1</v>
      </c>
    </row>
    <row r="2016" spans="1:16" x14ac:dyDescent="0.25">
      <c r="A2016">
        <v>20127</v>
      </c>
      <c r="B2016" t="s">
        <v>1543</v>
      </c>
      <c r="C2016" t="s">
        <v>1640</v>
      </c>
      <c r="D2016">
        <v>191</v>
      </c>
      <c r="E2016">
        <v>28</v>
      </c>
      <c r="F2016">
        <v>20</v>
      </c>
      <c r="G2016">
        <v>24</v>
      </c>
      <c r="H2016">
        <v>65</v>
      </c>
      <c r="I2016">
        <v>54</v>
      </c>
      <c r="J2016">
        <v>46</v>
      </c>
      <c r="K2016">
        <v>69</v>
      </c>
      <c r="L2016">
        <v>76</v>
      </c>
      <c r="M2016">
        <v>167</v>
      </c>
      <c r="N2016">
        <v>24</v>
      </c>
      <c r="O2016" t="s">
        <v>1641</v>
      </c>
      <c r="P2016" s="1" t="b">
        <f>NOT(OR(Table1[[#This Row],[State]]="Other Foreign Countries", Table1[[#This Row],[State]]="Unknown", Table1[[#This Row],[State]]="Puerto Rico all counties"))</f>
        <v>1</v>
      </c>
    </row>
    <row r="2017" spans="1:16" x14ac:dyDescent="0.25">
      <c r="A2017">
        <v>34027</v>
      </c>
      <c r="B2017" t="s">
        <v>2938</v>
      </c>
      <c r="C2017" t="s">
        <v>1640</v>
      </c>
      <c r="D2017">
        <v>3053</v>
      </c>
      <c r="E2017">
        <v>693</v>
      </c>
      <c r="F2017">
        <v>304</v>
      </c>
      <c r="G2017">
        <v>329</v>
      </c>
      <c r="H2017">
        <v>830</v>
      </c>
      <c r="I2017">
        <v>897</v>
      </c>
      <c r="J2017" s="1">
        <v>1092</v>
      </c>
      <c r="K2017">
        <v>713</v>
      </c>
      <c r="L2017" s="1">
        <v>1248</v>
      </c>
      <c r="M2017" s="1">
        <v>2827</v>
      </c>
      <c r="N2017">
        <v>226</v>
      </c>
      <c r="O2017" t="s">
        <v>2960</v>
      </c>
      <c r="P2017" s="1" t="b">
        <f>NOT(OR(Table1[[#This Row],[State]]="Other Foreign Countries", Table1[[#This Row],[State]]="Unknown", Table1[[#This Row],[State]]="Puerto Rico all counties"))</f>
        <v>1</v>
      </c>
    </row>
    <row r="2018" spans="1:16" x14ac:dyDescent="0.25">
      <c r="A2018">
        <v>48343</v>
      </c>
      <c r="B2018" t="s">
        <v>2654</v>
      </c>
      <c r="C2018" t="s">
        <v>1640</v>
      </c>
      <c r="D2018">
        <v>302</v>
      </c>
      <c r="E2018">
        <v>52</v>
      </c>
      <c r="F2018">
        <v>29</v>
      </c>
      <c r="G2018">
        <v>33</v>
      </c>
      <c r="H2018">
        <v>95</v>
      </c>
      <c r="I2018">
        <v>93</v>
      </c>
      <c r="J2018">
        <v>68</v>
      </c>
      <c r="K2018">
        <v>99</v>
      </c>
      <c r="L2018">
        <v>135</v>
      </c>
      <c r="M2018">
        <v>277</v>
      </c>
      <c r="N2018">
        <v>25</v>
      </c>
      <c r="O2018" t="s">
        <v>4346</v>
      </c>
      <c r="P2018" s="1" t="b">
        <f>NOT(OR(Table1[[#This Row],[State]]="Other Foreign Countries", Table1[[#This Row],[State]]="Unknown", Table1[[#This Row],[State]]="Puerto Rico all counties"))</f>
        <v>1</v>
      </c>
    </row>
    <row r="2019" spans="1:16" x14ac:dyDescent="0.25">
      <c r="A2019">
        <v>27097</v>
      </c>
      <c r="B2019" t="s">
        <v>2245</v>
      </c>
      <c r="C2019" t="s">
        <v>2325</v>
      </c>
      <c r="D2019">
        <v>1398</v>
      </c>
      <c r="E2019">
        <v>548</v>
      </c>
      <c r="F2019">
        <v>175</v>
      </c>
      <c r="G2019">
        <v>140</v>
      </c>
      <c r="H2019">
        <v>299</v>
      </c>
      <c r="I2019">
        <v>236</v>
      </c>
      <c r="J2019">
        <v>223</v>
      </c>
      <c r="K2019">
        <v>355</v>
      </c>
      <c r="L2019">
        <v>820</v>
      </c>
      <c r="M2019" s="1">
        <v>1275</v>
      </c>
      <c r="N2019">
        <v>123</v>
      </c>
      <c r="O2019" t="s">
        <v>2326</v>
      </c>
      <c r="P2019" s="1" t="b">
        <f>NOT(OR(Table1[[#This Row],[State]]="Other Foreign Countries", Table1[[#This Row],[State]]="Unknown", Table1[[#This Row],[State]]="Puerto Rico all counties"))</f>
        <v>1</v>
      </c>
    </row>
    <row r="2020" spans="1:16" x14ac:dyDescent="0.25">
      <c r="A2020">
        <v>39117</v>
      </c>
      <c r="B2020" t="s">
        <v>1343</v>
      </c>
      <c r="C2020" t="s">
        <v>3451</v>
      </c>
      <c r="D2020">
        <v>729</v>
      </c>
      <c r="E2020">
        <v>188</v>
      </c>
      <c r="F2020">
        <v>104</v>
      </c>
      <c r="G2020">
        <v>92</v>
      </c>
      <c r="H2020">
        <v>189</v>
      </c>
      <c r="I2020">
        <v>156</v>
      </c>
      <c r="J2020">
        <v>201</v>
      </c>
      <c r="K2020">
        <v>236</v>
      </c>
      <c r="L2020">
        <v>292</v>
      </c>
      <c r="M2020">
        <v>674</v>
      </c>
      <c r="N2020">
        <v>55</v>
      </c>
      <c r="O2020" t="s">
        <v>3452</v>
      </c>
      <c r="P2020" s="1" t="b">
        <f>NOT(OR(Table1[[#This Row],[State]]="Other Foreign Countries", Table1[[#This Row],[State]]="Unknown", Table1[[#This Row],[State]]="Puerto Rico all counties"))</f>
        <v>1</v>
      </c>
    </row>
    <row r="2021" spans="1:16" x14ac:dyDescent="0.25">
      <c r="A2021">
        <v>41049</v>
      </c>
      <c r="B2021" t="s">
        <v>2607</v>
      </c>
      <c r="C2021" t="s">
        <v>3451</v>
      </c>
      <c r="D2021">
        <v>265</v>
      </c>
      <c r="E2021">
        <v>59</v>
      </c>
      <c r="F2021">
        <v>42</v>
      </c>
      <c r="G2021">
        <v>27</v>
      </c>
      <c r="H2021">
        <v>82</v>
      </c>
      <c r="I2021">
        <v>55</v>
      </c>
      <c r="J2021">
        <v>64</v>
      </c>
      <c r="K2021">
        <v>62</v>
      </c>
      <c r="L2021">
        <v>139</v>
      </c>
      <c r="M2021">
        <v>242</v>
      </c>
      <c r="N2021">
        <v>23</v>
      </c>
      <c r="O2021" t="s">
        <v>3647</v>
      </c>
      <c r="P2021" s="1" t="b">
        <f>NOT(OR(Table1[[#This Row],[State]]="Other Foreign Countries", Table1[[#This Row],[State]]="Unknown", Table1[[#This Row],[State]]="Puerto Rico all counties"))</f>
        <v>1</v>
      </c>
    </row>
    <row r="2022" spans="1:16" x14ac:dyDescent="0.25">
      <c r="A2022">
        <v>20129</v>
      </c>
      <c r="B2022" t="s">
        <v>1543</v>
      </c>
      <c r="C2022" t="s">
        <v>1642</v>
      </c>
      <c r="D2022">
        <v>27</v>
      </c>
      <c r="L2022">
        <v>15</v>
      </c>
      <c r="O2022" t="s">
        <v>1643</v>
      </c>
      <c r="P2022" s="1" t="b">
        <f>NOT(OR(Table1[[#This Row],[State]]="Other Foreign Countries", Table1[[#This Row],[State]]="Unknown", Table1[[#This Row],[State]]="Puerto Rico all counties"))</f>
        <v>1</v>
      </c>
    </row>
    <row r="2023" spans="1:16" x14ac:dyDescent="0.25">
      <c r="A2023">
        <v>38059</v>
      </c>
      <c r="B2023" t="s">
        <v>3286</v>
      </c>
      <c r="C2023" t="s">
        <v>1642</v>
      </c>
      <c r="D2023">
        <v>646</v>
      </c>
      <c r="E2023">
        <v>178</v>
      </c>
      <c r="F2023">
        <v>85</v>
      </c>
      <c r="G2023">
        <v>87</v>
      </c>
      <c r="H2023">
        <v>187</v>
      </c>
      <c r="I2023">
        <v>109</v>
      </c>
      <c r="J2023">
        <v>159</v>
      </c>
      <c r="K2023">
        <v>189</v>
      </c>
      <c r="L2023">
        <v>298</v>
      </c>
      <c r="M2023">
        <v>602</v>
      </c>
      <c r="N2023">
        <v>44</v>
      </c>
      <c r="O2023" t="s">
        <v>3334</v>
      </c>
      <c r="P2023" s="1" t="b">
        <f>NOT(OR(Table1[[#This Row],[State]]="Other Foreign Countries", Table1[[#This Row],[State]]="Unknown", Table1[[#This Row],[State]]="Puerto Rico all counties"))</f>
        <v>1</v>
      </c>
    </row>
    <row r="2024" spans="1:16" x14ac:dyDescent="0.25">
      <c r="A2024">
        <v>48345</v>
      </c>
      <c r="B2024" t="s">
        <v>2654</v>
      </c>
      <c r="C2024" t="s">
        <v>4347</v>
      </c>
      <c r="D2024">
        <v>20</v>
      </c>
      <c r="O2024" t="s">
        <v>4348</v>
      </c>
      <c r="P2024" s="1" t="b">
        <f>NOT(OR(Table1[[#This Row],[State]]="Other Foreign Countries", Table1[[#This Row],[State]]="Unknown", Table1[[#This Row],[State]]="Puerto Rico all counties"))</f>
        <v>1</v>
      </c>
    </row>
    <row r="2025" spans="1:16" x14ac:dyDescent="0.25">
      <c r="A2025">
        <v>17139</v>
      </c>
      <c r="B2025" t="s">
        <v>1109</v>
      </c>
      <c r="C2025" t="s">
        <v>1215</v>
      </c>
      <c r="D2025">
        <v>181</v>
      </c>
      <c r="E2025">
        <v>21</v>
      </c>
      <c r="F2025">
        <v>15</v>
      </c>
      <c r="G2025">
        <v>22</v>
      </c>
      <c r="H2025">
        <v>55</v>
      </c>
      <c r="I2025">
        <v>68</v>
      </c>
      <c r="J2025">
        <v>56</v>
      </c>
      <c r="K2025">
        <v>37</v>
      </c>
      <c r="L2025">
        <v>88</v>
      </c>
      <c r="M2025">
        <v>161</v>
      </c>
      <c r="N2025">
        <v>20</v>
      </c>
      <c r="O2025" t="s">
        <v>1216</v>
      </c>
      <c r="P2025" s="1" t="b">
        <f>NOT(OR(Table1[[#This Row],[State]]="Other Foreign Countries", Table1[[#This Row],[State]]="Unknown", Table1[[#This Row],[State]]="Puerto Rico all counties"))</f>
        <v>1</v>
      </c>
    </row>
    <row r="2026" spans="1:16" x14ac:dyDescent="0.25">
      <c r="A2026">
        <v>38061</v>
      </c>
      <c r="B2026" t="s">
        <v>3286</v>
      </c>
      <c r="C2026" t="s">
        <v>3335</v>
      </c>
      <c r="D2026">
        <v>132</v>
      </c>
      <c r="E2026">
        <v>36</v>
      </c>
      <c r="F2026">
        <v>20</v>
      </c>
      <c r="G2026">
        <v>24</v>
      </c>
      <c r="H2026">
        <v>28</v>
      </c>
      <c r="I2026">
        <v>24</v>
      </c>
      <c r="J2026">
        <v>34</v>
      </c>
      <c r="K2026">
        <v>41</v>
      </c>
      <c r="L2026">
        <v>57</v>
      </c>
      <c r="M2026">
        <v>116</v>
      </c>
      <c r="N2026">
        <v>16</v>
      </c>
      <c r="O2026" t="s">
        <v>3336</v>
      </c>
      <c r="P2026" s="1" t="b">
        <f>NOT(OR(Table1[[#This Row],[State]]="Other Foreign Countries", Table1[[#This Row],[State]]="Unknown", Table1[[#This Row],[State]]="Puerto Rico all counties"))</f>
        <v>1</v>
      </c>
    </row>
    <row r="2027" spans="1:16" x14ac:dyDescent="0.25">
      <c r="A2027">
        <v>27099</v>
      </c>
      <c r="B2027" t="s">
        <v>2245</v>
      </c>
      <c r="C2027" t="s">
        <v>2327</v>
      </c>
      <c r="D2027">
        <v>752</v>
      </c>
      <c r="E2027">
        <v>320</v>
      </c>
      <c r="F2027">
        <v>108</v>
      </c>
      <c r="G2027">
        <v>77</v>
      </c>
      <c r="H2027">
        <v>148</v>
      </c>
      <c r="I2027">
        <v>99</v>
      </c>
      <c r="J2027">
        <v>126</v>
      </c>
      <c r="K2027">
        <v>153</v>
      </c>
      <c r="L2027">
        <v>473</v>
      </c>
      <c r="M2027">
        <v>700</v>
      </c>
      <c r="N2027">
        <v>48</v>
      </c>
      <c r="O2027" t="s">
        <v>2328</v>
      </c>
      <c r="P2027" s="1" t="b">
        <f>NOT(OR(Table1[[#This Row],[State]]="Other Foreign Countries", Table1[[#This Row],[State]]="Unknown", Table1[[#This Row],[State]]="Puerto Rico all counties"))</f>
        <v>1</v>
      </c>
    </row>
    <row r="2028" spans="1:16" x14ac:dyDescent="0.25">
      <c r="A2028">
        <v>21177</v>
      </c>
      <c r="B2028" t="s">
        <v>1716</v>
      </c>
      <c r="C2028" t="s">
        <v>1845</v>
      </c>
      <c r="D2028">
        <v>489</v>
      </c>
      <c r="E2028">
        <v>79</v>
      </c>
      <c r="F2028">
        <v>47</v>
      </c>
      <c r="G2028">
        <v>68</v>
      </c>
      <c r="H2028">
        <v>146</v>
      </c>
      <c r="I2028">
        <v>149</v>
      </c>
      <c r="J2028">
        <v>114</v>
      </c>
      <c r="K2028">
        <v>156</v>
      </c>
      <c r="L2028">
        <v>219</v>
      </c>
      <c r="M2028">
        <v>456</v>
      </c>
      <c r="N2028">
        <v>33</v>
      </c>
      <c r="O2028" t="s">
        <v>1846</v>
      </c>
      <c r="P2028" s="1" t="b">
        <f>NOT(OR(Table1[[#This Row],[State]]="Other Foreign Countries", Table1[[#This Row],[State]]="Unknown", Table1[[#This Row],[State]]="Puerto Rico all counties"))</f>
        <v>1</v>
      </c>
    </row>
    <row r="2029" spans="1:16" x14ac:dyDescent="0.25">
      <c r="A2029">
        <v>41051</v>
      </c>
      <c r="B2029" t="s">
        <v>2607</v>
      </c>
      <c r="C2029" t="s">
        <v>3648</v>
      </c>
      <c r="D2029">
        <v>8939</v>
      </c>
      <c r="E2029" s="1">
        <v>2066</v>
      </c>
      <c r="F2029" s="1">
        <v>1253</v>
      </c>
      <c r="G2029" s="1">
        <v>1237</v>
      </c>
      <c r="H2029" s="1">
        <v>2684</v>
      </c>
      <c r="I2029" s="1">
        <v>1699</v>
      </c>
      <c r="J2029" s="1">
        <v>3128</v>
      </c>
      <c r="K2029" s="1">
        <v>2557</v>
      </c>
      <c r="L2029" s="1">
        <v>3254</v>
      </c>
      <c r="M2029" s="1">
        <v>7724</v>
      </c>
      <c r="N2029" s="1">
        <v>1214</v>
      </c>
      <c r="O2029" t="s">
        <v>3649</v>
      </c>
      <c r="P2029" s="1" t="b">
        <f>NOT(OR(Table1[[#This Row],[State]]="Other Foreign Countries", Table1[[#This Row],[State]]="Unknown", Table1[[#This Row],[State]]="Puerto Rico all counties"))</f>
        <v>1</v>
      </c>
    </row>
    <row r="2030" spans="1:16" x14ac:dyDescent="0.25">
      <c r="A2030">
        <v>13213</v>
      </c>
      <c r="B2030" t="s">
        <v>754</v>
      </c>
      <c r="C2030" t="s">
        <v>928</v>
      </c>
      <c r="D2030">
        <v>564</v>
      </c>
      <c r="E2030">
        <v>154</v>
      </c>
      <c r="F2030">
        <v>49</v>
      </c>
      <c r="G2030">
        <v>71</v>
      </c>
      <c r="H2030">
        <v>144</v>
      </c>
      <c r="I2030">
        <v>146</v>
      </c>
      <c r="J2030">
        <v>158</v>
      </c>
      <c r="K2030">
        <v>149</v>
      </c>
      <c r="L2030">
        <v>257</v>
      </c>
      <c r="M2030">
        <v>517</v>
      </c>
      <c r="N2030">
        <v>47</v>
      </c>
      <c r="O2030" t="s">
        <v>929</v>
      </c>
      <c r="P2030" s="1" t="b">
        <f>NOT(OR(Table1[[#This Row],[State]]="Other Foreign Countries", Table1[[#This Row],[State]]="Unknown", Table1[[#This Row],[State]]="Puerto Rico all counties"))</f>
        <v>1</v>
      </c>
    </row>
    <row r="2031" spans="1:16" x14ac:dyDescent="0.25">
      <c r="A2031">
        <v>27101</v>
      </c>
      <c r="B2031" t="s">
        <v>2245</v>
      </c>
      <c r="C2031" t="s">
        <v>928</v>
      </c>
      <c r="D2031">
        <v>195</v>
      </c>
      <c r="E2031">
        <v>71</v>
      </c>
      <c r="F2031">
        <v>35</v>
      </c>
      <c r="G2031">
        <v>27</v>
      </c>
      <c r="H2031">
        <v>37</v>
      </c>
      <c r="I2031">
        <v>25</v>
      </c>
      <c r="J2031">
        <v>29</v>
      </c>
      <c r="K2031">
        <v>36</v>
      </c>
      <c r="L2031">
        <v>130</v>
      </c>
      <c r="O2031" t="s">
        <v>2329</v>
      </c>
      <c r="P2031" s="1" t="b">
        <f>NOT(OR(Table1[[#This Row],[State]]="Other Foreign Countries", Table1[[#This Row],[State]]="Unknown", Table1[[#This Row],[State]]="Puerto Rico all counties"))</f>
        <v>1</v>
      </c>
    </row>
    <row r="2032" spans="1:16" x14ac:dyDescent="0.25">
      <c r="A2032">
        <v>40099</v>
      </c>
      <c r="B2032" t="s">
        <v>3495</v>
      </c>
      <c r="C2032" t="s">
        <v>928</v>
      </c>
      <c r="D2032">
        <v>433</v>
      </c>
      <c r="E2032">
        <v>64</v>
      </c>
      <c r="F2032">
        <v>27</v>
      </c>
      <c r="G2032">
        <v>41</v>
      </c>
      <c r="H2032">
        <v>150</v>
      </c>
      <c r="I2032">
        <v>151</v>
      </c>
      <c r="J2032">
        <v>82</v>
      </c>
      <c r="K2032">
        <v>141</v>
      </c>
      <c r="L2032">
        <v>210</v>
      </c>
      <c r="M2032">
        <v>398</v>
      </c>
      <c r="N2032">
        <v>35</v>
      </c>
      <c r="O2032" t="s">
        <v>3569</v>
      </c>
      <c r="P2032" s="1" t="b">
        <f>NOT(OR(Table1[[#This Row],[State]]="Other Foreign Countries", Table1[[#This Row],[State]]="Unknown", Table1[[#This Row],[State]]="Puerto Rico all counties"))</f>
        <v>1</v>
      </c>
    </row>
    <row r="2033" spans="1:16" x14ac:dyDescent="0.25">
      <c r="A2033">
        <v>19139</v>
      </c>
      <c r="B2033" t="s">
        <v>1399</v>
      </c>
      <c r="C2033" t="s">
        <v>1496</v>
      </c>
      <c r="D2033">
        <v>567</v>
      </c>
      <c r="E2033">
        <v>142</v>
      </c>
      <c r="F2033">
        <v>73</v>
      </c>
      <c r="G2033">
        <v>68</v>
      </c>
      <c r="H2033">
        <v>160</v>
      </c>
      <c r="I2033">
        <v>124</v>
      </c>
      <c r="J2033">
        <v>140</v>
      </c>
      <c r="K2033">
        <v>193</v>
      </c>
      <c r="L2033">
        <v>234</v>
      </c>
      <c r="M2033">
        <v>528</v>
      </c>
      <c r="N2033">
        <v>39</v>
      </c>
      <c r="O2033" t="s">
        <v>1497</v>
      </c>
      <c r="P2033" s="1" t="b">
        <f>NOT(OR(Table1[[#This Row],[State]]="Other Foreign Countries", Table1[[#This Row],[State]]="Unknown", Table1[[#This Row],[State]]="Puerto Rico all counties"))</f>
        <v>1</v>
      </c>
    </row>
    <row r="2034" spans="1:16" x14ac:dyDescent="0.25">
      <c r="A2034">
        <v>13215</v>
      </c>
      <c r="B2034" t="s">
        <v>754</v>
      </c>
      <c r="C2034" t="s">
        <v>930</v>
      </c>
      <c r="D2034">
        <v>11800</v>
      </c>
      <c r="E2034" s="1">
        <v>1280</v>
      </c>
      <c r="F2034">
        <v>806</v>
      </c>
      <c r="G2034" s="1">
        <v>1020</v>
      </c>
      <c r="H2034" s="1">
        <v>3440</v>
      </c>
      <c r="I2034" s="1">
        <v>5254</v>
      </c>
      <c r="J2034" s="1">
        <v>3096</v>
      </c>
      <c r="K2034" s="1">
        <v>4585</v>
      </c>
      <c r="L2034" s="1">
        <v>4119</v>
      </c>
      <c r="M2034" s="1">
        <v>9371</v>
      </c>
      <c r="N2034" s="1">
        <v>2427</v>
      </c>
      <c r="O2034" t="s">
        <v>931</v>
      </c>
      <c r="P2034" s="1" t="b">
        <f>NOT(OR(Table1[[#This Row],[State]]="Other Foreign Countries", Table1[[#This Row],[State]]="Unknown", Table1[[#This Row],[State]]="Puerto Rico all counties"))</f>
        <v>1</v>
      </c>
    </row>
    <row r="2035" spans="1:16" x14ac:dyDescent="0.25">
      <c r="A2035">
        <v>26121</v>
      </c>
      <c r="B2035" t="s">
        <v>2099</v>
      </c>
      <c r="C2035" t="s">
        <v>2205</v>
      </c>
      <c r="D2035">
        <v>3107</v>
      </c>
      <c r="E2035">
        <v>611</v>
      </c>
      <c r="F2035">
        <v>337</v>
      </c>
      <c r="G2035">
        <v>373</v>
      </c>
      <c r="H2035">
        <v>934</v>
      </c>
      <c r="I2035">
        <v>852</v>
      </c>
      <c r="J2035">
        <v>799</v>
      </c>
      <c r="K2035">
        <v>951</v>
      </c>
      <c r="L2035" s="1">
        <v>1357</v>
      </c>
      <c r="M2035" s="1">
        <v>2790</v>
      </c>
      <c r="N2035">
        <v>317</v>
      </c>
      <c r="O2035" t="s">
        <v>2206</v>
      </c>
      <c r="P2035" s="1" t="b">
        <f>NOT(OR(Table1[[#This Row],[State]]="Other Foreign Countries", Table1[[#This Row],[State]]="Unknown", Table1[[#This Row],[State]]="Puerto Rico all counties"))</f>
        <v>1</v>
      </c>
    </row>
    <row r="2036" spans="1:16" x14ac:dyDescent="0.25">
      <c r="A2036">
        <v>39119</v>
      </c>
      <c r="B2036" t="s">
        <v>1343</v>
      </c>
      <c r="C2036" t="s">
        <v>3453</v>
      </c>
      <c r="D2036">
        <v>1522</v>
      </c>
      <c r="E2036">
        <v>402</v>
      </c>
      <c r="F2036">
        <v>201</v>
      </c>
      <c r="G2036">
        <v>191</v>
      </c>
      <c r="H2036">
        <v>436</v>
      </c>
      <c r="I2036">
        <v>292</v>
      </c>
      <c r="J2036">
        <v>426</v>
      </c>
      <c r="K2036">
        <v>444</v>
      </c>
      <c r="L2036">
        <v>652</v>
      </c>
      <c r="M2036" s="1">
        <v>1393</v>
      </c>
      <c r="N2036">
        <v>129</v>
      </c>
      <c r="O2036" t="s">
        <v>3454</v>
      </c>
      <c r="P2036" s="1" t="b">
        <f>NOT(OR(Table1[[#This Row],[State]]="Other Foreign Countries", Table1[[#This Row],[State]]="Unknown", Table1[[#This Row],[State]]="Puerto Rico all counties"))</f>
        <v>1</v>
      </c>
    </row>
    <row r="2037" spans="1:16" x14ac:dyDescent="0.25">
      <c r="A2037">
        <v>40101</v>
      </c>
      <c r="B2037" t="s">
        <v>3495</v>
      </c>
      <c r="C2037" t="s">
        <v>3570</v>
      </c>
      <c r="D2037">
        <v>2440</v>
      </c>
      <c r="E2037">
        <v>471</v>
      </c>
      <c r="F2037">
        <v>262</v>
      </c>
      <c r="G2037">
        <v>261</v>
      </c>
      <c r="H2037">
        <v>803</v>
      </c>
      <c r="I2037">
        <v>643</v>
      </c>
      <c r="J2037">
        <v>510</v>
      </c>
      <c r="K2037">
        <v>727</v>
      </c>
      <c r="L2037" s="1">
        <v>1203</v>
      </c>
      <c r="M2037" s="1">
        <v>2176</v>
      </c>
      <c r="N2037">
        <v>264</v>
      </c>
      <c r="O2037" t="s">
        <v>3571</v>
      </c>
      <c r="P2037" s="1" t="b">
        <f>NOT(OR(Table1[[#This Row],[State]]="Other Foreign Countries", Table1[[#This Row],[State]]="Unknown", Table1[[#This Row],[State]]="Puerto Rico all counties"))</f>
        <v>1</v>
      </c>
    </row>
    <row r="2038" spans="1:16" x14ac:dyDescent="0.25">
      <c r="A2038">
        <v>30065</v>
      </c>
      <c r="B2038" t="s">
        <v>2665</v>
      </c>
      <c r="C2038" t="s">
        <v>2718</v>
      </c>
      <c r="D2038">
        <v>233</v>
      </c>
      <c r="E2038">
        <v>41</v>
      </c>
      <c r="F2038">
        <v>35</v>
      </c>
      <c r="G2038">
        <v>37</v>
      </c>
      <c r="H2038">
        <v>74</v>
      </c>
      <c r="I2038">
        <v>46</v>
      </c>
      <c r="J2038">
        <v>48</v>
      </c>
      <c r="K2038">
        <v>69</v>
      </c>
      <c r="L2038">
        <v>116</v>
      </c>
      <c r="M2038">
        <v>209</v>
      </c>
      <c r="N2038">
        <v>24</v>
      </c>
      <c r="O2038" t="s">
        <v>2719</v>
      </c>
      <c r="P2038" s="1" t="b">
        <f>NOT(OR(Table1[[#This Row],[State]]="Other Foreign Countries", Table1[[#This Row],[State]]="Unknown", Table1[[#This Row],[State]]="Puerto Rico all counties"))</f>
        <v>1</v>
      </c>
    </row>
    <row r="2039" spans="1:16" x14ac:dyDescent="0.25">
      <c r="A2039">
        <v>48347</v>
      </c>
      <c r="B2039" t="s">
        <v>2654</v>
      </c>
      <c r="C2039" t="s">
        <v>4349</v>
      </c>
      <c r="D2039">
        <v>1143</v>
      </c>
      <c r="E2039">
        <v>207</v>
      </c>
      <c r="F2039">
        <v>114</v>
      </c>
      <c r="G2039">
        <v>127</v>
      </c>
      <c r="H2039">
        <v>368</v>
      </c>
      <c r="I2039">
        <v>327</v>
      </c>
      <c r="J2039">
        <v>327</v>
      </c>
      <c r="K2039">
        <v>335</v>
      </c>
      <c r="L2039">
        <v>481</v>
      </c>
      <c r="M2039" s="1">
        <v>1019</v>
      </c>
      <c r="N2039">
        <v>124</v>
      </c>
      <c r="O2039" t="s">
        <v>4350</v>
      </c>
      <c r="P2039" s="1" t="b">
        <f>NOT(OR(Table1[[#This Row],[State]]="Other Foreign Countries", Table1[[#This Row],[State]]="Unknown", Table1[[#This Row],[State]]="Puerto Rico all counties"))</f>
        <v>1</v>
      </c>
    </row>
    <row r="2040" spans="1:16" x14ac:dyDescent="0.25">
      <c r="A2040">
        <v>31125</v>
      </c>
      <c r="B2040" t="s">
        <v>2758</v>
      </c>
      <c r="C2040" t="s">
        <v>2850</v>
      </c>
      <c r="D2040">
        <v>103</v>
      </c>
      <c r="E2040">
        <v>49</v>
      </c>
      <c r="G2040">
        <v>16</v>
      </c>
      <c r="H2040">
        <v>20</v>
      </c>
      <c r="J2040">
        <v>16</v>
      </c>
      <c r="K2040">
        <v>13</v>
      </c>
      <c r="L2040">
        <v>74</v>
      </c>
      <c r="O2040" t="s">
        <v>2851</v>
      </c>
      <c r="P2040" s="1" t="b">
        <f>NOT(OR(Table1[[#This Row],[State]]="Other Foreign Countries", Table1[[#This Row],[State]]="Unknown", Table1[[#This Row],[State]]="Puerto Rico all counties"))</f>
        <v>1</v>
      </c>
    </row>
    <row r="2041" spans="1:16" x14ac:dyDescent="0.25">
      <c r="A2041">
        <v>25019</v>
      </c>
      <c r="B2041" t="s">
        <v>2073</v>
      </c>
      <c r="C2041" t="s">
        <v>2091</v>
      </c>
      <c r="D2041">
        <v>36</v>
      </c>
      <c r="E2041">
        <v>11</v>
      </c>
      <c r="I2041">
        <v>10</v>
      </c>
      <c r="L2041">
        <v>17</v>
      </c>
      <c r="O2041" t="s">
        <v>2092</v>
      </c>
      <c r="P2041" s="1" t="b">
        <f>NOT(OR(Table1[[#This Row],[State]]="Other Foreign Countries", Table1[[#This Row],[State]]="Unknown", Table1[[#This Row],[State]]="Puerto Rico all counties"))</f>
        <v>1</v>
      </c>
    </row>
    <row r="2042" spans="1:16" x14ac:dyDescent="0.25">
      <c r="A2042">
        <v>6055</v>
      </c>
      <c r="B2042" t="s">
        <v>374</v>
      </c>
      <c r="C2042" t="s">
        <v>429</v>
      </c>
      <c r="D2042">
        <v>2035</v>
      </c>
      <c r="E2042">
        <v>576</v>
      </c>
      <c r="F2042">
        <v>205</v>
      </c>
      <c r="G2042">
        <v>208</v>
      </c>
      <c r="H2042">
        <v>491</v>
      </c>
      <c r="I2042">
        <v>555</v>
      </c>
      <c r="J2042">
        <v>378</v>
      </c>
      <c r="K2042">
        <v>447</v>
      </c>
      <c r="L2042" s="1">
        <v>1210</v>
      </c>
      <c r="M2042" s="1">
        <v>1890</v>
      </c>
      <c r="N2042">
        <v>145</v>
      </c>
      <c r="O2042" t="s">
        <v>430</v>
      </c>
      <c r="P2042" s="1" t="b">
        <f>NOT(OR(Table1[[#This Row],[State]]="Other Foreign Countries", Table1[[#This Row],[State]]="Unknown", Table1[[#This Row],[State]]="Puerto Rico all counties"))</f>
        <v>1</v>
      </c>
    </row>
    <row r="2043" spans="1:16" x14ac:dyDescent="0.25">
      <c r="A2043">
        <v>37127</v>
      </c>
      <c r="B2043" t="s">
        <v>3121</v>
      </c>
      <c r="C2043" t="s">
        <v>3225</v>
      </c>
      <c r="D2043">
        <v>2642</v>
      </c>
      <c r="E2043">
        <v>444</v>
      </c>
      <c r="F2043">
        <v>215</v>
      </c>
      <c r="G2043">
        <v>280</v>
      </c>
      <c r="H2043">
        <v>852</v>
      </c>
      <c r="I2043">
        <v>851</v>
      </c>
      <c r="J2043">
        <v>533</v>
      </c>
      <c r="K2043">
        <v>923</v>
      </c>
      <c r="L2043" s="1">
        <v>1186</v>
      </c>
      <c r="M2043" s="1">
        <v>2283</v>
      </c>
      <c r="N2043">
        <v>358</v>
      </c>
      <c r="O2043" t="s">
        <v>3226</v>
      </c>
      <c r="P2043" s="1" t="b">
        <f>NOT(OR(Table1[[#This Row],[State]]="Other Foreign Countries", Table1[[#This Row],[State]]="Unknown", Table1[[#This Row],[State]]="Puerto Rico all counties"))</f>
        <v>1</v>
      </c>
    </row>
    <row r="2044" spans="1:16" x14ac:dyDescent="0.25">
      <c r="A2044">
        <v>12089</v>
      </c>
      <c r="B2044" t="s">
        <v>637</v>
      </c>
      <c r="C2044" t="s">
        <v>713</v>
      </c>
      <c r="D2044">
        <v>4419</v>
      </c>
      <c r="E2044">
        <v>757</v>
      </c>
      <c r="F2044">
        <v>432</v>
      </c>
      <c r="G2044">
        <v>498</v>
      </c>
      <c r="H2044" s="1">
        <v>1283</v>
      </c>
      <c r="I2044" s="1">
        <v>1449</v>
      </c>
      <c r="J2044" s="1">
        <v>1187</v>
      </c>
      <c r="K2044" s="1">
        <v>1781</v>
      </c>
      <c r="L2044" s="1">
        <v>1451</v>
      </c>
      <c r="M2044" s="1">
        <v>3835</v>
      </c>
      <c r="N2044">
        <v>584</v>
      </c>
      <c r="O2044" t="s">
        <v>714</v>
      </c>
      <c r="P2044" s="1" t="b">
        <f>NOT(OR(Table1[[#This Row],[State]]="Other Foreign Countries", Table1[[#This Row],[State]]="Unknown", Table1[[#This Row],[State]]="Puerto Rico all counties"))</f>
        <v>1</v>
      </c>
    </row>
    <row r="2045" spans="1:16" x14ac:dyDescent="0.25">
      <c r="A2045">
        <v>36059</v>
      </c>
      <c r="B2045" t="s">
        <v>3029</v>
      </c>
      <c r="C2045" t="s">
        <v>713</v>
      </c>
      <c r="D2045">
        <v>7346</v>
      </c>
      <c r="E2045" s="1">
        <v>1686</v>
      </c>
      <c r="F2045">
        <v>899</v>
      </c>
      <c r="G2045">
        <v>825</v>
      </c>
      <c r="H2045" s="1">
        <v>2016</v>
      </c>
      <c r="I2045" s="1">
        <v>1920</v>
      </c>
      <c r="J2045" s="1">
        <v>2203</v>
      </c>
      <c r="K2045" s="1">
        <v>1663</v>
      </c>
      <c r="L2045" s="1">
        <v>3480</v>
      </c>
      <c r="M2045" s="1">
        <v>6774</v>
      </c>
      <c r="N2045">
        <v>570</v>
      </c>
      <c r="O2045" t="s">
        <v>3070</v>
      </c>
      <c r="P2045" s="1" t="b">
        <f>NOT(OR(Table1[[#This Row],[State]]="Other Foreign Countries", Table1[[#This Row],[State]]="Unknown", Table1[[#This Row],[State]]="Puerto Rico all counties"))</f>
        <v>1</v>
      </c>
    </row>
    <row r="2046" spans="1:16" x14ac:dyDescent="0.25">
      <c r="A2046">
        <v>22069</v>
      </c>
      <c r="B2046" t="s">
        <v>1892</v>
      </c>
      <c r="C2046" t="s">
        <v>1950</v>
      </c>
      <c r="D2046">
        <v>702</v>
      </c>
      <c r="E2046">
        <v>99</v>
      </c>
      <c r="F2046">
        <v>73</v>
      </c>
      <c r="G2046">
        <v>90</v>
      </c>
      <c r="H2046">
        <v>241</v>
      </c>
      <c r="I2046">
        <v>199</v>
      </c>
      <c r="J2046">
        <v>153</v>
      </c>
      <c r="K2046">
        <v>231</v>
      </c>
      <c r="L2046">
        <v>318</v>
      </c>
      <c r="M2046">
        <v>638</v>
      </c>
      <c r="N2046">
        <v>64</v>
      </c>
      <c r="O2046" t="s">
        <v>1951</v>
      </c>
      <c r="P2046" s="1" t="b">
        <f>NOT(OR(Table1[[#This Row],[State]]="Other Foreign Countries", Table1[[#This Row],[State]]="Unknown", Table1[[#This Row],[State]]="Puerto Rico all counties"))</f>
        <v>1</v>
      </c>
    </row>
    <row r="2047" spans="1:16" x14ac:dyDescent="0.25">
      <c r="A2047">
        <v>56025</v>
      </c>
      <c r="B2047" t="s">
        <v>3117</v>
      </c>
      <c r="C2047" t="s">
        <v>5029</v>
      </c>
      <c r="D2047">
        <v>1808</v>
      </c>
      <c r="E2047">
        <v>405</v>
      </c>
      <c r="F2047">
        <v>219</v>
      </c>
      <c r="G2047">
        <v>231</v>
      </c>
      <c r="H2047">
        <v>496</v>
      </c>
      <c r="I2047">
        <v>457</v>
      </c>
      <c r="J2047">
        <v>570</v>
      </c>
      <c r="K2047">
        <v>560</v>
      </c>
      <c r="L2047">
        <v>678</v>
      </c>
      <c r="M2047" s="1">
        <v>1642</v>
      </c>
      <c r="N2047">
        <v>166</v>
      </c>
      <c r="O2047" t="s">
        <v>5030</v>
      </c>
      <c r="P2047" s="1" t="b">
        <f>NOT(OR(Table1[[#This Row],[State]]="Other Foreign Countries", Table1[[#This Row],[State]]="Unknown", Table1[[#This Row],[State]]="Puerto Rico all counties"))</f>
        <v>1</v>
      </c>
    </row>
    <row r="2048" spans="1:16" x14ac:dyDescent="0.25">
      <c r="A2048">
        <v>9140</v>
      </c>
      <c r="B2048" t="s">
        <v>609</v>
      </c>
      <c r="C2048" t="s">
        <v>616</v>
      </c>
      <c r="D2048">
        <v>4551</v>
      </c>
      <c r="E2048" s="1">
        <v>1150</v>
      </c>
      <c r="F2048">
        <v>579</v>
      </c>
      <c r="G2048">
        <v>564</v>
      </c>
      <c r="H2048" s="1">
        <v>1282</v>
      </c>
      <c r="I2048">
        <v>976</v>
      </c>
      <c r="J2048" s="1">
        <v>1507</v>
      </c>
      <c r="K2048" s="1">
        <v>1152</v>
      </c>
      <c r="L2048" s="1">
        <v>1892</v>
      </c>
      <c r="M2048" s="1">
        <v>4147</v>
      </c>
      <c r="N2048">
        <v>402</v>
      </c>
      <c r="O2048" t="s">
        <v>617</v>
      </c>
      <c r="P2048" s="1" t="b">
        <f>NOT(OR(Table1[[#This Row],[State]]="Other Foreign Countries", Table1[[#This Row],[State]]="Unknown", Table1[[#This Row],[State]]="Puerto Rico all counties"))</f>
        <v>1</v>
      </c>
    </row>
    <row r="2049" spans="1:16" x14ac:dyDescent="0.25">
      <c r="A2049">
        <v>4017</v>
      </c>
      <c r="B2049" t="s">
        <v>211</v>
      </c>
      <c r="C2049" t="s">
        <v>230</v>
      </c>
      <c r="D2049">
        <v>2121</v>
      </c>
      <c r="E2049">
        <v>462</v>
      </c>
      <c r="F2049">
        <v>210</v>
      </c>
      <c r="G2049">
        <v>251</v>
      </c>
      <c r="H2049">
        <v>657</v>
      </c>
      <c r="I2049">
        <v>541</v>
      </c>
      <c r="J2049">
        <v>465</v>
      </c>
      <c r="K2049">
        <v>622</v>
      </c>
      <c r="L2049" s="1">
        <v>1034</v>
      </c>
      <c r="M2049" s="1">
        <v>1893</v>
      </c>
      <c r="N2049">
        <v>228</v>
      </c>
      <c r="O2049" t="s">
        <v>231</v>
      </c>
      <c r="P2049" s="1" t="b">
        <f>NOT(OR(Table1[[#This Row],[State]]="Other Foreign Countries", Table1[[#This Row],[State]]="Unknown", Table1[[#This Row],[State]]="Puerto Rico all counties"))</f>
        <v>1</v>
      </c>
    </row>
    <row r="2050" spans="1:16" x14ac:dyDescent="0.25">
      <c r="A2050">
        <v>48349</v>
      </c>
      <c r="B2050" t="s">
        <v>2654</v>
      </c>
      <c r="C2050" t="s">
        <v>4351</v>
      </c>
      <c r="D2050">
        <v>1138</v>
      </c>
      <c r="E2050">
        <v>200</v>
      </c>
      <c r="F2050">
        <v>128</v>
      </c>
      <c r="G2050">
        <v>137</v>
      </c>
      <c r="H2050">
        <v>364</v>
      </c>
      <c r="I2050">
        <v>309</v>
      </c>
      <c r="J2050">
        <v>295</v>
      </c>
      <c r="K2050">
        <v>326</v>
      </c>
      <c r="L2050">
        <v>517</v>
      </c>
      <c r="M2050" s="1">
        <v>1049</v>
      </c>
      <c r="N2050">
        <v>89</v>
      </c>
      <c r="O2050" t="s">
        <v>4352</v>
      </c>
      <c r="P2050" s="1" t="b">
        <f>NOT(OR(Table1[[#This Row],[State]]="Other Foreign Countries", Table1[[#This Row],[State]]="Unknown", Table1[[#This Row],[State]]="Puerto Rico all counties"))</f>
        <v>1</v>
      </c>
    </row>
    <row r="2051" spans="1:16" x14ac:dyDescent="0.25">
      <c r="A2051">
        <v>21179</v>
      </c>
      <c r="B2051" t="s">
        <v>1716</v>
      </c>
      <c r="C2051" t="s">
        <v>1847</v>
      </c>
      <c r="D2051">
        <v>997</v>
      </c>
      <c r="E2051">
        <v>242</v>
      </c>
      <c r="F2051">
        <v>113</v>
      </c>
      <c r="G2051">
        <v>136</v>
      </c>
      <c r="H2051">
        <v>278</v>
      </c>
      <c r="I2051">
        <v>228</v>
      </c>
      <c r="J2051">
        <v>224</v>
      </c>
      <c r="K2051">
        <v>350</v>
      </c>
      <c r="L2051">
        <v>423</v>
      </c>
      <c r="M2051">
        <v>916</v>
      </c>
      <c r="N2051">
        <v>81</v>
      </c>
      <c r="O2051" t="s">
        <v>1848</v>
      </c>
      <c r="P2051" s="1" t="b">
        <f>NOT(OR(Table1[[#This Row],[State]]="Other Foreign Countries", Table1[[#This Row],[State]]="Unknown", Table1[[#This Row],[State]]="Puerto Rico all counties"))</f>
        <v>1</v>
      </c>
    </row>
    <row r="2052" spans="1:16" x14ac:dyDescent="0.25">
      <c r="A2052">
        <v>38063</v>
      </c>
      <c r="B2052" t="s">
        <v>3286</v>
      </c>
      <c r="C2052" t="s">
        <v>1847</v>
      </c>
      <c r="D2052">
        <v>94</v>
      </c>
      <c r="E2052">
        <v>24</v>
      </c>
      <c r="F2052">
        <v>17</v>
      </c>
      <c r="G2052">
        <v>12</v>
      </c>
      <c r="H2052">
        <v>28</v>
      </c>
      <c r="I2052">
        <v>13</v>
      </c>
      <c r="L2052">
        <v>61</v>
      </c>
      <c r="M2052">
        <v>82</v>
      </c>
      <c r="N2052">
        <v>12</v>
      </c>
      <c r="O2052" t="s">
        <v>3337</v>
      </c>
      <c r="P2052" s="1" t="b">
        <f>NOT(OR(Table1[[#This Row],[State]]="Other Foreign Countries", Table1[[#This Row],[State]]="Unknown", Table1[[#This Row],[State]]="Puerto Rico all counties"))</f>
        <v>1</v>
      </c>
    </row>
    <row r="2053" spans="1:16" x14ac:dyDescent="0.25">
      <c r="A2053">
        <v>51125</v>
      </c>
      <c r="B2053" t="s">
        <v>4555</v>
      </c>
      <c r="C2053" t="s">
        <v>1847</v>
      </c>
      <c r="D2053">
        <v>319</v>
      </c>
      <c r="E2053">
        <v>72</v>
      </c>
      <c r="F2053">
        <v>52</v>
      </c>
      <c r="G2053">
        <v>36</v>
      </c>
      <c r="H2053">
        <v>78</v>
      </c>
      <c r="I2053">
        <v>81</v>
      </c>
      <c r="J2053">
        <v>57</v>
      </c>
      <c r="K2053">
        <v>95</v>
      </c>
      <c r="L2053">
        <v>167</v>
      </c>
      <c r="M2053">
        <v>289</v>
      </c>
      <c r="N2053">
        <v>30</v>
      </c>
      <c r="O2053" t="s">
        <v>4645</v>
      </c>
      <c r="P2053" s="1" t="b">
        <f>NOT(OR(Table1[[#This Row],[State]]="Other Foreign Countries", Table1[[#This Row],[State]]="Unknown", Table1[[#This Row],[State]]="Puerto Rico all counties"))</f>
        <v>1</v>
      </c>
    </row>
    <row r="2054" spans="1:16" x14ac:dyDescent="0.25">
      <c r="A2054">
        <v>20131</v>
      </c>
      <c r="B2054" t="s">
        <v>1543</v>
      </c>
      <c r="C2054" t="s">
        <v>1644</v>
      </c>
      <c r="D2054">
        <v>129</v>
      </c>
      <c r="E2054">
        <v>32</v>
      </c>
      <c r="F2054">
        <v>19</v>
      </c>
      <c r="G2054">
        <v>14</v>
      </c>
      <c r="H2054">
        <v>40</v>
      </c>
      <c r="I2054">
        <v>24</v>
      </c>
      <c r="J2054">
        <v>22</v>
      </c>
      <c r="K2054">
        <v>31</v>
      </c>
      <c r="L2054">
        <v>76</v>
      </c>
      <c r="O2054" t="s">
        <v>1645</v>
      </c>
      <c r="P2054" s="1" t="b">
        <f>NOT(OR(Table1[[#This Row],[State]]="Other Foreign Countries", Table1[[#This Row],[State]]="Unknown", Table1[[#This Row],[State]]="Puerto Rico all counties"))</f>
        <v>1</v>
      </c>
    </row>
    <row r="2055" spans="1:16" x14ac:dyDescent="0.25">
      <c r="A2055">
        <v>31127</v>
      </c>
      <c r="B2055" t="s">
        <v>2758</v>
      </c>
      <c r="C2055" t="s">
        <v>1644</v>
      </c>
      <c r="D2055">
        <v>171</v>
      </c>
      <c r="E2055">
        <v>55</v>
      </c>
      <c r="F2055">
        <v>28</v>
      </c>
      <c r="G2055">
        <v>14</v>
      </c>
      <c r="H2055">
        <v>42</v>
      </c>
      <c r="I2055">
        <v>32</v>
      </c>
      <c r="J2055">
        <v>39</v>
      </c>
      <c r="K2055">
        <v>45</v>
      </c>
      <c r="L2055">
        <v>87</v>
      </c>
      <c r="M2055">
        <v>158</v>
      </c>
      <c r="N2055">
        <v>13</v>
      </c>
      <c r="O2055" t="s">
        <v>2852</v>
      </c>
      <c r="P2055" s="1" t="b">
        <f>NOT(OR(Table1[[#This Row],[State]]="Other Foreign Countries", Table1[[#This Row],[State]]="Unknown", Table1[[#This Row],[State]]="Puerto Rico all counties"))</f>
        <v>1</v>
      </c>
    </row>
    <row r="2056" spans="1:16" x14ac:dyDescent="0.25">
      <c r="A2056">
        <v>20133</v>
      </c>
      <c r="B2056" t="s">
        <v>1543</v>
      </c>
      <c r="C2056" t="s">
        <v>1646</v>
      </c>
      <c r="D2056">
        <v>180</v>
      </c>
      <c r="E2056">
        <v>29</v>
      </c>
      <c r="F2056">
        <v>21</v>
      </c>
      <c r="G2056">
        <v>25</v>
      </c>
      <c r="H2056">
        <v>63</v>
      </c>
      <c r="I2056">
        <v>42</v>
      </c>
      <c r="J2056">
        <v>48</v>
      </c>
      <c r="K2056">
        <v>49</v>
      </c>
      <c r="L2056">
        <v>83</v>
      </c>
      <c r="M2056">
        <v>161</v>
      </c>
      <c r="N2056">
        <v>19</v>
      </c>
      <c r="O2056" t="s">
        <v>1647</v>
      </c>
      <c r="P2056" s="1" t="b">
        <f>NOT(OR(Table1[[#This Row],[State]]="Other Foreign Countries", Table1[[#This Row],[State]]="Unknown", Table1[[#This Row],[State]]="Puerto Rico all counties"))</f>
        <v>1</v>
      </c>
    </row>
    <row r="2057" spans="1:16" x14ac:dyDescent="0.25">
      <c r="A2057">
        <v>28099</v>
      </c>
      <c r="B2057" t="s">
        <v>322</v>
      </c>
      <c r="C2057" t="s">
        <v>2459</v>
      </c>
      <c r="D2057">
        <v>423</v>
      </c>
      <c r="E2057">
        <v>71</v>
      </c>
      <c r="F2057">
        <v>42</v>
      </c>
      <c r="G2057">
        <v>55</v>
      </c>
      <c r="H2057">
        <v>158</v>
      </c>
      <c r="I2057">
        <v>97</v>
      </c>
      <c r="J2057">
        <v>92</v>
      </c>
      <c r="K2057">
        <v>159</v>
      </c>
      <c r="L2057">
        <v>172</v>
      </c>
      <c r="M2057">
        <v>377</v>
      </c>
      <c r="N2057">
        <v>46</v>
      </c>
      <c r="O2057" t="s">
        <v>2460</v>
      </c>
      <c r="P2057" s="1" t="b">
        <f>NOT(OR(Table1[[#This Row],[State]]="Other Foreign Countries", Table1[[#This Row],[State]]="Unknown", Table1[[#This Row],[State]]="Puerto Rico all counties"))</f>
        <v>1</v>
      </c>
    </row>
    <row r="2058" spans="1:16" x14ac:dyDescent="0.25">
      <c r="A2058">
        <v>20135</v>
      </c>
      <c r="B2058" t="s">
        <v>1543</v>
      </c>
      <c r="C2058" t="s">
        <v>1648</v>
      </c>
      <c r="D2058">
        <v>43</v>
      </c>
      <c r="H2058">
        <v>13</v>
      </c>
      <c r="I2058">
        <v>10</v>
      </c>
      <c r="L2058">
        <v>27</v>
      </c>
      <c r="O2058" t="s">
        <v>1649</v>
      </c>
      <c r="P2058" s="1" t="b">
        <f>NOT(OR(Table1[[#This Row],[State]]="Other Foreign Countries", Table1[[#This Row],[State]]="Unknown", Table1[[#This Row],[State]]="Puerto Rico all counties"))</f>
        <v>1</v>
      </c>
    </row>
    <row r="2059" spans="1:16" x14ac:dyDescent="0.25">
      <c r="A2059">
        <v>5099</v>
      </c>
      <c r="B2059" t="s">
        <v>242</v>
      </c>
      <c r="C2059" t="s">
        <v>326</v>
      </c>
      <c r="D2059">
        <v>168</v>
      </c>
      <c r="E2059">
        <v>26</v>
      </c>
      <c r="F2059">
        <v>17</v>
      </c>
      <c r="G2059">
        <v>17</v>
      </c>
      <c r="H2059">
        <v>58</v>
      </c>
      <c r="I2059">
        <v>50</v>
      </c>
      <c r="J2059">
        <v>32</v>
      </c>
      <c r="K2059">
        <v>71</v>
      </c>
      <c r="L2059">
        <v>65</v>
      </c>
      <c r="M2059">
        <v>148</v>
      </c>
      <c r="N2059">
        <v>20</v>
      </c>
      <c r="O2059" t="s">
        <v>327</v>
      </c>
      <c r="P2059" s="1" t="b">
        <f>NOT(OR(Table1[[#This Row],[State]]="Other Foreign Countries", Table1[[#This Row],[State]]="Unknown", Table1[[#This Row],[State]]="Puerto Rico all counties"))</f>
        <v>1</v>
      </c>
    </row>
    <row r="2060" spans="1:16" x14ac:dyDescent="0.25">
      <c r="A2060">
        <v>6057</v>
      </c>
      <c r="B2060" t="s">
        <v>374</v>
      </c>
      <c r="C2060" t="s">
        <v>326</v>
      </c>
      <c r="D2060">
        <v>2146</v>
      </c>
      <c r="E2060">
        <v>577</v>
      </c>
      <c r="F2060">
        <v>226</v>
      </c>
      <c r="G2060">
        <v>227</v>
      </c>
      <c r="H2060">
        <v>590</v>
      </c>
      <c r="I2060">
        <v>526</v>
      </c>
      <c r="J2060">
        <v>439</v>
      </c>
      <c r="K2060">
        <v>508</v>
      </c>
      <c r="L2060" s="1">
        <v>1199</v>
      </c>
      <c r="M2060" s="1">
        <v>1953</v>
      </c>
      <c r="N2060">
        <v>192</v>
      </c>
      <c r="O2060" t="s">
        <v>431</v>
      </c>
      <c r="P2060" s="1" t="b">
        <f>NOT(OR(Table1[[#This Row],[State]]="Other Foreign Countries", Table1[[#This Row],[State]]="Unknown", Table1[[#This Row],[State]]="Puerto Rico all counties"))</f>
        <v>1</v>
      </c>
    </row>
    <row r="2061" spans="1:16" x14ac:dyDescent="0.25">
      <c r="A2061">
        <v>10003</v>
      </c>
      <c r="B2061" t="s">
        <v>628</v>
      </c>
      <c r="C2061" t="s">
        <v>631</v>
      </c>
      <c r="D2061">
        <v>7491</v>
      </c>
      <c r="E2061" s="1">
        <v>1475</v>
      </c>
      <c r="F2061">
        <v>841</v>
      </c>
      <c r="G2061">
        <v>890</v>
      </c>
      <c r="H2061" s="1">
        <v>2352</v>
      </c>
      <c r="I2061" s="1">
        <v>1933</v>
      </c>
      <c r="J2061" s="1">
        <v>1871</v>
      </c>
      <c r="K2061" s="1">
        <v>2566</v>
      </c>
      <c r="L2061" s="1">
        <v>3054</v>
      </c>
      <c r="M2061" s="1">
        <v>6422</v>
      </c>
      <c r="N2061" s="1">
        <v>1069</v>
      </c>
      <c r="O2061" t="s">
        <v>632</v>
      </c>
      <c r="P2061" s="1" t="b">
        <f>NOT(OR(Table1[[#This Row],[State]]="Other Foreign Countries", Table1[[#This Row],[State]]="Unknown", Table1[[#This Row],[State]]="Puerto Rico all counties"))</f>
        <v>1</v>
      </c>
    </row>
    <row r="2062" spans="1:16" x14ac:dyDescent="0.25">
      <c r="A2062">
        <v>37129</v>
      </c>
      <c r="B2062" t="s">
        <v>3121</v>
      </c>
      <c r="C2062" t="s">
        <v>3227</v>
      </c>
      <c r="D2062">
        <v>6001</v>
      </c>
      <c r="E2062">
        <v>982</v>
      </c>
      <c r="F2062">
        <v>618</v>
      </c>
      <c r="G2062">
        <v>675</v>
      </c>
      <c r="H2062" s="1">
        <v>1868</v>
      </c>
      <c r="I2062" s="1">
        <v>1858</v>
      </c>
      <c r="J2062" s="1">
        <v>1942</v>
      </c>
      <c r="K2062" s="1">
        <v>1882</v>
      </c>
      <c r="L2062" s="1">
        <v>2177</v>
      </c>
      <c r="M2062" s="1">
        <v>5328</v>
      </c>
      <c r="N2062">
        <v>672</v>
      </c>
      <c r="O2062" t="s">
        <v>3228</v>
      </c>
      <c r="P2062" s="1" t="b">
        <f>NOT(OR(Table1[[#This Row],[State]]="Other Foreign Countries", Table1[[#This Row],[State]]="Unknown", Table1[[#This Row],[State]]="Puerto Rico all counties"))</f>
        <v>1</v>
      </c>
    </row>
    <row r="2063" spans="1:16" x14ac:dyDescent="0.25">
      <c r="A2063">
        <v>51127</v>
      </c>
      <c r="B2063" t="s">
        <v>4555</v>
      </c>
      <c r="C2063" t="s">
        <v>4646</v>
      </c>
      <c r="D2063">
        <v>1139</v>
      </c>
      <c r="E2063">
        <v>150</v>
      </c>
      <c r="F2063">
        <v>104</v>
      </c>
      <c r="G2063">
        <v>133</v>
      </c>
      <c r="H2063">
        <v>342</v>
      </c>
      <c r="I2063">
        <v>410</v>
      </c>
      <c r="J2063">
        <v>309</v>
      </c>
      <c r="K2063">
        <v>472</v>
      </c>
      <c r="L2063">
        <v>358</v>
      </c>
      <c r="M2063">
        <v>960</v>
      </c>
      <c r="N2063">
        <v>179</v>
      </c>
      <c r="O2063" t="s">
        <v>4647</v>
      </c>
      <c r="P2063" s="1" t="b">
        <f>NOT(OR(Table1[[#This Row],[State]]="Other Foreign Countries", Table1[[#This Row],[State]]="Unknown", Table1[[#This Row],[State]]="Puerto Rico all counties"))</f>
        <v>1</v>
      </c>
    </row>
    <row r="2064" spans="1:16" x14ac:dyDescent="0.25">
      <c r="A2064">
        <v>29143</v>
      </c>
      <c r="B2064" t="s">
        <v>2510</v>
      </c>
      <c r="C2064" t="s">
        <v>2602</v>
      </c>
      <c r="D2064">
        <v>418</v>
      </c>
      <c r="E2064">
        <v>92</v>
      </c>
      <c r="F2064">
        <v>43</v>
      </c>
      <c r="G2064">
        <v>46</v>
      </c>
      <c r="H2064">
        <v>139</v>
      </c>
      <c r="I2064">
        <v>98</v>
      </c>
      <c r="J2064">
        <v>81</v>
      </c>
      <c r="K2064">
        <v>130</v>
      </c>
      <c r="L2064">
        <v>207</v>
      </c>
      <c r="M2064">
        <v>385</v>
      </c>
      <c r="N2064">
        <v>33</v>
      </c>
      <c r="O2064" t="s">
        <v>2603</v>
      </c>
      <c r="P2064" s="1" t="b">
        <f>NOT(OR(Table1[[#This Row],[State]]="Other Foreign Countries", Table1[[#This Row],[State]]="Unknown", Table1[[#This Row],[State]]="Puerto Rico all counties"))</f>
        <v>1</v>
      </c>
    </row>
    <row r="2065" spans="1:16" x14ac:dyDescent="0.25">
      <c r="A2065">
        <v>36061</v>
      </c>
      <c r="B2065" t="s">
        <v>3029</v>
      </c>
      <c r="C2065" t="s">
        <v>3029</v>
      </c>
      <c r="D2065">
        <v>5025</v>
      </c>
      <c r="E2065">
        <v>955</v>
      </c>
      <c r="F2065">
        <v>548</v>
      </c>
      <c r="G2065">
        <v>560</v>
      </c>
      <c r="H2065" s="1">
        <v>1498</v>
      </c>
      <c r="I2065" s="1">
        <v>1464</v>
      </c>
      <c r="J2065" s="1">
        <v>2308</v>
      </c>
      <c r="K2065" s="1">
        <v>1180</v>
      </c>
      <c r="L2065" s="1">
        <v>1537</v>
      </c>
      <c r="M2065" s="1">
        <v>4367</v>
      </c>
      <c r="N2065">
        <v>656</v>
      </c>
      <c r="O2065" t="s">
        <v>3071</v>
      </c>
      <c r="P2065" s="1" t="b">
        <f>NOT(OR(Table1[[#This Row],[State]]="Other Foreign Countries", Table1[[#This Row],[State]]="Unknown", Table1[[#This Row],[State]]="Puerto Rico all counties"))</f>
        <v>1</v>
      </c>
    </row>
    <row r="2066" spans="1:16" x14ac:dyDescent="0.25">
      <c r="A2066">
        <v>26123</v>
      </c>
      <c r="B2066" t="s">
        <v>2099</v>
      </c>
      <c r="C2066" t="s">
        <v>2207</v>
      </c>
      <c r="D2066">
        <v>1071</v>
      </c>
      <c r="E2066">
        <v>193</v>
      </c>
      <c r="F2066">
        <v>105</v>
      </c>
      <c r="G2066">
        <v>137</v>
      </c>
      <c r="H2066">
        <v>359</v>
      </c>
      <c r="I2066">
        <v>277</v>
      </c>
      <c r="J2066">
        <v>288</v>
      </c>
      <c r="K2066">
        <v>271</v>
      </c>
      <c r="L2066">
        <v>512</v>
      </c>
      <c r="M2066">
        <v>985</v>
      </c>
      <c r="N2066">
        <v>86</v>
      </c>
      <c r="O2066" t="s">
        <v>2208</v>
      </c>
      <c r="P2066" s="1" t="b">
        <f>NOT(OR(Table1[[#This Row],[State]]="Other Foreign Countries", Table1[[#This Row],[State]]="Unknown", Table1[[#This Row],[State]]="Puerto Rico all counties"))</f>
        <v>1</v>
      </c>
    </row>
    <row r="2067" spans="1:16" x14ac:dyDescent="0.25">
      <c r="A2067">
        <v>45071</v>
      </c>
      <c r="B2067" t="s">
        <v>3772</v>
      </c>
      <c r="C2067" t="s">
        <v>3830</v>
      </c>
      <c r="D2067">
        <v>814</v>
      </c>
      <c r="E2067">
        <v>120</v>
      </c>
      <c r="F2067">
        <v>89</v>
      </c>
      <c r="G2067">
        <v>99</v>
      </c>
      <c r="H2067">
        <v>237</v>
      </c>
      <c r="I2067">
        <v>269</v>
      </c>
      <c r="J2067">
        <v>147</v>
      </c>
      <c r="K2067">
        <v>264</v>
      </c>
      <c r="L2067">
        <v>403</v>
      </c>
      <c r="M2067">
        <v>740</v>
      </c>
      <c r="N2067">
        <v>74</v>
      </c>
      <c r="O2067" t="s">
        <v>3831</v>
      </c>
      <c r="P2067" s="1" t="b">
        <f>NOT(OR(Table1[[#This Row],[State]]="Other Foreign Countries", Table1[[#This Row],[State]]="Unknown", Table1[[#This Row],[State]]="Puerto Rico all counties"))</f>
        <v>1</v>
      </c>
    </row>
    <row r="2068" spans="1:16" x14ac:dyDescent="0.25">
      <c r="A2068">
        <v>44005</v>
      </c>
      <c r="B2068" t="s">
        <v>3764</v>
      </c>
      <c r="C2068" t="s">
        <v>3767</v>
      </c>
      <c r="D2068">
        <v>1996</v>
      </c>
      <c r="E2068">
        <v>474</v>
      </c>
      <c r="F2068">
        <v>248</v>
      </c>
      <c r="G2068">
        <v>290</v>
      </c>
      <c r="H2068">
        <v>553</v>
      </c>
      <c r="I2068">
        <v>431</v>
      </c>
      <c r="J2068">
        <v>439</v>
      </c>
      <c r="K2068">
        <v>670</v>
      </c>
      <c r="L2068">
        <v>887</v>
      </c>
      <c r="M2068" s="1">
        <v>1732</v>
      </c>
      <c r="N2068">
        <v>264</v>
      </c>
      <c r="O2068" t="s">
        <v>3768</v>
      </c>
      <c r="P2068" s="1" t="b">
        <f>NOT(OR(Table1[[#This Row],[State]]="Other Foreign Countries", Table1[[#This Row],[State]]="Unknown", Table1[[#This Row],[State]]="Puerto Rico all counties"))</f>
        <v>1</v>
      </c>
    </row>
    <row r="2069" spans="1:16" x14ac:dyDescent="0.25">
      <c r="A2069">
        <v>51700</v>
      </c>
      <c r="B2069" t="s">
        <v>4555</v>
      </c>
      <c r="C2069" t="s">
        <v>4740</v>
      </c>
      <c r="D2069">
        <v>9151</v>
      </c>
      <c r="E2069" s="1">
        <v>1251</v>
      </c>
      <c r="F2069">
        <v>912</v>
      </c>
      <c r="G2069" s="1">
        <v>1121</v>
      </c>
      <c r="H2069" s="1">
        <v>2773</v>
      </c>
      <c r="I2069" s="1">
        <v>3094</v>
      </c>
      <c r="J2069" s="1">
        <v>2910</v>
      </c>
      <c r="K2069" s="1">
        <v>3667</v>
      </c>
      <c r="L2069" s="1">
        <v>2574</v>
      </c>
      <c r="M2069" s="1">
        <v>6958</v>
      </c>
      <c r="N2069" s="1">
        <v>2193</v>
      </c>
      <c r="O2069" t="s">
        <v>4741</v>
      </c>
      <c r="P2069" s="1" t="b">
        <f>NOT(OR(Table1[[#This Row],[State]]="Other Foreign Countries", Table1[[#This Row],[State]]="Unknown", Table1[[#This Row],[State]]="Puerto Rico all counties"))</f>
        <v>1</v>
      </c>
    </row>
    <row r="2070" spans="1:16" x14ac:dyDescent="0.25">
      <c r="A2070">
        <v>5101</v>
      </c>
      <c r="B2070" t="s">
        <v>242</v>
      </c>
      <c r="C2070" t="s">
        <v>328</v>
      </c>
      <c r="D2070">
        <v>161</v>
      </c>
      <c r="E2070">
        <v>24</v>
      </c>
      <c r="F2070">
        <v>11</v>
      </c>
      <c r="G2070">
        <v>20</v>
      </c>
      <c r="H2070">
        <v>57</v>
      </c>
      <c r="I2070">
        <v>49</v>
      </c>
      <c r="J2070">
        <v>32</v>
      </c>
      <c r="K2070">
        <v>48</v>
      </c>
      <c r="L2070">
        <v>81</v>
      </c>
      <c r="M2070">
        <v>140</v>
      </c>
      <c r="N2070">
        <v>21</v>
      </c>
      <c r="O2070" t="s">
        <v>329</v>
      </c>
      <c r="P2070" s="1" t="b">
        <f>NOT(OR(Table1[[#This Row],[State]]="Other Foreign Countries", Table1[[#This Row],[State]]="Unknown", Table1[[#This Row],[State]]="Puerto Rico all counties"))</f>
        <v>1</v>
      </c>
    </row>
    <row r="2071" spans="1:16" x14ac:dyDescent="0.25">
      <c r="A2071">
        <v>13217</v>
      </c>
      <c r="B2071" t="s">
        <v>754</v>
      </c>
      <c r="C2071" t="s">
        <v>328</v>
      </c>
      <c r="D2071">
        <v>3443</v>
      </c>
      <c r="E2071">
        <v>520</v>
      </c>
      <c r="F2071">
        <v>286</v>
      </c>
      <c r="G2071">
        <v>326</v>
      </c>
      <c r="H2071" s="1">
        <v>1070</v>
      </c>
      <c r="I2071" s="1">
        <v>1241</v>
      </c>
      <c r="J2071">
        <v>961</v>
      </c>
      <c r="K2071" s="1">
        <v>1436</v>
      </c>
      <c r="L2071" s="1">
        <v>1046</v>
      </c>
      <c r="M2071" s="1">
        <v>2744</v>
      </c>
      <c r="N2071">
        <v>699</v>
      </c>
      <c r="O2071" t="s">
        <v>932</v>
      </c>
      <c r="P2071" s="1" t="b">
        <f>NOT(OR(Table1[[#This Row],[State]]="Other Foreign Countries", Table1[[#This Row],[State]]="Unknown", Table1[[#This Row],[State]]="Puerto Rico all counties"))</f>
        <v>1</v>
      </c>
    </row>
    <row r="2072" spans="1:16" x14ac:dyDescent="0.25">
      <c r="A2072">
        <v>18111</v>
      </c>
      <c r="B2072" t="s">
        <v>1266</v>
      </c>
      <c r="C2072" t="s">
        <v>328</v>
      </c>
      <c r="D2072">
        <v>246</v>
      </c>
      <c r="E2072">
        <v>59</v>
      </c>
      <c r="F2072">
        <v>29</v>
      </c>
      <c r="G2072">
        <v>28</v>
      </c>
      <c r="H2072">
        <v>70</v>
      </c>
      <c r="I2072">
        <v>60</v>
      </c>
      <c r="J2072">
        <v>60</v>
      </c>
      <c r="K2072">
        <v>78</v>
      </c>
      <c r="L2072">
        <v>108</v>
      </c>
      <c r="M2072">
        <v>236</v>
      </c>
      <c r="N2072">
        <v>10</v>
      </c>
      <c r="O2072" t="s">
        <v>1340</v>
      </c>
      <c r="P2072" s="1" t="b">
        <f>NOT(OR(Table1[[#This Row],[State]]="Other Foreign Countries", Table1[[#This Row],[State]]="Unknown", Table1[[#This Row],[State]]="Puerto Rico all counties"))</f>
        <v>1</v>
      </c>
    </row>
    <row r="2073" spans="1:16" x14ac:dyDescent="0.25">
      <c r="A2073">
        <v>28101</v>
      </c>
      <c r="B2073" t="s">
        <v>322</v>
      </c>
      <c r="C2073" t="s">
        <v>328</v>
      </c>
      <c r="D2073">
        <v>447</v>
      </c>
      <c r="E2073">
        <v>74</v>
      </c>
      <c r="F2073">
        <v>48</v>
      </c>
      <c r="G2073">
        <v>50</v>
      </c>
      <c r="H2073">
        <v>147</v>
      </c>
      <c r="I2073">
        <v>128</v>
      </c>
      <c r="J2073">
        <v>71</v>
      </c>
      <c r="K2073">
        <v>190</v>
      </c>
      <c r="L2073">
        <v>186</v>
      </c>
      <c r="M2073">
        <v>396</v>
      </c>
      <c r="N2073">
        <v>51</v>
      </c>
      <c r="O2073" t="s">
        <v>2461</v>
      </c>
      <c r="P2073" s="1" t="b">
        <f>NOT(OR(Table1[[#This Row],[State]]="Other Foreign Countries", Table1[[#This Row],[State]]="Unknown", Table1[[#This Row],[State]]="Puerto Rico all counties"))</f>
        <v>1</v>
      </c>
    </row>
    <row r="2074" spans="1:16" x14ac:dyDescent="0.25">
      <c r="A2074">
        <v>29145</v>
      </c>
      <c r="B2074" t="s">
        <v>2510</v>
      </c>
      <c r="C2074" t="s">
        <v>328</v>
      </c>
      <c r="D2074">
        <v>1285</v>
      </c>
      <c r="E2074">
        <v>277</v>
      </c>
      <c r="F2074">
        <v>135</v>
      </c>
      <c r="G2074">
        <v>163</v>
      </c>
      <c r="H2074">
        <v>404</v>
      </c>
      <c r="I2074">
        <v>306</v>
      </c>
      <c r="J2074">
        <v>325</v>
      </c>
      <c r="K2074">
        <v>405</v>
      </c>
      <c r="L2074">
        <v>555</v>
      </c>
      <c r="M2074" s="1">
        <v>1180</v>
      </c>
      <c r="N2074">
        <v>105</v>
      </c>
      <c r="O2074" t="s">
        <v>2604</v>
      </c>
      <c r="P2074" s="1" t="b">
        <f>NOT(OR(Table1[[#This Row],[State]]="Other Foreign Countries", Table1[[#This Row],[State]]="Unknown", Table1[[#This Row],[State]]="Puerto Rico all counties"))</f>
        <v>1</v>
      </c>
    </row>
    <row r="2075" spans="1:16" x14ac:dyDescent="0.25">
      <c r="A2075">
        <v>48351</v>
      </c>
      <c r="B2075" t="s">
        <v>2654</v>
      </c>
      <c r="C2075" t="s">
        <v>328</v>
      </c>
      <c r="D2075">
        <v>314</v>
      </c>
      <c r="E2075">
        <v>66</v>
      </c>
      <c r="F2075">
        <v>29</v>
      </c>
      <c r="G2075">
        <v>32</v>
      </c>
      <c r="H2075">
        <v>89</v>
      </c>
      <c r="I2075">
        <v>98</v>
      </c>
      <c r="J2075">
        <v>66</v>
      </c>
      <c r="K2075">
        <v>105</v>
      </c>
      <c r="L2075">
        <v>143</v>
      </c>
      <c r="M2075">
        <v>293</v>
      </c>
      <c r="N2075">
        <v>21</v>
      </c>
      <c r="O2075" t="s">
        <v>4353</v>
      </c>
      <c r="P2075" s="1" t="b">
        <f>NOT(OR(Table1[[#This Row],[State]]="Other Foreign Countries", Table1[[#This Row],[State]]="Unknown", Table1[[#This Row],[State]]="Puerto Rico all counties"))</f>
        <v>1</v>
      </c>
    </row>
    <row r="2076" spans="1:16" x14ac:dyDescent="0.25">
      <c r="A2076">
        <v>16069</v>
      </c>
      <c r="B2076" t="s">
        <v>1032</v>
      </c>
      <c r="C2076" t="s">
        <v>1090</v>
      </c>
      <c r="D2076">
        <v>1259</v>
      </c>
      <c r="E2076">
        <v>275</v>
      </c>
      <c r="F2076">
        <v>143</v>
      </c>
      <c r="G2076">
        <v>176</v>
      </c>
      <c r="H2076">
        <v>385</v>
      </c>
      <c r="I2076">
        <v>280</v>
      </c>
      <c r="J2076">
        <v>288</v>
      </c>
      <c r="K2076">
        <v>414</v>
      </c>
      <c r="L2076">
        <v>557</v>
      </c>
      <c r="M2076" s="1">
        <v>1164</v>
      </c>
      <c r="N2076">
        <v>94</v>
      </c>
      <c r="O2076" t="s">
        <v>1091</v>
      </c>
      <c r="P2076" s="1" t="b">
        <f>NOT(OR(Table1[[#This Row],[State]]="Other Foreign Countries", Table1[[#This Row],[State]]="Unknown", Table1[[#This Row],[State]]="Puerto Rico all counties"))</f>
        <v>1</v>
      </c>
    </row>
    <row r="2077" spans="1:16" x14ac:dyDescent="0.25">
      <c r="A2077">
        <v>36063</v>
      </c>
      <c r="B2077" t="s">
        <v>3029</v>
      </c>
      <c r="C2077" t="s">
        <v>3072</v>
      </c>
      <c r="D2077">
        <v>3506</v>
      </c>
      <c r="E2077">
        <v>517</v>
      </c>
      <c r="F2077">
        <v>357</v>
      </c>
      <c r="G2077">
        <v>420</v>
      </c>
      <c r="H2077" s="1">
        <v>1228</v>
      </c>
      <c r="I2077">
        <v>984</v>
      </c>
      <c r="J2077">
        <v>936</v>
      </c>
      <c r="K2077" s="1">
        <v>1045</v>
      </c>
      <c r="L2077" s="1">
        <v>1525</v>
      </c>
      <c r="M2077" s="1">
        <v>3105</v>
      </c>
      <c r="N2077">
        <v>401</v>
      </c>
      <c r="O2077" t="s">
        <v>3073</v>
      </c>
      <c r="P2077" s="1" t="b">
        <f>NOT(OR(Table1[[#This Row],[State]]="Other Foreign Countries", Table1[[#This Row],[State]]="Unknown", Table1[[#This Row],[State]]="Puerto Rico all counties"))</f>
        <v>1</v>
      </c>
    </row>
    <row r="2078" spans="1:16" x14ac:dyDescent="0.25">
      <c r="A2078">
        <v>21181</v>
      </c>
      <c r="B2078" t="s">
        <v>1716</v>
      </c>
      <c r="C2078" t="s">
        <v>1849</v>
      </c>
      <c r="D2078">
        <v>131</v>
      </c>
      <c r="E2078">
        <v>24</v>
      </c>
      <c r="F2078">
        <v>21</v>
      </c>
      <c r="G2078">
        <v>21</v>
      </c>
      <c r="H2078">
        <v>32</v>
      </c>
      <c r="I2078">
        <v>33</v>
      </c>
      <c r="J2078">
        <v>30</v>
      </c>
      <c r="K2078">
        <v>44</v>
      </c>
      <c r="L2078">
        <v>57</v>
      </c>
      <c r="O2078" t="s">
        <v>1850</v>
      </c>
      <c r="P2078" s="1" t="b">
        <f>NOT(OR(Table1[[#This Row],[State]]="Other Foreign Countries", Table1[[#This Row],[State]]="Unknown", Table1[[#This Row],[State]]="Puerto Rico all counties"))</f>
        <v>1</v>
      </c>
    </row>
    <row r="2079" spans="1:16" x14ac:dyDescent="0.25">
      <c r="A2079">
        <v>54067</v>
      </c>
      <c r="B2079" t="s">
        <v>4833</v>
      </c>
      <c r="C2079" t="s">
        <v>1849</v>
      </c>
      <c r="D2079">
        <v>851</v>
      </c>
      <c r="E2079">
        <v>176</v>
      </c>
      <c r="F2079">
        <v>102</v>
      </c>
      <c r="G2079">
        <v>87</v>
      </c>
      <c r="H2079">
        <v>270</v>
      </c>
      <c r="I2079">
        <v>216</v>
      </c>
      <c r="J2079">
        <v>136</v>
      </c>
      <c r="K2079">
        <v>250</v>
      </c>
      <c r="L2079">
        <v>465</v>
      </c>
      <c r="M2079">
        <v>798</v>
      </c>
      <c r="N2079">
        <v>53</v>
      </c>
      <c r="O2079" t="s">
        <v>4876</v>
      </c>
      <c r="P2079" s="1" t="b">
        <f>NOT(OR(Table1[[#This Row],[State]]="Other Foreign Countries", Table1[[#This Row],[State]]="Unknown", Table1[[#This Row],[State]]="Puerto Rico all counties"))</f>
        <v>1</v>
      </c>
    </row>
    <row r="2080" spans="1:16" x14ac:dyDescent="0.25">
      <c r="A2080">
        <v>27103</v>
      </c>
      <c r="B2080" t="s">
        <v>2245</v>
      </c>
      <c r="C2080" t="s">
        <v>2330</v>
      </c>
      <c r="D2080">
        <v>768</v>
      </c>
      <c r="E2080">
        <v>363</v>
      </c>
      <c r="F2080">
        <v>84</v>
      </c>
      <c r="G2080">
        <v>79</v>
      </c>
      <c r="H2080">
        <v>143</v>
      </c>
      <c r="I2080">
        <v>99</v>
      </c>
      <c r="J2080">
        <v>152</v>
      </c>
      <c r="K2080">
        <v>179</v>
      </c>
      <c r="L2080">
        <v>437</v>
      </c>
      <c r="M2080">
        <v>724</v>
      </c>
      <c r="N2080">
        <v>43</v>
      </c>
      <c r="O2080" t="s">
        <v>2331</v>
      </c>
      <c r="P2080" s="1" t="b">
        <f>NOT(OR(Table1[[#This Row],[State]]="Other Foreign Countries", Table1[[#This Row],[State]]="Unknown", Table1[[#This Row],[State]]="Puerto Rico all counties"))</f>
        <v>1</v>
      </c>
    </row>
    <row r="2081" spans="1:16" x14ac:dyDescent="0.25">
      <c r="A2081">
        <v>56027</v>
      </c>
      <c r="B2081" t="s">
        <v>3117</v>
      </c>
      <c r="C2081" t="s">
        <v>5031</v>
      </c>
      <c r="D2081">
        <v>53</v>
      </c>
      <c r="E2081">
        <v>12</v>
      </c>
      <c r="H2081">
        <v>13</v>
      </c>
      <c r="I2081">
        <v>16</v>
      </c>
      <c r="L2081">
        <v>30</v>
      </c>
      <c r="O2081" t="s">
        <v>5032</v>
      </c>
      <c r="P2081" s="1" t="b">
        <f>NOT(OR(Table1[[#This Row],[State]]="Other Foreign Countries", Table1[[#This Row],[State]]="Unknown", Table1[[#This Row],[State]]="Puerto Rico all counties"))</f>
        <v>1</v>
      </c>
    </row>
    <row r="2082" spans="1:16" x14ac:dyDescent="0.25">
      <c r="A2082">
        <v>18113</v>
      </c>
      <c r="B2082" t="s">
        <v>1266</v>
      </c>
      <c r="C2082" t="s">
        <v>1341</v>
      </c>
      <c r="D2082">
        <v>855</v>
      </c>
      <c r="E2082">
        <v>279</v>
      </c>
      <c r="F2082">
        <v>110</v>
      </c>
      <c r="G2082">
        <v>131</v>
      </c>
      <c r="H2082">
        <v>189</v>
      </c>
      <c r="I2082">
        <v>146</v>
      </c>
      <c r="J2082">
        <v>186</v>
      </c>
      <c r="K2082">
        <v>218</v>
      </c>
      <c r="L2082">
        <v>451</v>
      </c>
      <c r="M2082">
        <v>807</v>
      </c>
      <c r="N2082">
        <v>48</v>
      </c>
      <c r="O2082" t="s">
        <v>1342</v>
      </c>
      <c r="P2082" s="1" t="b">
        <f>NOT(OR(Table1[[#This Row],[State]]="Other Foreign Countries", Table1[[#This Row],[State]]="Unknown", Table1[[#This Row],[State]]="Puerto Rico all counties"))</f>
        <v>1</v>
      </c>
    </row>
    <row r="2083" spans="1:16" x14ac:dyDescent="0.25">
      <c r="A2083">
        <v>39121</v>
      </c>
      <c r="B2083" t="s">
        <v>1343</v>
      </c>
      <c r="C2083" t="s">
        <v>1341</v>
      </c>
      <c r="D2083">
        <v>319</v>
      </c>
      <c r="E2083">
        <v>92</v>
      </c>
      <c r="F2083">
        <v>49</v>
      </c>
      <c r="G2083">
        <v>40</v>
      </c>
      <c r="H2083">
        <v>78</v>
      </c>
      <c r="I2083">
        <v>60</v>
      </c>
      <c r="J2083">
        <v>42</v>
      </c>
      <c r="K2083">
        <v>103</v>
      </c>
      <c r="L2083">
        <v>174</v>
      </c>
      <c r="M2083">
        <v>305</v>
      </c>
      <c r="N2083">
        <v>14</v>
      </c>
      <c r="O2083" t="s">
        <v>3455</v>
      </c>
      <c r="P2083" s="1" t="b">
        <f>NOT(OR(Table1[[#This Row],[State]]="Other Foreign Countries", Table1[[#This Row],[State]]="Unknown", Table1[[#This Row],[State]]="Puerto Rico all counties"))</f>
        <v>1</v>
      </c>
    </row>
    <row r="2084" spans="1:16" x14ac:dyDescent="0.25">
      <c r="A2084">
        <v>40103</v>
      </c>
      <c r="B2084" t="s">
        <v>3495</v>
      </c>
      <c r="C2084" t="s">
        <v>1341</v>
      </c>
      <c r="D2084">
        <v>227</v>
      </c>
      <c r="E2084">
        <v>50</v>
      </c>
      <c r="F2084">
        <v>25</v>
      </c>
      <c r="G2084">
        <v>22</v>
      </c>
      <c r="H2084">
        <v>75</v>
      </c>
      <c r="I2084">
        <v>55</v>
      </c>
      <c r="J2084">
        <v>62</v>
      </c>
      <c r="K2084">
        <v>73</v>
      </c>
      <c r="L2084">
        <v>92</v>
      </c>
      <c r="M2084">
        <v>210</v>
      </c>
      <c r="N2084">
        <v>17</v>
      </c>
      <c r="O2084" t="s">
        <v>3572</v>
      </c>
      <c r="P2084" s="1" t="b">
        <f>NOT(OR(Table1[[#This Row],[State]]="Other Foreign Countries", Table1[[#This Row],[State]]="Unknown", Table1[[#This Row],[State]]="Puerto Rico all counties"))</f>
        <v>1</v>
      </c>
    </row>
    <row r="2085" spans="1:16" x14ac:dyDescent="0.25">
      <c r="A2085">
        <v>27105</v>
      </c>
      <c r="B2085" t="s">
        <v>2245</v>
      </c>
      <c r="C2085" t="s">
        <v>2332</v>
      </c>
      <c r="D2085">
        <v>276</v>
      </c>
      <c r="E2085">
        <v>86</v>
      </c>
      <c r="F2085">
        <v>43</v>
      </c>
      <c r="G2085">
        <v>38</v>
      </c>
      <c r="H2085">
        <v>61</v>
      </c>
      <c r="I2085">
        <v>48</v>
      </c>
      <c r="J2085">
        <v>34</v>
      </c>
      <c r="K2085">
        <v>56</v>
      </c>
      <c r="L2085">
        <v>186</v>
      </c>
      <c r="M2085">
        <v>250</v>
      </c>
      <c r="N2085">
        <v>26</v>
      </c>
      <c r="O2085" t="s">
        <v>2333</v>
      </c>
      <c r="P2085" s="1" t="b">
        <f>NOT(OR(Table1[[#This Row],[State]]="Other Foreign Countries", Table1[[#This Row],[State]]="Unknown", Table1[[#This Row],[State]]="Puerto Rico all counties"))</f>
        <v>1</v>
      </c>
    </row>
    <row r="2086" spans="1:16" x14ac:dyDescent="0.25">
      <c r="A2086">
        <v>29147</v>
      </c>
      <c r="B2086" t="s">
        <v>2510</v>
      </c>
      <c r="C2086" t="s">
        <v>2605</v>
      </c>
      <c r="D2086">
        <v>328</v>
      </c>
      <c r="E2086">
        <v>95</v>
      </c>
      <c r="F2086">
        <v>40</v>
      </c>
      <c r="G2086">
        <v>43</v>
      </c>
      <c r="H2086">
        <v>85</v>
      </c>
      <c r="I2086">
        <v>65</v>
      </c>
      <c r="J2086">
        <v>64</v>
      </c>
      <c r="K2086">
        <v>105</v>
      </c>
      <c r="L2086">
        <v>159</v>
      </c>
      <c r="M2086">
        <v>312</v>
      </c>
      <c r="N2086">
        <v>16</v>
      </c>
      <c r="O2086" t="s">
        <v>2606</v>
      </c>
      <c r="P2086" s="1" t="b">
        <f>NOT(OR(Table1[[#This Row],[State]]="Other Foreign Countries", Table1[[#This Row],[State]]="Unknown", Table1[[#This Row],[State]]="Puerto Rico all counties"))</f>
        <v>1</v>
      </c>
    </row>
    <row r="2087" spans="1:16" x14ac:dyDescent="0.25">
      <c r="A2087">
        <v>48353</v>
      </c>
      <c r="B2087" t="s">
        <v>2654</v>
      </c>
      <c r="C2087" t="s">
        <v>4354</v>
      </c>
      <c r="D2087">
        <v>270</v>
      </c>
      <c r="E2087">
        <v>59</v>
      </c>
      <c r="F2087">
        <v>34</v>
      </c>
      <c r="G2087">
        <v>29</v>
      </c>
      <c r="H2087">
        <v>86</v>
      </c>
      <c r="I2087">
        <v>62</v>
      </c>
      <c r="J2087">
        <v>67</v>
      </c>
      <c r="K2087">
        <v>89</v>
      </c>
      <c r="L2087">
        <v>114</v>
      </c>
      <c r="M2087">
        <v>240</v>
      </c>
      <c r="N2087">
        <v>30</v>
      </c>
      <c r="O2087" t="s">
        <v>4355</v>
      </c>
      <c r="P2087" s="1" t="b">
        <f>NOT(OR(Table1[[#This Row],[State]]="Other Foreign Countries", Table1[[#This Row],[State]]="Unknown", Table1[[#This Row],[State]]="Puerto Rico all counties"))</f>
        <v>1</v>
      </c>
    </row>
    <row r="2088" spans="1:16" x14ac:dyDescent="0.25">
      <c r="A2088">
        <v>2180</v>
      </c>
      <c r="B2088" t="s">
        <v>150</v>
      </c>
      <c r="C2088" t="s">
        <v>189</v>
      </c>
      <c r="D2088">
        <v>50</v>
      </c>
      <c r="E2088">
        <v>14</v>
      </c>
      <c r="H2088">
        <v>12</v>
      </c>
      <c r="J2088">
        <v>13</v>
      </c>
      <c r="K2088">
        <v>17</v>
      </c>
      <c r="L2088">
        <v>20</v>
      </c>
      <c r="O2088" t="s">
        <v>190</v>
      </c>
      <c r="P2088" s="1" t="b">
        <f>NOT(OR(Table1[[#This Row],[State]]="Other Foreign Countries", Table1[[#This Row],[State]]="Unknown", Table1[[#This Row],[State]]="Puerto Rico all counties"))</f>
        <v>1</v>
      </c>
    </row>
    <row r="2089" spans="1:16" x14ac:dyDescent="0.25">
      <c r="A2089">
        <v>25021</v>
      </c>
      <c r="B2089" t="s">
        <v>2073</v>
      </c>
      <c r="C2089" t="s">
        <v>2093</v>
      </c>
      <c r="D2089">
        <v>7222</v>
      </c>
      <c r="E2089" s="1">
        <v>1888</v>
      </c>
      <c r="F2089">
        <v>811</v>
      </c>
      <c r="G2089">
        <v>838</v>
      </c>
      <c r="H2089" s="1">
        <v>1985</v>
      </c>
      <c r="I2089" s="1">
        <v>1700</v>
      </c>
      <c r="J2089" s="1">
        <v>2034</v>
      </c>
      <c r="K2089" s="1">
        <v>1755</v>
      </c>
      <c r="L2089" s="1">
        <v>3433</v>
      </c>
      <c r="M2089" s="1">
        <v>6681</v>
      </c>
      <c r="N2089">
        <v>541</v>
      </c>
      <c r="O2089" t="s">
        <v>2094</v>
      </c>
      <c r="P2089" s="1" t="b">
        <f>NOT(OR(Table1[[#This Row],[State]]="Other Foreign Countries", Table1[[#This Row],[State]]="Unknown", Table1[[#This Row],[State]]="Puerto Rico all counties"))</f>
        <v>1</v>
      </c>
    </row>
    <row r="2090" spans="1:16" x14ac:dyDescent="0.25">
      <c r="A2090">
        <v>51710</v>
      </c>
      <c r="B2090" t="s">
        <v>4555</v>
      </c>
      <c r="C2090" t="s">
        <v>4742</v>
      </c>
      <c r="D2090">
        <v>10708</v>
      </c>
      <c r="E2090" s="1">
        <v>1442</v>
      </c>
      <c r="F2090" s="1">
        <v>1155</v>
      </c>
      <c r="G2090" s="1">
        <v>1413</v>
      </c>
      <c r="H2090" s="1">
        <v>3477</v>
      </c>
      <c r="I2090" s="1">
        <v>3221</v>
      </c>
      <c r="J2090" s="1">
        <v>4440</v>
      </c>
      <c r="K2090" s="1">
        <v>3881</v>
      </c>
      <c r="L2090" s="1">
        <v>2387</v>
      </c>
      <c r="M2090" s="1">
        <v>8022</v>
      </c>
      <c r="N2090" s="1">
        <v>2684</v>
      </c>
      <c r="O2090" t="s">
        <v>4743</v>
      </c>
      <c r="P2090" s="1" t="b">
        <f>NOT(OR(Table1[[#This Row],[State]]="Other Foreign Countries", Table1[[#This Row],[State]]="Unknown", Table1[[#This Row],[State]]="Puerto Rico all counties"))</f>
        <v>1</v>
      </c>
    </row>
    <row r="2091" spans="1:16" x14ac:dyDescent="0.25">
      <c r="A2091">
        <v>27107</v>
      </c>
      <c r="B2091" t="s">
        <v>2245</v>
      </c>
      <c r="C2091" t="s">
        <v>2334</v>
      </c>
      <c r="D2091">
        <v>145</v>
      </c>
      <c r="E2091">
        <v>43</v>
      </c>
      <c r="F2091">
        <v>23</v>
      </c>
      <c r="G2091">
        <v>14</v>
      </c>
      <c r="H2091">
        <v>36</v>
      </c>
      <c r="I2091">
        <v>29</v>
      </c>
      <c r="J2091">
        <v>25</v>
      </c>
      <c r="K2091">
        <v>44</v>
      </c>
      <c r="L2091">
        <v>76</v>
      </c>
      <c r="O2091" t="s">
        <v>2335</v>
      </c>
      <c r="P2091" s="1" t="b">
        <f>NOT(OR(Table1[[#This Row],[State]]="Other Foreign Countries", Table1[[#This Row],[State]]="Unknown", Table1[[#This Row],[State]]="Puerto Rico all counties"))</f>
        <v>1</v>
      </c>
    </row>
    <row r="2092" spans="1:16" x14ac:dyDescent="0.25">
      <c r="A2092">
        <v>2185</v>
      </c>
      <c r="B2092" t="s">
        <v>150</v>
      </c>
      <c r="C2092" t="s">
        <v>191</v>
      </c>
      <c r="D2092">
        <v>18</v>
      </c>
      <c r="O2092" t="s">
        <v>192</v>
      </c>
      <c r="P2092" s="1" t="b">
        <f>NOT(OR(Table1[[#This Row],[State]]="Other Foreign Countries", Table1[[#This Row],[State]]="Unknown", Table1[[#This Row],[State]]="Puerto Rico all counties"))</f>
        <v>1</v>
      </c>
    </row>
    <row r="2093" spans="1:16" x14ac:dyDescent="0.25">
      <c r="A2093">
        <v>37131</v>
      </c>
      <c r="B2093" t="s">
        <v>3121</v>
      </c>
      <c r="C2093" t="s">
        <v>3229</v>
      </c>
      <c r="D2093">
        <v>388</v>
      </c>
      <c r="E2093">
        <v>86</v>
      </c>
      <c r="F2093">
        <v>45</v>
      </c>
      <c r="G2093">
        <v>43</v>
      </c>
      <c r="H2093">
        <v>109</v>
      </c>
      <c r="I2093">
        <v>105</v>
      </c>
      <c r="J2093">
        <v>34</v>
      </c>
      <c r="K2093">
        <v>121</v>
      </c>
      <c r="L2093">
        <v>233</v>
      </c>
      <c r="M2093">
        <v>338</v>
      </c>
      <c r="N2093">
        <v>50</v>
      </c>
      <c r="O2093" t="s">
        <v>3230</v>
      </c>
      <c r="P2093" s="1" t="b">
        <f>NOT(OR(Table1[[#This Row],[State]]="Other Foreign Countries", Table1[[#This Row],[State]]="Unknown", Table1[[#This Row],[State]]="Puerto Rico all counties"))</f>
        <v>1</v>
      </c>
    </row>
    <row r="2094" spans="1:16" x14ac:dyDescent="0.25">
      <c r="A2094">
        <v>42095</v>
      </c>
      <c r="B2094" t="s">
        <v>3665</v>
      </c>
      <c r="C2094" t="s">
        <v>3229</v>
      </c>
      <c r="D2094">
        <v>3245</v>
      </c>
      <c r="E2094">
        <v>706</v>
      </c>
      <c r="F2094">
        <v>362</v>
      </c>
      <c r="G2094">
        <v>403</v>
      </c>
      <c r="H2094">
        <v>977</v>
      </c>
      <c r="I2094">
        <v>797</v>
      </c>
      <c r="J2094">
        <v>904</v>
      </c>
      <c r="K2094">
        <v>861</v>
      </c>
      <c r="L2094" s="1">
        <v>1480</v>
      </c>
      <c r="M2094" s="1">
        <v>2970</v>
      </c>
      <c r="N2094">
        <v>274</v>
      </c>
      <c r="O2094" t="s">
        <v>3736</v>
      </c>
      <c r="P2094" s="1" t="b">
        <f>NOT(OR(Table1[[#This Row],[State]]="Other Foreign Countries", Table1[[#This Row],[State]]="Unknown", Table1[[#This Row],[State]]="Puerto Rico all counties"))</f>
        <v>1</v>
      </c>
    </row>
    <row r="2095" spans="1:16" x14ac:dyDescent="0.25">
      <c r="A2095">
        <v>51131</v>
      </c>
      <c r="B2095" t="s">
        <v>4555</v>
      </c>
      <c r="C2095" t="s">
        <v>3229</v>
      </c>
      <c r="D2095">
        <v>272</v>
      </c>
      <c r="E2095">
        <v>61</v>
      </c>
      <c r="F2095">
        <v>28</v>
      </c>
      <c r="G2095">
        <v>40</v>
      </c>
      <c r="H2095">
        <v>69</v>
      </c>
      <c r="I2095">
        <v>74</v>
      </c>
      <c r="J2095">
        <v>49</v>
      </c>
      <c r="K2095">
        <v>86</v>
      </c>
      <c r="L2095">
        <v>137</v>
      </c>
      <c r="M2095">
        <v>239</v>
      </c>
      <c r="N2095">
        <v>32</v>
      </c>
      <c r="O2095" t="s">
        <v>4648</v>
      </c>
      <c r="P2095" s="1" t="b">
        <f>NOT(OR(Table1[[#This Row],[State]]="Other Foreign Countries", Table1[[#This Row],[State]]="Unknown", Table1[[#This Row],[State]]="Puerto Rico all counties"))</f>
        <v>1</v>
      </c>
    </row>
    <row r="2096" spans="1:16" x14ac:dyDescent="0.25">
      <c r="A2096">
        <v>9150</v>
      </c>
      <c r="B2096" t="s">
        <v>609</v>
      </c>
      <c r="C2096" t="s">
        <v>618</v>
      </c>
      <c r="D2096">
        <v>1861</v>
      </c>
      <c r="E2096">
        <v>459</v>
      </c>
      <c r="F2096">
        <v>225</v>
      </c>
      <c r="G2096">
        <v>245</v>
      </c>
      <c r="H2096">
        <v>537</v>
      </c>
      <c r="I2096">
        <v>395</v>
      </c>
      <c r="J2096">
        <v>520</v>
      </c>
      <c r="K2096">
        <v>580</v>
      </c>
      <c r="L2096">
        <v>761</v>
      </c>
      <c r="M2096" s="1">
        <v>1710</v>
      </c>
      <c r="N2096">
        <v>149</v>
      </c>
      <c r="O2096" t="s">
        <v>619</v>
      </c>
      <c r="P2096" s="1" t="b">
        <f>NOT(OR(Table1[[#This Row],[State]]="Other Foreign Countries", Table1[[#This Row],[State]]="Unknown", Table1[[#This Row],[State]]="Puerto Rico all counties"))</f>
        <v>1</v>
      </c>
    </row>
    <row r="2097" spans="1:16" x14ac:dyDescent="0.25">
      <c r="A2097">
        <v>42097</v>
      </c>
      <c r="B2097" t="s">
        <v>3665</v>
      </c>
      <c r="C2097" t="s">
        <v>3737</v>
      </c>
      <c r="D2097">
        <v>1483</v>
      </c>
      <c r="E2097">
        <v>335</v>
      </c>
      <c r="F2097">
        <v>200</v>
      </c>
      <c r="G2097">
        <v>172</v>
      </c>
      <c r="H2097">
        <v>422</v>
      </c>
      <c r="I2097">
        <v>354</v>
      </c>
      <c r="J2097">
        <v>370</v>
      </c>
      <c r="K2097">
        <v>455</v>
      </c>
      <c r="L2097">
        <v>658</v>
      </c>
      <c r="M2097" s="1">
        <v>1369</v>
      </c>
      <c r="N2097">
        <v>114</v>
      </c>
      <c r="O2097" t="s">
        <v>3738</v>
      </c>
      <c r="P2097" s="1" t="b">
        <f>NOT(OR(Table1[[#This Row],[State]]="Other Foreign Countries", Table1[[#This Row],[State]]="Unknown", Table1[[#This Row],[State]]="Puerto Rico all counties"))</f>
        <v>1</v>
      </c>
    </row>
    <row r="2098" spans="1:16" x14ac:dyDescent="0.25">
      <c r="A2098">
        <v>51133</v>
      </c>
      <c r="B2098" t="s">
        <v>4555</v>
      </c>
      <c r="C2098" t="s">
        <v>3737</v>
      </c>
      <c r="D2098">
        <v>334</v>
      </c>
      <c r="E2098">
        <v>80</v>
      </c>
      <c r="F2098">
        <v>44</v>
      </c>
      <c r="G2098">
        <v>43</v>
      </c>
      <c r="H2098">
        <v>95</v>
      </c>
      <c r="I2098">
        <v>72</v>
      </c>
      <c r="J2098">
        <v>41</v>
      </c>
      <c r="K2098">
        <v>88</v>
      </c>
      <c r="L2098">
        <v>205</v>
      </c>
      <c r="M2098">
        <v>308</v>
      </c>
      <c r="N2098">
        <v>26</v>
      </c>
      <c r="O2098" t="s">
        <v>4649</v>
      </c>
      <c r="P2098" s="1" t="b">
        <f>NOT(OR(Table1[[#This Row],[State]]="Other Foreign Countries", Table1[[#This Row],[State]]="Unknown", Table1[[#This Row],[State]]="Puerto Rico all counties"))</f>
        <v>1</v>
      </c>
    </row>
    <row r="2099" spans="1:16" x14ac:dyDescent="0.25">
      <c r="A2099">
        <v>2188</v>
      </c>
      <c r="B2099" t="s">
        <v>150</v>
      </c>
      <c r="C2099" t="s">
        <v>193</v>
      </c>
      <c r="D2099">
        <v>24</v>
      </c>
      <c r="E2099">
        <v>12</v>
      </c>
      <c r="L2099">
        <v>13</v>
      </c>
      <c r="O2099" t="s">
        <v>194</v>
      </c>
      <c r="P2099" s="1" t="b">
        <f>NOT(OR(Table1[[#This Row],[State]]="Other Foreign Countries", Table1[[#This Row],[State]]="Unknown", Table1[[#This Row],[State]]="Puerto Rico all counties"))</f>
        <v>1</v>
      </c>
    </row>
    <row r="2100" spans="1:16" x14ac:dyDescent="0.25">
      <c r="A2100">
        <v>9160</v>
      </c>
      <c r="B2100" t="s">
        <v>609</v>
      </c>
      <c r="C2100" t="s">
        <v>620</v>
      </c>
      <c r="D2100">
        <v>1340</v>
      </c>
      <c r="E2100">
        <v>346</v>
      </c>
      <c r="F2100">
        <v>197</v>
      </c>
      <c r="G2100">
        <v>160</v>
      </c>
      <c r="H2100">
        <v>331</v>
      </c>
      <c r="I2100">
        <v>306</v>
      </c>
      <c r="J2100">
        <v>377</v>
      </c>
      <c r="K2100">
        <v>318</v>
      </c>
      <c r="L2100">
        <v>645</v>
      </c>
      <c r="M2100" s="1">
        <v>1228</v>
      </c>
      <c r="N2100">
        <v>112</v>
      </c>
      <c r="O2100" t="s">
        <v>621</v>
      </c>
      <c r="P2100" s="1" t="b">
        <f>NOT(OR(Table1[[#This Row],[State]]="Other Foreign Countries", Table1[[#This Row],[State]]="Unknown", Table1[[#This Row],[State]]="Puerto Rico all counties"))</f>
        <v>1</v>
      </c>
    </row>
    <row r="2101" spans="1:16" x14ac:dyDescent="0.25">
      <c r="A2101">
        <v>20137</v>
      </c>
      <c r="B2101" t="s">
        <v>1543</v>
      </c>
      <c r="C2101" t="s">
        <v>1650</v>
      </c>
      <c r="D2101">
        <v>73</v>
      </c>
      <c r="E2101">
        <v>19</v>
      </c>
      <c r="H2101">
        <v>18</v>
      </c>
      <c r="I2101">
        <v>16</v>
      </c>
      <c r="J2101">
        <v>16</v>
      </c>
      <c r="K2101">
        <v>24</v>
      </c>
      <c r="L2101">
        <v>33</v>
      </c>
      <c r="O2101" t="s">
        <v>1651</v>
      </c>
      <c r="P2101" s="1" t="b">
        <f>NOT(OR(Table1[[#This Row],[State]]="Other Foreign Countries", Table1[[#This Row],[State]]="Unknown", Table1[[#This Row],[State]]="Puerto Rico all counties"))</f>
        <v>1</v>
      </c>
    </row>
    <row r="2102" spans="1:16" x14ac:dyDescent="0.25">
      <c r="A2102">
        <v>51720</v>
      </c>
      <c r="B2102" t="s">
        <v>4555</v>
      </c>
      <c r="C2102" t="s">
        <v>4744</v>
      </c>
      <c r="D2102">
        <v>62</v>
      </c>
      <c r="E2102">
        <v>12</v>
      </c>
      <c r="H2102">
        <v>20</v>
      </c>
      <c r="I2102">
        <v>16</v>
      </c>
      <c r="J2102">
        <v>21</v>
      </c>
      <c r="K2102">
        <v>18</v>
      </c>
      <c r="L2102">
        <v>23</v>
      </c>
      <c r="O2102" t="s">
        <v>4745</v>
      </c>
      <c r="P2102" s="1" t="b">
        <f>NOT(OR(Table1[[#This Row],[State]]="Other Foreign Countries", Table1[[#This Row],[State]]="Unknown", Table1[[#This Row],[State]]="Puerto Rico all counties"))</f>
        <v>1</v>
      </c>
    </row>
    <row r="2103" spans="1:16" x14ac:dyDescent="0.25">
      <c r="A2103">
        <v>51135</v>
      </c>
      <c r="B2103" t="s">
        <v>4555</v>
      </c>
      <c r="C2103" t="s">
        <v>4650</v>
      </c>
      <c r="D2103">
        <v>409</v>
      </c>
      <c r="E2103">
        <v>85</v>
      </c>
      <c r="F2103">
        <v>37</v>
      </c>
      <c r="G2103">
        <v>53</v>
      </c>
      <c r="H2103">
        <v>139</v>
      </c>
      <c r="I2103">
        <v>95</v>
      </c>
      <c r="J2103">
        <v>82</v>
      </c>
      <c r="K2103">
        <v>160</v>
      </c>
      <c r="L2103">
        <v>167</v>
      </c>
      <c r="M2103">
        <v>370</v>
      </c>
      <c r="N2103">
        <v>39</v>
      </c>
      <c r="O2103" t="s">
        <v>4651</v>
      </c>
      <c r="P2103" s="1" t="b">
        <f>NOT(OR(Table1[[#This Row],[State]]="Other Foreign Countries", Table1[[#This Row],[State]]="Unknown", Table1[[#This Row],[State]]="Puerto Rico all counties"))</f>
        <v>1</v>
      </c>
    </row>
    <row r="2104" spans="1:16" x14ac:dyDescent="0.25">
      <c r="A2104">
        <v>40105</v>
      </c>
      <c r="B2104" t="s">
        <v>3495</v>
      </c>
      <c r="C2104" t="s">
        <v>3573</v>
      </c>
      <c r="D2104">
        <v>208</v>
      </c>
      <c r="E2104">
        <v>55</v>
      </c>
      <c r="F2104">
        <v>22</v>
      </c>
      <c r="G2104">
        <v>19</v>
      </c>
      <c r="H2104">
        <v>61</v>
      </c>
      <c r="I2104">
        <v>51</v>
      </c>
      <c r="J2104">
        <v>54</v>
      </c>
      <c r="K2104">
        <v>49</v>
      </c>
      <c r="L2104">
        <v>105</v>
      </c>
      <c r="M2104">
        <v>189</v>
      </c>
      <c r="N2104">
        <v>19</v>
      </c>
      <c r="O2104" t="s">
        <v>3574</v>
      </c>
      <c r="P2104" s="1" t="b">
        <f>NOT(OR(Table1[[#This Row],[State]]="Other Foreign Countries", Table1[[#This Row],[State]]="Unknown", Table1[[#This Row],[State]]="Puerto Rico all counties"))</f>
        <v>1</v>
      </c>
    </row>
    <row r="2105" spans="1:16" x14ac:dyDescent="0.25">
      <c r="A2105">
        <v>28103</v>
      </c>
      <c r="B2105" t="s">
        <v>322</v>
      </c>
      <c r="C2105" t="s">
        <v>2462</v>
      </c>
      <c r="D2105">
        <v>104</v>
      </c>
      <c r="E2105">
        <v>15</v>
      </c>
      <c r="H2105">
        <v>43</v>
      </c>
      <c r="I2105">
        <v>27</v>
      </c>
      <c r="J2105">
        <v>22</v>
      </c>
      <c r="K2105">
        <v>32</v>
      </c>
      <c r="L2105">
        <v>50</v>
      </c>
      <c r="M2105">
        <v>84</v>
      </c>
      <c r="N2105">
        <v>20</v>
      </c>
      <c r="O2105" t="s">
        <v>2463</v>
      </c>
      <c r="P2105" s="1" t="b">
        <f>NOT(OR(Table1[[#This Row],[State]]="Other Foreign Countries", Table1[[#This Row],[State]]="Unknown", Table1[[#This Row],[State]]="Puerto Rico all counties"))</f>
        <v>1</v>
      </c>
    </row>
    <row r="2106" spans="1:16" x14ac:dyDescent="0.25">
      <c r="A2106">
        <v>31129</v>
      </c>
      <c r="B2106" t="s">
        <v>2758</v>
      </c>
      <c r="C2106" t="s">
        <v>2853</v>
      </c>
      <c r="D2106">
        <v>119</v>
      </c>
      <c r="E2106">
        <v>52</v>
      </c>
      <c r="F2106">
        <v>14</v>
      </c>
      <c r="G2106">
        <v>16</v>
      </c>
      <c r="H2106">
        <v>11</v>
      </c>
      <c r="I2106">
        <v>26</v>
      </c>
      <c r="J2106">
        <v>12</v>
      </c>
      <c r="K2106">
        <v>21</v>
      </c>
      <c r="L2106">
        <v>86</v>
      </c>
      <c r="O2106" t="s">
        <v>2854</v>
      </c>
      <c r="P2106" s="1" t="b">
        <f>NOT(OR(Table1[[#This Row],[State]]="Other Foreign Countries", Table1[[#This Row],[State]]="Unknown", Table1[[#This Row],[State]]="Puerto Rico all counties"))</f>
        <v>1</v>
      </c>
    </row>
    <row r="2107" spans="1:16" x14ac:dyDescent="0.25">
      <c r="A2107">
        <v>48355</v>
      </c>
      <c r="B2107" t="s">
        <v>2654</v>
      </c>
      <c r="C2107" t="s">
        <v>4356</v>
      </c>
      <c r="D2107">
        <v>11556</v>
      </c>
      <c r="E2107" s="1">
        <v>1937</v>
      </c>
      <c r="F2107" s="1">
        <v>1031</v>
      </c>
      <c r="G2107" s="1">
        <v>1204</v>
      </c>
      <c r="H2107" s="1">
        <v>3467</v>
      </c>
      <c r="I2107" s="1">
        <v>3917</v>
      </c>
      <c r="J2107" s="1">
        <v>3028</v>
      </c>
      <c r="K2107" s="1">
        <v>4278</v>
      </c>
      <c r="L2107" s="1">
        <v>4250</v>
      </c>
      <c r="M2107" s="1">
        <v>10355</v>
      </c>
      <c r="N2107" s="1">
        <v>1201</v>
      </c>
      <c r="O2107" t="s">
        <v>4357</v>
      </c>
      <c r="P2107" s="1" t="b">
        <f>NOT(OR(Table1[[#This Row],[State]]="Other Foreign Countries", Table1[[#This Row],[State]]="Unknown", Table1[[#This Row],[State]]="Puerto Rico all counties"))</f>
        <v>1</v>
      </c>
    </row>
    <row r="2108" spans="1:16" x14ac:dyDescent="0.25">
      <c r="A2108">
        <v>32023</v>
      </c>
      <c r="B2108" t="s">
        <v>326</v>
      </c>
      <c r="C2108" t="s">
        <v>2908</v>
      </c>
      <c r="D2108">
        <v>2412</v>
      </c>
      <c r="E2108">
        <v>432</v>
      </c>
      <c r="F2108">
        <v>228</v>
      </c>
      <c r="G2108">
        <v>251</v>
      </c>
      <c r="H2108">
        <v>766</v>
      </c>
      <c r="I2108">
        <v>735</v>
      </c>
      <c r="J2108">
        <v>331</v>
      </c>
      <c r="K2108">
        <v>677</v>
      </c>
      <c r="L2108" s="1">
        <v>1404</v>
      </c>
      <c r="M2108" s="1">
        <v>2168</v>
      </c>
      <c r="N2108">
        <v>244</v>
      </c>
      <c r="O2108" t="s">
        <v>2909</v>
      </c>
      <c r="P2108" s="1" t="b">
        <f>NOT(OR(Table1[[#This Row],[State]]="Other Foreign Countries", Table1[[#This Row],[State]]="Unknown", Table1[[#This Row],[State]]="Puerto Rico all counties"))</f>
        <v>1</v>
      </c>
    </row>
    <row r="2109" spans="1:16" x14ac:dyDescent="0.25">
      <c r="A2109">
        <v>26125</v>
      </c>
      <c r="B2109" t="s">
        <v>2099</v>
      </c>
      <c r="C2109" t="s">
        <v>2209</v>
      </c>
      <c r="D2109">
        <v>11507</v>
      </c>
      <c r="E2109" s="1">
        <v>2725</v>
      </c>
      <c r="F2109" s="1">
        <v>1467</v>
      </c>
      <c r="G2109" s="1">
        <v>1430</v>
      </c>
      <c r="H2109" s="1">
        <v>3121</v>
      </c>
      <c r="I2109" s="1">
        <v>2764</v>
      </c>
      <c r="J2109" s="1">
        <v>3009</v>
      </c>
      <c r="K2109" s="1">
        <v>3185</v>
      </c>
      <c r="L2109" s="1">
        <v>5312</v>
      </c>
      <c r="M2109" s="1">
        <v>10410</v>
      </c>
      <c r="N2109" s="1">
        <v>1095</v>
      </c>
      <c r="O2109" t="s">
        <v>2210</v>
      </c>
      <c r="P2109" s="1" t="b">
        <f>NOT(OR(Table1[[#This Row],[State]]="Other Foreign Countries", Table1[[#This Row],[State]]="Unknown", Table1[[#This Row],[State]]="Puerto Rico all counties"))</f>
        <v>1</v>
      </c>
    </row>
    <row r="2110" spans="1:16" x14ac:dyDescent="0.25">
      <c r="A2110">
        <v>47131</v>
      </c>
      <c r="B2110" t="s">
        <v>3951</v>
      </c>
      <c r="C2110" t="s">
        <v>4034</v>
      </c>
      <c r="D2110">
        <v>549</v>
      </c>
      <c r="E2110">
        <v>101</v>
      </c>
      <c r="F2110">
        <v>77</v>
      </c>
      <c r="G2110">
        <v>75</v>
      </c>
      <c r="H2110">
        <v>162</v>
      </c>
      <c r="I2110">
        <v>134</v>
      </c>
      <c r="J2110">
        <v>96</v>
      </c>
      <c r="K2110">
        <v>183</v>
      </c>
      <c r="L2110">
        <v>270</v>
      </c>
      <c r="M2110">
        <v>509</v>
      </c>
      <c r="N2110">
        <v>40</v>
      </c>
      <c r="O2110" t="s">
        <v>4035</v>
      </c>
      <c r="P2110" s="1" t="b">
        <f>NOT(OR(Table1[[#This Row],[State]]="Other Foreign Countries", Table1[[#This Row],[State]]="Unknown", Table1[[#This Row],[State]]="Puerto Rico all counties"))</f>
        <v>1</v>
      </c>
    </row>
    <row r="2111" spans="1:16" x14ac:dyDescent="0.25">
      <c r="A2111">
        <v>19141</v>
      </c>
      <c r="B2111" t="s">
        <v>1399</v>
      </c>
      <c r="C2111" t="s">
        <v>1498</v>
      </c>
      <c r="D2111">
        <v>217</v>
      </c>
      <c r="E2111">
        <v>87</v>
      </c>
      <c r="F2111">
        <v>27</v>
      </c>
      <c r="G2111">
        <v>29</v>
      </c>
      <c r="H2111">
        <v>38</v>
      </c>
      <c r="I2111">
        <v>36</v>
      </c>
      <c r="J2111">
        <v>40</v>
      </c>
      <c r="K2111">
        <v>50</v>
      </c>
      <c r="L2111">
        <v>127</v>
      </c>
      <c r="M2111">
        <v>207</v>
      </c>
      <c r="N2111">
        <v>10</v>
      </c>
      <c r="O2111" t="s">
        <v>1499</v>
      </c>
      <c r="P2111" s="1" t="b">
        <f>NOT(OR(Table1[[#This Row],[State]]="Other Foreign Countries", Table1[[#This Row],[State]]="Unknown", Table1[[#This Row],[State]]="Puerto Rico all counties"))</f>
        <v>1</v>
      </c>
    </row>
    <row r="2112" spans="1:16" x14ac:dyDescent="0.25">
      <c r="A2112">
        <v>34029</v>
      </c>
      <c r="B2112" t="s">
        <v>2938</v>
      </c>
      <c r="C2112" t="s">
        <v>2961</v>
      </c>
      <c r="D2112">
        <v>8069</v>
      </c>
      <c r="E2112" s="1">
        <v>1932</v>
      </c>
      <c r="F2112">
        <v>838</v>
      </c>
      <c r="G2112">
        <v>864</v>
      </c>
      <c r="H2112" s="1">
        <v>2330</v>
      </c>
      <c r="I2112" s="1">
        <v>2105</v>
      </c>
      <c r="J2112" s="1">
        <v>1672</v>
      </c>
      <c r="K2112" s="1">
        <v>1755</v>
      </c>
      <c r="L2112" s="1">
        <v>4642</v>
      </c>
      <c r="M2112" s="1">
        <v>7598</v>
      </c>
      <c r="N2112">
        <v>469</v>
      </c>
      <c r="O2112" t="s">
        <v>2962</v>
      </c>
      <c r="P2112" s="1" t="b">
        <f>NOT(OR(Table1[[#This Row],[State]]="Other Foreign Countries", Table1[[#This Row],[State]]="Unknown", Table1[[#This Row],[State]]="Puerto Rico all counties"))</f>
        <v>1</v>
      </c>
    </row>
    <row r="2113" spans="1:16" x14ac:dyDescent="0.25">
      <c r="A2113">
        <v>26127</v>
      </c>
      <c r="B2113" t="s">
        <v>2099</v>
      </c>
      <c r="C2113" t="s">
        <v>2211</v>
      </c>
      <c r="D2113">
        <v>559</v>
      </c>
      <c r="E2113">
        <v>89</v>
      </c>
      <c r="F2113">
        <v>58</v>
      </c>
      <c r="G2113">
        <v>71</v>
      </c>
      <c r="H2113">
        <v>175</v>
      </c>
      <c r="I2113">
        <v>166</v>
      </c>
      <c r="J2113">
        <v>129</v>
      </c>
      <c r="K2113">
        <v>145</v>
      </c>
      <c r="L2113">
        <v>285</v>
      </c>
      <c r="M2113">
        <v>506</v>
      </c>
      <c r="N2113">
        <v>53</v>
      </c>
      <c r="O2113" t="s">
        <v>2212</v>
      </c>
      <c r="P2113" s="1" t="b">
        <f>NOT(OR(Table1[[#This Row],[State]]="Other Foreign Countries", Table1[[#This Row],[State]]="Unknown", Table1[[#This Row],[State]]="Puerto Rico all counties"))</f>
        <v>1</v>
      </c>
    </row>
    <row r="2114" spans="1:16" x14ac:dyDescent="0.25">
      <c r="A2114">
        <v>48357</v>
      </c>
      <c r="B2114" t="s">
        <v>2654</v>
      </c>
      <c r="C2114" t="s">
        <v>4358</v>
      </c>
      <c r="D2114">
        <v>70</v>
      </c>
      <c r="E2114">
        <v>16</v>
      </c>
      <c r="H2114">
        <v>18</v>
      </c>
      <c r="I2114">
        <v>21</v>
      </c>
      <c r="J2114">
        <v>21</v>
      </c>
      <c r="K2114">
        <v>16</v>
      </c>
      <c r="L2114">
        <v>33</v>
      </c>
      <c r="O2114" t="s">
        <v>4359</v>
      </c>
      <c r="P2114" s="1" t="b">
        <f>NOT(OR(Table1[[#This Row],[State]]="Other Foreign Countries", Table1[[#This Row],[State]]="Unknown", Table1[[#This Row],[State]]="Puerto Rico all counties"))</f>
        <v>1</v>
      </c>
    </row>
    <row r="2115" spans="1:16" x14ac:dyDescent="0.25">
      <c r="A2115">
        <v>13219</v>
      </c>
      <c r="B2115" t="s">
        <v>754</v>
      </c>
      <c r="C2115" t="s">
        <v>933</v>
      </c>
      <c r="D2115">
        <v>611</v>
      </c>
      <c r="E2115">
        <v>128</v>
      </c>
      <c r="F2115">
        <v>73</v>
      </c>
      <c r="G2115">
        <v>88</v>
      </c>
      <c r="H2115">
        <v>169</v>
      </c>
      <c r="I2115">
        <v>153</v>
      </c>
      <c r="J2115">
        <v>149</v>
      </c>
      <c r="K2115">
        <v>199</v>
      </c>
      <c r="L2115">
        <v>263</v>
      </c>
      <c r="M2115">
        <v>564</v>
      </c>
      <c r="N2115">
        <v>47</v>
      </c>
      <c r="O2115" t="s">
        <v>934</v>
      </c>
      <c r="P2115" s="1" t="b">
        <f>NOT(OR(Table1[[#This Row],[State]]="Other Foreign Countries", Table1[[#This Row],[State]]="Unknown", Table1[[#This Row],[State]]="Puerto Rico all counties"))</f>
        <v>1</v>
      </c>
    </row>
    <row r="2116" spans="1:16" x14ac:dyDescent="0.25">
      <c r="A2116">
        <v>45073</v>
      </c>
      <c r="B2116" t="s">
        <v>3772</v>
      </c>
      <c r="C2116" t="s">
        <v>933</v>
      </c>
      <c r="D2116">
        <v>1927</v>
      </c>
      <c r="E2116">
        <v>384</v>
      </c>
      <c r="F2116">
        <v>188</v>
      </c>
      <c r="G2116">
        <v>236</v>
      </c>
      <c r="H2116">
        <v>553</v>
      </c>
      <c r="I2116">
        <v>566</v>
      </c>
      <c r="J2116">
        <v>419</v>
      </c>
      <c r="K2116">
        <v>553</v>
      </c>
      <c r="L2116">
        <v>955</v>
      </c>
      <c r="M2116" s="1">
        <v>1760</v>
      </c>
      <c r="N2116">
        <v>166</v>
      </c>
      <c r="O2116" t="s">
        <v>3832</v>
      </c>
      <c r="P2116" s="1" t="b">
        <f>NOT(OR(Table1[[#This Row],[State]]="Other Foreign Countries", Table1[[#This Row],[State]]="Unknown", Table1[[#This Row],[State]]="Puerto Rico all counties"))</f>
        <v>1</v>
      </c>
    </row>
    <row r="2117" spans="1:16" x14ac:dyDescent="0.25">
      <c r="A2117">
        <v>55083</v>
      </c>
      <c r="B2117" t="s">
        <v>4906</v>
      </c>
      <c r="C2117" t="s">
        <v>4966</v>
      </c>
      <c r="D2117">
        <v>1061</v>
      </c>
      <c r="E2117">
        <v>268</v>
      </c>
      <c r="F2117">
        <v>152</v>
      </c>
      <c r="G2117">
        <v>146</v>
      </c>
      <c r="H2117">
        <v>296</v>
      </c>
      <c r="I2117">
        <v>199</v>
      </c>
      <c r="J2117">
        <v>237</v>
      </c>
      <c r="K2117">
        <v>269</v>
      </c>
      <c r="L2117">
        <v>555</v>
      </c>
      <c r="M2117">
        <v>969</v>
      </c>
      <c r="N2117">
        <v>92</v>
      </c>
      <c r="O2117" t="s">
        <v>4967</v>
      </c>
      <c r="P2117" s="1" t="b">
        <f>NOT(OR(Table1[[#This Row],[State]]="Other Foreign Countries", Table1[[#This Row],[State]]="Unknown", Table1[[#This Row],[State]]="Puerto Rico all counties"))</f>
        <v>1</v>
      </c>
    </row>
    <row r="2118" spans="1:16" x14ac:dyDescent="0.25">
      <c r="A2118">
        <v>26129</v>
      </c>
      <c r="B2118" t="s">
        <v>2099</v>
      </c>
      <c r="C2118" t="s">
        <v>2213</v>
      </c>
      <c r="D2118">
        <v>615</v>
      </c>
      <c r="E2118">
        <v>137</v>
      </c>
      <c r="F2118">
        <v>70</v>
      </c>
      <c r="G2118">
        <v>71</v>
      </c>
      <c r="H2118">
        <v>183</v>
      </c>
      <c r="I2118">
        <v>154</v>
      </c>
      <c r="J2118">
        <v>128</v>
      </c>
      <c r="K2118">
        <v>180</v>
      </c>
      <c r="L2118">
        <v>307</v>
      </c>
      <c r="M2118">
        <v>574</v>
      </c>
      <c r="N2118">
        <v>40</v>
      </c>
      <c r="O2118" t="s">
        <v>2214</v>
      </c>
      <c r="P2118" s="1" t="b">
        <f>NOT(OR(Table1[[#This Row],[State]]="Other Foreign Countries", Table1[[#This Row],[State]]="Unknown", Table1[[#This Row],[State]]="Puerto Rico all counties"))</f>
        <v>1</v>
      </c>
    </row>
    <row r="2119" spans="1:16" x14ac:dyDescent="0.25">
      <c r="A2119">
        <v>46102</v>
      </c>
      <c r="B2119" t="s">
        <v>3846</v>
      </c>
      <c r="C2119" t="s">
        <v>3925</v>
      </c>
      <c r="D2119">
        <v>159</v>
      </c>
      <c r="E2119">
        <v>39</v>
      </c>
      <c r="F2119">
        <v>14</v>
      </c>
      <c r="G2119">
        <v>16</v>
      </c>
      <c r="H2119">
        <v>60</v>
      </c>
      <c r="I2119">
        <v>30</v>
      </c>
      <c r="J2119">
        <v>35</v>
      </c>
      <c r="K2119">
        <v>75</v>
      </c>
      <c r="L2119">
        <v>49</v>
      </c>
      <c r="M2119">
        <v>130</v>
      </c>
      <c r="N2119">
        <v>29</v>
      </c>
      <c r="O2119" t="s">
        <v>3926</v>
      </c>
      <c r="P2119" s="1" t="b">
        <f>NOT(OR(Table1[[#This Row],[State]]="Other Foreign Countries", Table1[[#This Row],[State]]="Unknown", Table1[[#This Row],[State]]="Puerto Rico all counties"))</f>
        <v>1</v>
      </c>
    </row>
    <row r="2120" spans="1:16" x14ac:dyDescent="0.25">
      <c r="A2120">
        <v>17141</v>
      </c>
      <c r="B2120" t="s">
        <v>1109</v>
      </c>
      <c r="C2120" t="s">
        <v>1217</v>
      </c>
      <c r="D2120">
        <v>755</v>
      </c>
      <c r="E2120">
        <v>149</v>
      </c>
      <c r="F2120">
        <v>80</v>
      </c>
      <c r="G2120">
        <v>87</v>
      </c>
      <c r="H2120">
        <v>238</v>
      </c>
      <c r="I2120">
        <v>201</v>
      </c>
      <c r="J2120">
        <v>263</v>
      </c>
      <c r="K2120">
        <v>198</v>
      </c>
      <c r="L2120">
        <v>294</v>
      </c>
      <c r="M2120">
        <v>681</v>
      </c>
      <c r="N2120">
        <v>74</v>
      </c>
      <c r="O2120" t="s">
        <v>1218</v>
      </c>
      <c r="P2120" s="1" t="b">
        <f>NOT(OR(Table1[[#This Row],[State]]="Other Foreign Countries", Table1[[#This Row],[State]]="Unknown", Table1[[#This Row],[State]]="Puerto Rico all counties"))</f>
        <v>1</v>
      </c>
    </row>
    <row r="2121" spans="1:16" x14ac:dyDescent="0.25">
      <c r="A2121">
        <v>13221</v>
      </c>
      <c r="B2121" t="s">
        <v>754</v>
      </c>
      <c r="C2121" t="s">
        <v>935</v>
      </c>
      <c r="D2121">
        <v>356</v>
      </c>
      <c r="E2121">
        <v>67</v>
      </c>
      <c r="F2121">
        <v>32</v>
      </c>
      <c r="G2121">
        <v>48</v>
      </c>
      <c r="H2121">
        <v>109</v>
      </c>
      <c r="I2121">
        <v>100</v>
      </c>
      <c r="J2121">
        <v>81</v>
      </c>
      <c r="K2121">
        <v>109</v>
      </c>
      <c r="L2121">
        <v>166</v>
      </c>
      <c r="M2121">
        <v>323</v>
      </c>
      <c r="N2121">
        <v>33</v>
      </c>
      <c r="O2121" t="s">
        <v>936</v>
      </c>
      <c r="P2121" s="1" t="b">
        <f>NOT(OR(Table1[[#This Row],[State]]="Other Foreign Countries", Table1[[#This Row],[State]]="Unknown", Table1[[#This Row],[State]]="Puerto Rico all counties"))</f>
        <v>1</v>
      </c>
    </row>
    <row r="2122" spans="1:16" x14ac:dyDescent="0.25">
      <c r="A2122">
        <v>18115</v>
      </c>
      <c r="B2122" t="s">
        <v>1266</v>
      </c>
      <c r="C2122" t="s">
        <v>1343</v>
      </c>
      <c r="D2122">
        <v>155</v>
      </c>
      <c r="E2122">
        <v>55</v>
      </c>
      <c r="F2122">
        <v>21</v>
      </c>
      <c r="G2122">
        <v>18</v>
      </c>
      <c r="H2122">
        <v>40</v>
      </c>
      <c r="I2122">
        <v>21</v>
      </c>
      <c r="J2122">
        <v>37</v>
      </c>
      <c r="K2122">
        <v>43</v>
      </c>
      <c r="L2122">
        <v>75</v>
      </c>
      <c r="M2122">
        <v>145</v>
      </c>
      <c r="N2122">
        <v>10</v>
      </c>
      <c r="O2122" t="s">
        <v>1344</v>
      </c>
      <c r="P2122" s="1" t="b">
        <f>NOT(OR(Table1[[#This Row],[State]]="Other Foreign Countries", Table1[[#This Row],[State]]="Unknown", Table1[[#This Row],[State]]="Puerto Rico all counties"))</f>
        <v>1</v>
      </c>
    </row>
    <row r="2123" spans="1:16" x14ac:dyDescent="0.25">
      <c r="A2123">
        <v>21183</v>
      </c>
      <c r="B2123" t="s">
        <v>1716</v>
      </c>
      <c r="C2123" t="s">
        <v>1343</v>
      </c>
      <c r="D2123">
        <v>401</v>
      </c>
      <c r="E2123">
        <v>66</v>
      </c>
      <c r="F2123">
        <v>35</v>
      </c>
      <c r="G2123">
        <v>49</v>
      </c>
      <c r="H2123">
        <v>130</v>
      </c>
      <c r="I2123">
        <v>121</v>
      </c>
      <c r="J2123">
        <v>89</v>
      </c>
      <c r="K2123">
        <v>114</v>
      </c>
      <c r="L2123">
        <v>198</v>
      </c>
      <c r="M2123">
        <v>377</v>
      </c>
      <c r="N2123">
        <v>24</v>
      </c>
      <c r="O2123" t="s">
        <v>1851</v>
      </c>
      <c r="P2123" s="1" t="b">
        <f>NOT(OR(Table1[[#This Row],[State]]="Other Foreign Countries", Table1[[#This Row],[State]]="Unknown", Table1[[#This Row],[State]]="Puerto Rico all counties"))</f>
        <v>1</v>
      </c>
    </row>
    <row r="2124" spans="1:16" x14ac:dyDescent="0.25">
      <c r="A2124">
        <v>54069</v>
      </c>
      <c r="B2124" t="s">
        <v>4833</v>
      </c>
      <c r="C2124" t="s">
        <v>1343</v>
      </c>
      <c r="D2124">
        <v>655</v>
      </c>
      <c r="E2124">
        <v>187</v>
      </c>
      <c r="F2124">
        <v>88</v>
      </c>
      <c r="G2124">
        <v>78</v>
      </c>
      <c r="H2124">
        <v>173</v>
      </c>
      <c r="I2124">
        <v>129</v>
      </c>
      <c r="J2124">
        <v>121</v>
      </c>
      <c r="K2124">
        <v>215</v>
      </c>
      <c r="L2124">
        <v>319</v>
      </c>
      <c r="M2124">
        <v>613</v>
      </c>
      <c r="N2124">
        <v>42</v>
      </c>
      <c r="O2124" t="s">
        <v>4877</v>
      </c>
      <c r="P2124" s="1" t="b">
        <f>NOT(OR(Table1[[#This Row],[State]]="Other Foreign Countries", Table1[[#This Row],[State]]="Unknown", Table1[[#This Row],[State]]="Puerto Rico all counties"))</f>
        <v>1</v>
      </c>
    </row>
    <row r="2125" spans="1:16" x14ac:dyDescent="0.25">
      <c r="A2125">
        <v>12091</v>
      </c>
      <c r="B2125" t="s">
        <v>637</v>
      </c>
      <c r="C2125" t="s">
        <v>715</v>
      </c>
      <c r="D2125">
        <v>20103</v>
      </c>
      <c r="E2125" s="1">
        <v>3402</v>
      </c>
      <c r="F2125" s="1">
        <v>2057</v>
      </c>
      <c r="G2125" s="1">
        <v>2222</v>
      </c>
      <c r="H2125" s="1">
        <v>5659</v>
      </c>
      <c r="I2125" s="1">
        <v>6763</v>
      </c>
      <c r="J2125" s="1">
        <v>5630</v>
      </c>
      <c r="K2125" s="1">
        <v>8408</v>
      </c>
      <c r="L2125" s="1">
        <v>6065</v>
      </c>
      <c r="M2125" s="1">
        <v>16695</v>
      </c>
      <c r="N2125" s="1">
        <v>3408</v>
      </c>
      <c r="O2125" t="s">
        <v>716</v>
      </c>
      <c r="P2125" s="1" t="b">
        <f>NOT(OR(Table1[[#This Row],[State]]="Other Foreign Countries", Table1[[#This Row],[State]]="Unknown", Table1[[#This Row],[State]]="Puerto Rico all counties"))</f>
        <v>1</v>
      </c>
    </row>
    <row r="2126" spans="1:16" x14ac:dyDescent="0.25">
      <c r="A2126">
        <v>53047</v>
      </c>
      <c r="B2126" t="s">
        <v>144</v>
      </c>
      <c r="C2126" t="s">
        <v>4805</v>
      </c>
      <c r="D2126">
        <v>1001</v>
      </c>
      <c r="E2126">
        <v>237</v>
      </c>
      <c r="F2126">
        <v>115</v>
      </c>
      <c r="G2126">
        <v>111</v>
      </c>
      <c r="H2126">
        <v>296</v>
      </c>
      <c r="I2126">
        <v>242</v>
      </c>
      <c r="J2126">
        <v>172</v>
      </c>
      <c r="K2126">
        <v>287</v>
      </c>
      <c r="L2126">
        <v>542</v>
      </c>
      <c r="M2126">
        <v>927</v>
      </c>
      <c r="N2126">
        <v>74</v>
      </c>
      <c r="O2126" t="s">
        <v>4806</v>
      </c>
      <c r="P2126" s="1" t="b">
        <f>NOT(OR(Table1[[#This Row],[State]]="Other Foreign Countries", Table1[[#This Row],[State]]="Unknown", Table1[[#This Row],[State]]="Puerto Rico all counties"))</f>
        <v>1</v>
      </c>
    </row>
    <row r="2127" spans="1:16" x14ac:dyDescent="0.25">
      <c r="A2127">
        <v>12093</v>
      </c>
      <c r="B2127" t="s">
        <v>637</v>
      </c>
      <c r="C2127" t="s">
        <v>717</v>
      </c>
      <c r="D2127">
        <v>892</v>
      </c>
      <c r="E2127">
        <v>196</v>
      </c>
      <c r="F2127">
        <v>92</v>
      </c>
      <c r="G2127">
        <v>121</v>
      </c>
      <c r="H2127">
        <v>275</v>
      </c>
      <c r="I2127">
        <v>208</v>
      </c>
      <c r="J2127">
        <v>157</v>
      </c>
      <c r="K2127">
        <v>203</v>
      </c>
      <c r="L2127">
        <v>532</v>
      </c>
      <c r="M2127">
        <v>836</v>
      </c>
      <c r="N2127">
        <v>56</v>
      </c>
      <c r="O2127" t="s">
        <v>718</v>
      </c>
      <c r="P2127" s="1" t="b">
        <f>NOT(OR(Table1[[#This Row],[State]]="Other Foreign Countries", Table1[[#This Row],[State]]="Unknown", Table1[[#This Row],[State]]="Puerto Rico all counties"))</f>
        <v>1</v>
      </c>
    </row>
    <row r="2128" spans="1:16" x14ac:dyDescent="0.25">
      <c r="A2128">
        <v>40107</v>
      </c>
      <c r="B2128" t="s">
        <v>3495</v>
      </c>
      <c r="C2128" t="s">
        <v>3575</v>
      </c>
      <c r="D2128">
        <v>292</v>
      </c>
      <c r="E2128">
        <v>59</v>
      </c>
      <c r="F2128">
        <v>20</v>
      </c>
      <c r="G2128">
        <v>27</v>
      </c>
      <c r="H2128">
        <v>94</v>
      </c>
      <c r="I2128">
        <v>92</v>
      </c>
      <c r="J2128">
        <v>68</v>
      </c>
      <c r="K2128">
        <v>94</v>
      </c>
      <c r="L2128">
        <v>130</v>
      </c>
      <c r="M2128">
        <v>255</v>
      </c>
      <c r="N2128">
        <v>37</v>
      </c>
      <c r="O2128" t="s">
        <v>3576</v>
      </c>
      <c r="P2128" s="1" t="b">
        <f>NOT(OR(Table1[[#This Row],[State]]="Other Foreign Countries", Table1[[#This Row],[State]]="Unknown", Table1[[#This Row],[State]]="Puerto Rico all counties"))</f>
        <v>1</v>
      </c>
    </row>
    <row r="2129" spans="1:16" x14ac:dyDescent="0.25">
      <c r="A2129">
        <v>40109</v>
      </c>
      <c r="B2129" t="s">
        <v>3495</v>
      </c>
      <c r="C2129" t="s">
        <v>3495</v>
      </c>
      <c r="D2129">
        <v>21675</v>
      </c>
      <c r="E2129" s="1">
        <v>3665</v>
      </c>
      <c r="F2129" s="1">
        <v>2011</v>
      </c>
      <c r="G2129" s="1">
        <v>2334</v>
      </c>
      <c r="H2129" s="1">
        <v>6817</v>
      </c>
      <c r="I2129" s="1">
        <v>6848</v>
      </c>
      <c r="J2129" s="1">
        <v>6279</v>
      </c>
      <c r="K2129" s="1">
        <v>7530</v>
      </c>
      <c r="L2129" s="1">
        <v>7866</v>
      </c>
      <c r="M2129" s="1">
        <v>18696</v>
      </c>
      <c r="N2129" s="1">
        <v>2977</v>
      </c>
      <c r="O2129" t="s">
        <v>3577</v>
      </c>
      <c r="P2129" s="1" t="b">
        <f>NOT(OR(Table1[[#This Row],[State]]="Other Foreign Countries", Table1[[#This Row],[State]]="Unknown", Table1[[#This Row],[State]]="Puerto Rico all counties"))</f>
        <v>1</v>
      </c>
    </row>
    <row r="2130" spans="1:16" x14ac:dyDescent="0.25">
      <c r="A2130">
        <v>40111</v>
      </c>
      <c r="B2130" t="s">
        <v>3495</v>
      </c>
      <c r="C2130" t="s">
        <v>3578</v>
      </c>
      <c r="D2130">
        <v>1137</v>
      </c>
      <c r="E2130">
        <v>208</v>
      </c>
      <c r="F2130">
        <v>127</v>
      </c>
      <c r="G2130">
        <v>151</v>
      </c>
      <c r="H2130">
        <v>369</v>
      </c>
      <c r="I2130">
        <v>282</v>
      </c>
      <c r="J2130">
        <v>229</v>
      </c>
      <c r="K2130">
        <v>309</v>
      </c>
      <c r="L2130">
        <v>599</v>
      </c>
      <c r="M2130" s="1">
        <v>1030</v>
      </c>
      <c r="N2130">
        <v>107</v>
      </c>
      <c r="O2130" t="s">
        <v>3579</v>
      </c>
      <c r="P2130" s="1" t="b">
        <f>NOT(OR(Table1[[#This Row],[State]]="Other Foreign Countries", Table1[[#This Row],[State]]="Unknown", Table1[[#This Row],[State]]="Puerto Rico all counties"))</f>
        <v>1</v>
      </c>
    </row>
    <row r="2131" spans="1:16" x14ac:dyDescent="0.25">
      <c r="A2131">
        <v>28105</v>
      </c>
      <c r="B2131" t="s">
        <v>322</v>
      </c>
      <c r="C2131" t="s">
        <v>2464</v>
      </c>
      <c r="D2131">
        <v>616</v>
      </c>
      <c r="E2131">
        <v>106</v>
      </c>
      <c r="F2131">
        <v>53</v>
      </c>
      <c r="G2131">
        <v>69</v>
      </c>
      <c r="H2131">
        <v>186</v>
      </c>
      <c r="I2131">
        <v>202</v>
      </c>
      <c r="J2131">
        <v>194</v>
      </c>
      <c r="K2131">
        <v>214</v>
      </c>
      <c r="L2131">
        <v>208</v>
      </c>
      <c r="M2131">
        <v>532</v>
      </c>
      <c r="N2131">
        <v>84</v>
      </c>
      <c r="O2131" t="s">
        <v>2465</v>
      </c>
      <c r="P2131" s="1" t="b">
        <f>NOT(OR(Table1[[#This Row],[State]]="Other Foreign Countries", Table1[[#This Row],[State]]="Unknown", Table1[[#This Row],[State]]="Puerto Rico all counties"))</f>
        <v>1</v>
      </c>
    </row>
    <row r="2132" spans="1:16" x14ac:dyDescent="0.25">
      <c r="A2132">
        <v>21185</v>
      </c>
      <c r="B2132" t="s">
        <v>1716</v>
      </c>
      <c r="C2132" t="s">
        <v>1852</v>
      </c>
      <c r="D2132">
        <v>1295</v>
      </c>
      <c r="E2132">
        <v>319</v>
      </c>
      <c r="F2132">
        <v>152</v>
      </c>
      <c r="G2132">
        <v>181</v>
      </c>
      <c r="H2132">
        <v>334</v>
      </c>
      <c r="I2132">
        <v>309</v>
      </c>
      <c r="J2132">
        <v>329</v>
      </c>
      <c r="K2132">
        <v>533</v>
      </c>
      <c r="L2132">
        <v>433</v>
      </c>
      <c r="M2132" s="1">
        <v>1170</v>
      </c>
      <c r="N2132">
        <v>125</v>
      </c>
      <c r="O2132" t="s">
        <v>1853</v>
      </c>
      <c r="P2132" s="1" t="b">
        <f>NOT(OR(Table1[[#This Row],[State]]="Other Foreign Countries", Table1[[#This Row],[State]]="Unknown", Table1[[#This Row],[State]]="Puerto Rico all counties"))</f>
        <v>1</v>
      </c>
    </row>
    <row r="2133" spans="1:16" x14ac:dyDescent="0.25">
      <c r="A2133">
        <v>48359</v>
      </c>
      <c r="B2133" t="s">
        <v>2654</v>
      </c>
      <c r="C2133" t="s">
        <v>1852</v>
      </c>
      <c r="D2133">
        <v>49</v>
      </c>
      <c r="E2133">
        <v>15</v>
      </c>
      <c r="I2133">
        <v>17</v>
      </c>
      <c r="J2133">
        <v>13</v>
      </c>
      <c r="K2133">
        <v>13</v>
      </c>
      <c r="L2133">
        <v>23</v>
      </c>
      <c r="O2133" t="s">
        <v>4360</v>
      </c>
      <c r="P2133" s="1" t="b">
        <f>NOT(OR(Table1[[#This Row],[State]]="Other Foreign Countries", Table1[[#This Row],[State]]="Unknown", Table1[[#This Row],[State]]="Puerto Rico all counties"))</f>
        <v>1</v>
      </c>
    </row>
    <row r="2134" spans="1:16" x14ac:dyDescent="0.25">
      <c r="A2134">
        <v>38065</v>
      </c>
      <c r="B2134" t="s">
        <v>3286</v>
      </c>
      <c r="C2134" t="s">
        <v>3338</v>
      </c>
      <c r="D2134">
        <v>39</v>
      </c>
      <c r="H2134">
        <v>11</v>
      </c>
      <c r="I2134">
        <v>11</v>
      </c>
      <c r="L2134">
        <v>20</v>
      </c>
      <c r="O2134" t="s">
        <v>3339</v>
      </c>
      <c r="P2134" s="1" t="b">
        <f>NOT(OR(Table1[[#This Row],[State]]="Other Foreign Countries", Table1[[#This Row],[State]]="Unknown", Table1[[#This Row],[State]]="Puerto Rico all counties"))</f>
        <v>1</v>
      </c>
    </row>
    <row r="2135" spans="1:16" x14ac:dyDescent="0.25">
      <c r="A2135">
        <v>27109</v>
      </c>
      <c r="B2135" t="s">
        <v>2245</v>
      </c>
      <c r="C2135" t="s">
        <v>2336</v>
      </c>
      <c r="D2135">
        <v>2700</v>
      </c>
      <c r="E2135">
        <v>949</v>
      </c>
      <c r="F2135">
        <v>374</v>
      </c>
      <c r="G2135">
        <v>293</v>
      </c>
      <c r="H2135">
        <v>652</v>
      </c>
      <c r="I2135">
        <v>432</v>
      </c>
      <c r="J2135">
        <v>748</v>
      </c>
      <c r="K2135">
        <v>616</v>
      </c>
      <c r="L2135" s="1">
        <v>1336</v>
      </c>
      <c r="M2135" s="1">
        <v>2463</v>
      </c>
      <c r="N2135">
        <v>231</v>
      </c>
      <c r="O2135" t="s">
        <v>2337</v>
      </c>
      <c r="P2135" s="1" t="b">
        <f>NOT(OR(Table1[[#This Row],[State]]="Other Foreign Countries", Table1[[#This Row],[State]]="Unknown", Table1[[#This Row],[State]]="Puerto Rico all counties"))</f>
        <v>1</v>
      </c>
    </row>
    <row r="2136" spans="1:16" x14ac:dyDescent="0.25">
      <c r="A2136">
        <v>16071</v>
      </c>
      <c r="B2136" t="s">
        <v>1032</v>
      </c>
      <c r="C2136" t="s">
        <v>1092</v>
      </c>
      <c r="D2136">
        <v>91</v>
      </c>
      <c r="E2136">
        <v>18</v>
      </c>
      <c r="F2136">
        <v>11</v>
      </c>
      <c r="G2136">
        <v>18</v>
      </c>
      <c r="H2136">
        <v>27</v>
      </c>
      <c r="I2136">
        <v>17</v>
      </c>
      <c r="J2136">
        <v>20</v>
      </c>
      <c r="K2136">
        <v>26</v>
      </c>
      <c r="L2136">
        <v>45</v>
      </c>
      <c r="O2136" t="s">
        <v>1093</v>
      </c>
      <c r="P2136" s="1" t="b">
        <f>NOT(OR(Table1[[#This Row],[State]]="Other Foreign Countries", Table1[[#This Row],[State]]="Unknown", Table1[[#This Row],[State]]="Puerto Rico all counties"))</f>
        <v>1</v>
      </c>
    </row>
    <row r="2137" spans="1:16" x14ac:dyDescent="0.25">
      <c r="A2137">
        <v>36065</v>
      </c>
      <c r="B2137" t="s">
        <v>3029</v>
      </c>
      <c r="C2137" t="s">
        <v>1092</v>
      </c>
      <c r="D2137">
        <v>3592</v>
      </c>
      <c r="E2137">
        <v>777</v>
      </c>
      <c r="F2137">
        <v>504</v>
      </c>
      <c r="G2137">
        <v>515</v>
      </c>
      <c r="H2137" s="1">
        <v>1028</v>
      </c>
      <c r="I2137">
        <v>768</v>
      </c>
      <c r="J2137">
        <v>845</v>
      </c>
      <c r="K2137" s="1">
        <v>1038</v>
      </c>
      <c r="L2137" s="1">
        <v>1709</v>
      </c>
      <c r="M2137" s="1">
        <v>3243</v>
      </c>
      <c r="N2137">
        <v>348</v>
      </c>
      <c r="O2137" t="s">
        <v>3074</v>
      </c>
      <c r="P2137" s="1" t="b">
        <f>NOT(OR(Table1[[#This Row],[State]]="Other Foreign Countries", Table1[[#This Row],[State]]="Unknown", Table1[[#This Row],[State]]="Puerto Rico all counties"))</f>
        <v>1</v>
      </c>
    </row>
    <row r="2138" spans="1:16" x14ac:dyDescent="0.25">
      <c r="A2138">
        <v>55085</v>
      </c>
      <c r="B2138" t="s">
        <v>4906</v>
      </c>
      <c r="C2138" t="s">
        <v>1092</v>
      </c>
      <c r="D2138">
        <v>933</v>
      </c>
      <c r="E2138">
        <v>184</v>
      </c>
      <c r="F2138">
        <v>102</v>
      </c>
      <c r="G2138">
        <v>128</v>
      </c>
      <c r="H2138">
        <v>282</v>
      </c>
      <c r="I2138">
        <v>237</v>
      </c>
      <c r="J2138">
        <v>186</v>
      </c>
      <c r="K2138">
        <v>266</v>
      </c>
      <c r="L2138">
        <v>481</v>
      </c>
      <c r="M2138">
        <v>848</v>
      </c>
      <c r="N2138">
        <v>84</v>
      </c>
      <c r="O2138" t="s">
        <v>4968</v>
      </c>
      <c r="P2138" s="1" t="b">
        <f>NOT(OR(Table1[[#This Row],[State]]="Other Foreign Countries", Table1[[#This Row],[State]]="Unknown", Table1[[#This Row],[State]]="Puerto Rico all counties"))</f>
        <v>1</v>
      </c>
    </row>
    <row r="2139" spans="1:16" x14ac:dyDescent="0.25">
      <c r="A2139">
        <v>36067</v>
      </c>
      <c r="B2139" t="s">
        <v>3029</v>
      </c>
      <c r="C2139" t="s">
        <v>3075</v>
      </c>
      <c r="D2139">
        <v>5590</v>
      </c>
      <c r="E2139" s="1">
        <v>1128</v>
      </c>
      <c r="F2139">
        <v>699</v>
      </c>
      <c r="G2139">
        <v>744</v>
      </c>
      <c r="H2139" s="1">
        <v>1713</v>
      </c>
      <c r="I2139" s="1">
        <v>1306</v>
      </c>
      <c r="J2139" s="1">
        <v>1725</v>
      </c>
      <c r="K2139" s="1">
        <v>1758</v>
      </c>
      <c r="L2139" s="1">
        <v>2107</v>
      </c>
      <c r="M2139" s="1">
        <v>4959</v>
      </c>
      <c r="N2139">
        <v>631</v>
      </c>
      <c r="O2139" t="s">
        <v>3076</v>
      </c>
      <c r="P2139" s="1" t="b">
        <f>NOT(OR(Table1[[#This Row],[State]]="Other Foreign Countries", Table1[[#This Row],[State]]="Unknown", Table1[[#This Row],[State]]="Puerto Rico all counties"))</f>
        <v>1</v>
      </c>
    </row>
    <row r="2140" spans="1:16" x14ac:dyDescent="0.25">
      <c r="A2140">
        <v>37133</v>
      </c>
      <c r="B2140" t="s">
        <v>3121</v>
      </c>
      <c r="C2140" t="s">
        <v>3231</v>
      </c>
      <c r="D2140">
        <v>22086</v>
      </c>
      <c r="E2140" s="1">
        <v>1941</v>
      </c>
      <c r="F2140" s="1">
        <v>1570</v>
      </c>
      <c r="G2140" s="1">
        <v>2115</v>
      </c>
      <c r="H2140" s="1">
        <v>6594</v>
      </c>
      <c r="I2140" s="1">
        <v>9866</v>
      </c>
      <c r="J2140" s="1">
        <v>10240</v>
      </c>
      <c r="K2140" s="1">
        <v>7523</v>
      </c>
      <c r="L2140" s="1">
        <v>4323</v>
      </c>
      <c r="M2140" s="1">
        <v>18297</v>
      </c>
      <c r="N2140" s="1">
        <v>3788</v>
      </c>
      <c r="O2140" t="s">
        <v>3232</v>
      </c>
      <c r="P2140" s="1" t="b">
        <f>NOT(OR(Table1[[#This Row],[State]]="Other Foreign Countries", Table1[[#This Row],[State]]="Unknown", Table1[[#This Row],[State]]="Puerto Rico all counties"))</f>
        <v>1</v>
      </c>
    </row>
    <row r="2141" spans="1:16" x14ac:dyDescent="0.25">
      <c r="A2141">
        <v>36069</v>
      </c>
      <c r="B2141" t="s">
        <v>3029</v>
      </c>
      <c r="C2141" t="s">
        <v>3077</v>
      </c>
      <c r="D2141">
        <v>1887</v>
      </c>
      <c r="E2141">
        <v>421</v>
      </c>
      <c r="F2141">
        <v>235</v>
      </c>
      <c r="G2141">
        <v>204</v>
      </c>
      <c r="H2141">
        <v>543</v>
      </c>
      <c r="I2141">
        <v>484</v>
      </c>
      <c r="J2141">
        <v>480</v>
      </c>
      <c r="K2141">
        <v>547</v>
      </c>
      <c r="L2141">
        <v>860</v>
      </c>
      <c r="M2141" s="1">
        <v>1709</v>
      </c>
      <c r="N2141">
        <v>178</v>
      </c>
      <c r="O2141" t="s">
        <v>3078</v>
      </c>
      <c r="P2141" s="1" t="b">
        <f>NOT(OR(Table1[[#This Row],[State]]="Other Foreign Countries", Table1[[#This Row],[State]]="Unknown", Table1[[#This Row],[State]]="Puerto Rico all counties"))</f>
        <v>1</v>
      </c>
    </row>
    <row r="2142" spans="1:16" x14ac:dyDescent="0.25">
      <c r="A2142">
        <v>26131</v>
      </c>
      <c r="B2142" t="s">
        <v>2099</v>
      </c>
      <c r="C2142" t="s">
        <v>2215</v>
      </c>
      <c r="D2142">
        <v>345</v>
      </c>
      <c r="E2142">
        <v>100</v>
      </c>
      <c r="F2142">
        <v>44</v>
      </c>
      <c r="G2142">
        <v>43</v>
      </c>
      <c r="H2142">
        <v>89</v>
      </c>
      <c r="I2142">
        <v>69</v>
      </c>
      <c r="J2142">
        <v>34</v>
      </c>
      <c r="K2142">
        <v>87</v>
      </c>
      <c r="L2142">
        <v>224</v>
      </c>
      <c r="M2142">
        <v>328</v>
      </c>
      <c r="N2142">
        <v>17</v>
      </c>
      <c r="O2142" t="s">
        <v>2216</v>
      </c>
      <c r="P2142" s="1" t="b">
        <f>NOT(OR(Table1[[#This Row],[State]]="Other Foreign Countries", Table1[[#This Row],[State]]="Unknown", Table1[[#This Row],[State]]="Puerto Rico all counties"))</f>
        <v>1</v>
      </c>
    </row>
    <row r="2143" spans="1:16" x14ac:dyDescent="0.25">
      <c r="A2143">
        <v>6059</v>
      </c>
      <c r="B2143" t="s">
        <v>374</v>
      </c>
      <c r="C2143" t="s">
        <v>432</v>
      </c>
      <c r="D2143">
        <v>26492</v>
      </c>
      <c r="E2143" s="1">
        <v>5855</v>
      </c>
      <c r="F2143" s="1">
        <v>2774</v>
      </c>
      <c r="G2143" s="1">
        <v>2848</v>
      </c>
      <c r="H2143" s="1">
        <v>7742</v>
      </c>
      <c r="I2143" s="1">
        <v>7273</v>
      </c>
      <c r="J2143" s="1">
        <v>9919</v>
      </c>
      <c r="K2143" s="1">
        <v>7279</v>
      </c>
      <c r="L2143" s="1">
        <v>9294</v>
      </c>
      <c r="M2143" s="1">
        <v>24239</v>
      </c>
      <c r="N2143" s="1">
        <v>2249</v>
      </c>
      <c r="O2143" t="s">
        <v>433</v>
      </c>
      <c r="P2143" s="1" t="b">
        <f>NOT(OR(Table1[[#This Row],[State]]="Other Foreign Countries", Table1[[#This Row],[State]]="Unknown", Table1[[#This Row],[State]]="Puerto Rico all counties"))</f>
        <v>1</v>
      </c>
    </row>
    <row r="2144" spans="1:16" x14ac:dyDescent="0.25">
      <c r="A2144">
        <v>12095</v>
      </c>
      <c r="B2144" t="s">
        <v>637</v>
      </c>
      <c r="C2144" t="s">
        <v>432</v>
      </c>
      <c r="D2144">
        <v>25427</v>
      </c>
      <c r="E2144" s="1">
        <v>4095</v>
      </c>
      <c r="F2144" s="1">
        <v>2405</v>
      </c>
      <c r="G2144" s="1">
        <v>2654</v>
      </c>
      <c r="H2144" s="1">
        <v>7639</v>
      </c>
      <c r="I2144" s="1">
        <v>8634</v>
      </c>
      <c r="J2144" s="1">
        <v>8395</v>
      </c>
      <c r="K2144" s="1">
        <v>9050</v>
      </c>
      <c r="L2144" s="1">
        <v>7982</v>
      </c>
      <c r="M2144" s="1">
        <v>21673</v>
      </c>
      <c r="N2144" s="1">
        <v>3751</v>
      </c>
      <c r="O2144" t="s">
        <v>719</v>
      </c>
      <c r="P2144" s="1" t="b">
        <f>NOT(OR(Table1[[#This Row],[State]]="Other Foreign Countries", Table1[[#This Row],[State]]="Unknown", Table1[[#This Row],[State]]="Puerto Rico all counties"))</f>
        <v>1</v>
      </c>
    </row>
    <row r="2145" spans="1:16" x14ac:dyDescent="0.25">
      <c r="A2145">
        <v>18117</v>
      </c>
      <c r="B2145" t="s">
        <v>1266</v>
      </c>
      <c r="C2145" t="s">
        <v>432</v>
      </c>
      <c r="D2145">
        <v>396</v>
      </c>
      <c r="E2145">
        <v>133</v>
      </c>
      <c r="F2145">
        <v>52</v>
      </c>
      <c r="G2145">
        <v>57</v>
      </c>
      <c r="H2145">
        <v>85</v>
      </c>
      <c r="I2145">
        <v>69</v>
      </c>
      <c r="J2145">
        <v>89</v>
      </c>
      <c r="K2145">
        <v>108</v>
      </c>
      <c r="L2145">
        <v>199</v>
      </c>
      <c r="M2145">
        <v>372</v>
      </c>
      <c r="N2145">
        <v>24</v>
      </c>
      <c r="O2145" t="s">
        <v>1345</v>
      </c>
      <c r="P2145" s="1" t="b">
        <f>NOT(OR(Table1[[#This Row],[State]]="Other Foreign Countries", Table1[[#This Row],[State]]="Unknown", Table1[[#This Row],[State]]="Puerto Rico all counties"))</f>
        <v>1</v>
      </c>
    </row>
    <row r="2146" spans="1:16" x14ac:dyDescent="0.25">
      <c r="A2146">
        <v>36071</v>
      </c>
      <c r="B2146" t="s">
        <v>3029</v>
      </c>
      <c r="C2146" t="s">
        <v>432</v>
      </c>
      <c r="D2146">
        <v>4716</v>
      </c>
      <c r="E2146">
        <v>919</v>
      </c>
      <c r="F2146">
        <v>512</v>
      </c>
      <c r="G2146">
        <v>535</v>
      </c>
      <c r="H2146" s="1">
        <v>1434</v>
      </c>
      <c r="I2146" s="1">
        <v>1316</v>
      </c>
      <c r="J2146" s="1">
        <v>1445</v>
      </c>
      <c r="K2146" s="1">
        <v>1573</v>
      </c>
      <c r="L2146" s="1">
        <v>1698</v>
      </c>
      <c r="M2146" s="1">
        <v>4155</v>
      </c>
      <c r="N2146">
        <v>560</v>
      </c>
      <c r="O2146" t="s">
        <v>3079</v>
      </c>
      <c r="P2146" s="1" t="b">
        <f>NOT(OR(Table1[[#This Row],[State]]="Other Foreign Countries", Table1[[#This Row],[State]]="Unknown", Table1[[#This Row],[State]]="Puerto Rico all counties"))</f>
        <v>1</v>
      </c>
    </row>
    <row r="2147" spans="1:16" x14ac:dyDescent="0.25">
      <c r="A2147">
        <v>37135</v>
      </c>
      <c r="B2147" t="s">
        <v>3121</v>
      </c>
      <c r="C2147" t="s">
        <v>432</v>
      </c>
      <c r="D2147">
        <v>1491</v>
      </c>
      <c r="E2147">
        <v>292</v>
      </c>
      <c r="F2147">
        <v>171</v>
      </c>
      <c r="G2147">
        <v>184</v>
      </c>
      <c r="H2147">
        <v>467</v>
      </c>
      <c r="I2147">
        <v>377</v>
      </c>
      <c r="J2147">
        <v>458</v>
      </c>
      <c r="K2147">
        <v>447</v>
      </c>
      <c r="L2147">
        <v>586</v>
      </c>
      <c r="M2147" s="1">
        <v>1272</v>
      </c>
      <c r="N2147">
        <v>219</v>
      </c>
      <c r="O2147" t="s">
        <v>3233</v>
      </c>
      <c r="P2147" s="1" t="b">
        <f>NOT(OR(Table1[[#This Row],[State]]="Other Foreign Countries", Table1[[#This Row],[State]]="Unknown", Table1[[#This Row],[State]]="Puerto Rico all counties"))</f>
        <v>1</v>
      </c>
    </row>
    <row r="2148" spans="1:16" x14ac:dyDescent="0.25">
      <c r="A2148">
        <v>48361</v>
      </c>
      <c r="B2148" t="s">
        <v>2654</v>
      </c>
      <c r="C2148" t="s">
        <v>432</v>
      </c>
      <c r="D2148">
        <v>1915</v>
      </c>
      <c r="E2148">
        <v>400</v>
      </c>
      <c r="F2148">
        <v>184</v>
      </c>
      <c r="G2148">
        <v>253</v>
      </c>
      <c r="H2148">
        <v>614</v>
      </c>
      <c r="I2148">
        <v>464</v>
      </c>
      <c r="J2148">
        <v>557</v>
      </c>
      <c r="K2148">
        <v>588</v>
      </c>
      <c r="L2148">
        <v>770</v>
      </c>
      <c r="M2148" s="1">
        <v>1747</v>
      </c>
      <c r="N2148">
        <v>168</v>
      </c>
      <c r="O2148" t="s">
        <v>4361</v>
      </c>
      <c r="P2148" s="1" t="b">
        <f>NOT(OR(Table1[[#This Row],[State]]="Other Foreign Countries", Table1[[#This Row],[State]]="Unknown", Table1[[#This Row],[State]]="Puerto Rico all counties"))</f>
        <v>1</v>
      </c>
    </row>
    <row r="2149" spans="1:16" x14ac:dyDescent="0.25">
      <c r="A2149">
        <v>50017</v>
      </c>
      <c r="B2149" t="s">
        <v>4531</v>
      </c>
      <c r="C2149" t="s">
        <v>432</v>
      </c>
      <c r="D2149">
        <v>599</v>
      </c>
      <c r="E2149">
        <v>149</v>
      </c>
      <c r="F2149">
        <v>55</v>
      </c>
      <c r="G2149">
        <v>83</v>
      </c>
      <c r="H2149">
        <v>161</v>
      </c>
      <c r="I2149">
        <v>151</v>
      </c>
      <c r="J2149">
        <v>130</v>
      </c>
      <c r="K2149">
        <v>194</v>
      </c>
      <c r="L2149">
        <v>275</v>
      </c>
      <c r="M2149">
        <v>549</v>
      </c>
      <c r="N2149">
        <v>50</v>
      </c>
      <c r="O2149" t="s">
        <v>4546</v>
      </c>
      <c r="P2149" s="1" t="b">
        <f>NOT(OR(Table1[[#This Row],[State]]="Other Foreign Countries", Table1[[#This Row],[State]]="Unknown", Table1[[#This Row],[State]]="Puerto Rico all counties"))</f>
        <v>1</v>
      </c>
    </row>
    <row r="2150" spans="1:16" x14ac:dyDescent="0.25">
      <c r="A2150">
        <v>51137</v>
      </c>
      <c r="B2150" t="s">
        <v>4555</v>
      </c>
      <c r="C2150" t="s">
        <v>432</v>
      </c>
      <c r="D2150">
        <v>1201</v>
      </c>
      <c r="E2150">
        <v>175</v>
      </c>
      <c r="F2150">
        <v>134</v>
      </c>
      <c r="G2150">
        <v>148</v>
      </c>
      <c r="H2150">
        <v>358</v>
      </c>
      <c r="I2150">
        <v>386</v>
      </c>
      <c r="J2150">
        <v>382</v>
      </c>
      <c r="K2150">
        <v>422</v>
      </c>
      <c r="L2150">
        <v>397</v>
      </c>
      <c r="M2150" s="1">
        <v>1033</v>
      </c>
      <c r="N2150">
        <v>167</v>
      </c>
      <c r="O2150" t="s">
        <v>4652</v>
      </c>
      <c r="P2150" s="1" t="b">
        <f>NOT(OR(Table1[[#This Row],[State]]="Other Foreign Countries", Table1[[#This Row],[State]]="Unknown", Table1[[#This Row],[State]]="Puerto Rico all counties"))</f>
        <v>1</v>
      </c>
    </row>
    <row r="2151" spans="1:16" x14ac:dyDescent="0.25">
      <c r="A2151">
        <v>45075</v>
      </c>
      <c r="B2151" t="s">
        <v>3772</v>
      </c>
      <c r="C2151" t="s">
        <v>3833</v>
      </c>
      <c r="D2151">
        <v>2265</v>
      </c>
      <c r="E2151">
        <v>364</v>
      </c>
      <c r="F2151">
        <v>237</v>
      </c>
      <c r="G2151">
        <v>268</v>
      </c>
      <c r="H2151">
        <v>767</v>
      </c>
      <c r="I2151">
        <v>629</v>
      </c>
      <c r="J2151">
        <v>421</v>
      </c>
      <c r="K2151">
        <v>758</v>
      </c>
      <c r="L2151" s="1">
        <v>1086</v>
      </c>
      <c r="M2151" s="1">
        <v>1973</v>
      </c>
      <c r="N2151">
        <v>292</v>
      </c>
      <c r="O2151" t="s">
        <v>3834</v>
      </c>
      <c r="P2151" s="1" t="b">
        <f>NOT(OR(Table1[[#This Row],[State]]="Other Foreign Countries", Table1[[#This Row],[State]]="Unknown", Table1[[#This Row],[State]]="Puerto Rico all counties"))</f>
        <v>1</v>
      </c>
    </row>
    <row r="2152" spans="1:16" x14ac:dyDescent="0.25">
      <c r="A2152">
        <v>29149</v>
      </c>
      <c r="B2152" t="s">
        <v>2510</v>
      </c>
      <c r="C2152" t="s">
        <v>2607</v>
      </c>
      <c r="D2152">
        <v>290</v>
      </c>
      <c r="E2152">
        <v>66</v>
      </c>
      <c r="F2152">
        <v>30</v>
      </c>
      <c r="G2152">
        <v>32</v>
      </c>
      <c r="H2152">
        <v>87</v>
      </c>
      <c r="I2152">
        <v>75</v>
      </c>
      <c r="J2152">
        <v>59</v>
      </c>
      <c r="K2152">
        <v>80</v>
      </c>
      <c r="L2152">
        <v>151</v>
      </c>
      <c r="M2152">
        <v>267</v>
      </c>
      <c r="N2152">
        <v>23</v>
      </c>
      <c r="O2152" t="s">
        <v>2608</v>
      </c>
      <c r="P2152" s="1" t="b">
        <f>NOT(OR(Table1[[#This Row],[State]]="Other Foreign Countries", Table1[[#This Row],[State]]="Unknown", Table1[[#This Row],[State]]="Puerto Rico all counties"))</f>
        <v>1</v>
      </c>
    </row>
    <row r="2153" spans="1:16" x14ac:dyDescent="0.25">
      <c r="A2153">
        <v>22071</v>
      </c>
      <c r="B2153" t="s">
        <v>1892</v>
      </c>
      <c r="C2153" t="s">
        <v>1952</v>
      </c>
      <c r="D2153">
        <v>5436</v>
      </c>
      <c r="E2153">
        <v>995</v>
      </c>
      <c r="F2153">
        <v>540</v>
      </c>
      <c r="G2153">
        <v>640</v>
      </c>
      <c r="H2153" s="1">
        <v>1762</v>
      </c>
      <c r="I2153" s="1">
        <v>1499</v>
      </c>
      <c r="J2153" s="1">
        <v>1229</v>
      </c>
      <c r="K2153" s="1">
        <v>1962</v>
      </c>
      <c r="L2153" s="1">
        <v>2245</v>
      </c>
      <c r="M2153" s="1">
        <v>4595</v>
      </c>
      <c r="N2153">
        <v>841</v>
      </c>
      <c r="O2153" t="s">
        <v>1953</v>
      </c>
      <c r="P2153" s="1" t="b">
        <f>NOT(OR(Table1[[#This Row],[State]]="Other Foreign Countries", Table1[[#This Row],[State]]="Unknown", Table1[[#This Row],[State]]="Puerto Rico all counties"))</f>
        <v>1</v>
      </c>
    </row>
    <row r="2154" spans="1:16" x14ac:dyDescent="0.25">
      <c r="A2154">
        <v>36073</v>
      </c>
      <c r="B2154" t="s">
        <v>3029</v>
      </c>
      <c r="C2154" t="s">
        <v>1952</v>
      </c>
      <c r="D2154">
        <v>670</v>
      </c>
      <c r="E2154">
        <v>118</v>
      </c>
      <c r="F2154">
        <v>68</v>
      </c>
      <c r="G2154">
        <v>86</v>
      </c>
      <c r="H2154">
        <v>216</v>
      </c>
      <c r="I2154">
        <v>182</v>
      </c>
      <c r="J2154">
        <v>167</v>
      </c>
      <c r="K2154">
        <v>214</v>
      </c>
      <c r="L2154">
        <v>289</v>
      </c>
      <c r="M2154">
        <v>606</v>
      </c>
      <c r="N2154">
        <v>64</v>
      </c>
      <c r="O2154" t="s">
        <v>3080</v>
      </c>
      <c r="P2154" s="1" t="b">
        <f>NOT(OR(Table1[[#This Row],[State]]="Other Foreign Countries", Table1[[#This Row],[State]]="Unknown", Table1[[#This Row],[State]]="Puerto Rico all counties"))</f>
        <v>1</v>
      </c>
    </row>
    <row r="2155" spans="1:16" x14ac:dyDescent="0.25">
      <c r="A2155">
        <v>50019</v>
      </c>
      <c r="B2155" t="s">
        <v>4531</v>
      </c>
      <c r="C2155" t="s">
        <v>1952</v>
      </c>
      <c r="D2155">
        <v>534</v>
      </c>
      <c r="E2155">
        <v>85</v>
      </c>
      <c r="F2155">
        <v>60</v>
      </c>
      <c r="G2155">
        <v>71</v>
      </c>
      <c r="H2155">
        <v>190</v>
      </c>
      <c r="I2155">
        <v>128</v>
      </c>
      <c r="J2155">
        <v>116</v>
      </c>
      <c r="K2155">
        <v>181</v>
      </c>
      <c r="L2155">
        <v>237</v>
      </c>
      <c r="M2155">
        <v>472</v>
      </c>
      <c r="N2155">
        <v>62</v>
      </c>
      <c r="O2155" t="s">
        <v>4547</v>
      </c>
      <c r="P2155" s="1" t="b">
        <f>NOT(OR(Table1[[#This Row],[State]]="Other Foreign Countries", Table1[[#This Row],[State]]="Unknown", Table1[[#This Row],[State]]="Puerto Rico all counties"))</f>
        <v>1</v>
      </c>
    </row>
    <row r="2156" spans="1:16" x14ac:dyDescent="0.25">
      <c r="A2156">
        <v>20139</v>
      </c>
      <c r="B2156" t="s">
        <v>1543</v>
      </c>
      <c r="C2156" t="s">
        <v>1652</v>
      </c>
      <c r="D2156">
        <v>401</v>
      </c>
      <c r="E2156">
        <v>57</v>
      </c>
      <c r="F2156">
        <v>51</v>
      </c>
      <c r="G2156">
        <v>57</v>
      </c>
      <c r="H2156">
        <v>124</v>
      </c>
      <c r="I2156">
        <v>112</v>
      </c>
      <c r="J2156">
        <v>94</v>
      </c>
      <c r="K2156">
        <v>153</v>
      </c>
      <c r="L2156">
        <v>154</v>
      </c>
      <c r="M2156">
        <v>361</v>
      </c>
      <c r="N2156">
        <v>40</v>
      </c>
      <c r="O2156" t="s">
        <v>1653</v>
      </c>
      <c r="P2156" s="1" t="b">
        <f>NOT(OR(Table1[[#This Row],[State]]="Other Foreign Countries", Table1[[#This Row],[State]]="Unknown", Table1[[#This Row],[State]]="Puerto Rico all counties"))</f>
        <v>1</v>
      </c>
    </row>
    <row r="2157" spans="1:16" x14ac:dyDescent="0.25">
      <c r="A2157">
        <v>29151</v>
      </c>
      <c r="B2157" t="s">
        <v>2510</v>
      </c>
      <c r="C2157" t="s">
        <v>1652</v>
      </c>
      <c r="D2157">
        <v>332</v>
      </c>
      <c r="E2157">
        <v>90</v>
      </c>
      <c r="F2157">
        <v>40</v>
      </c>
      <c r="G2157">
        <v>49</v>
      </c>
      <c r="H2157">
        <v>96</v>
      </c>
      <c r="I2157">
        <v>57</v>
      </c>
      <c r="J2157">
        <v>68</v>
      </c>
      <c r="K2157">
        <v>89</v>
      </c>
      <c r="L2157">
        <v>175</v>
      </c>
      <c r="M2157">
        <v>299</v>
      </c>
      <c r="N2157">
        <v>31</v>
      </c>
      <c r="O2157" t="s">
        <v>2609</v>
      </c>
      <c r="P2157" s="1" t="b">
        <f>NOT(OR(Table1[[#This Row],[State]]="Other Foreign Countries", Table1[[#This Row],[State]]="Unknown", Table1[[#This Row],[State]]="Puerto Rico all counties"))</f>
        <v>1</v>
      </c>
    </row>
    <row r="2158" spans="1:16" x14ac:dyDescent="0.25">
      <c r="A2158">
        <v>40113</v>
      </c>
      <c r="B2158" t="s">
        <v>3495</v>
      </c>
      <c r="C2158" t="s">
        <v>1652</v>
      </c>
      <c r="D2158">
        <v>1204</v>
      </c>
      <c r="E2158">
        <v>275</v>
      </c>
      <c r="F2158">
        <v>125</v>
      </c>
      <c r="G2158">
        <v>133</v>
      </c>
      <c r="H2158">
        <v>367</v>
      </c>
      <c r="I2158">
        <v>304</v>
      </c>
      <c r="J2158">
        <v>253</v>
      </c>
      <c r="K2158">
        <v>335</v>
      </c>
      <c r="L2158">
        <v>616</v>
      </c>
      <c r="M2158" s="1">
        <v>1119</v>
      </c>
      <c r="N2158">
        <v>85</v>
      </c>
      <c r="O2158" t="s">
        <v>3580</v>
      </c>
      <c r="P2158" s="1" t="b">
        <f>NOT(OR(Table1[[#This Row],[State]]="Other Foreign Countries", Table1[[#This Row],[State]]="Unknown", Table1[[#This Row],[State]]="Puerto Rico all counties"))</f>
        <v>1</v>
      </c>
    </row>
    <row r="2159" spans="1:16" x14ac:dyDescent="0.25">
      <c r="A2159">
        <v>20141</v>
      </c>
      <c r="B2159" t="s">
        <v>1543</v>
      </c>
      <c r="C2159" t="s">
        <v>1654</v>
      </c>
      <c r="D2159">
        <v>42</v>
      </c>
      <c r="E2159">
        <v>12</v>
      </c>
      <c r="H2159">
        <v>14</v>
      </c>
      <c r="L2159">
        <v>24</v>
      </c>
      <c r="O2159" t="s">
        <v>1655</v>
      </c>
      <c r="P2159" s="1" t="b">
        <f>NOT(OR(Table1[[#This Row],[State]]="Other Foreign Countries", Table1[[#This Row],[State]]="Unknown", Table1[[#This Row],[State]]="Puerto Rico all counties"))</f>
        <v>1</v>
      </c>
    </row>
    <row r="2160" spans="1:16" x14ac:dyDescent="0.25">
      <c r="A2160">
        <v>12097</v>
      </c>
      <c r="B2160" t="s">
        <v>637</v>
      </c>
      <c r="C2160" t="s">
        <v>720</v>
      </c>
      <c r="D2160">
        <v>10041</v>
      </c>
      <c r="E2160" s="1">
        <v>1258</v>
      </c>
      <c r="F2160">
        <v>784</v>
      </c>
      <c r="G2160">
        <v>962</v>
      </c>
      <c r="H2160" s="1">
        <v>3007</v>
      </c>
      <c r="I2160" s="1">
        <v>4030</v>
      </c>
      <c r="J2160" s="1">
        <v>3135</v>
      </c>
      <c r="K2160" s="1">
        <v>3781</v>
      </c>
      <c r="L2160" s="1">
        <v>3125</v>
      </c>
      <c r="M2160" s="1">
        <v>8677</v>
      </c>
      <c r="N2160" s="1">
        <v>1363</v>
      </c>
      <c r="O2160" t="s">
        <v>721</v>
      </c>
      <c r="P2160" s="1" t="b">
        <f>NOT(OR(Table1[[#This Row],[State]]="Other Foreign Countries", Table1[[#This Row],[State]]="Unknown", Table1[[#This Row],[State]]="Puerto Rico all counties"))</f>
        <v>1</v>
      </c>
    </row>
    <row r="2161" spans="1:16" x14ac:dyDescent="0.25">
      <c r="A2161">
        <v>19143</v>
      </c>
      <c r="B2161" t="s">
        <v>1399</v>
      </c>
      <c r="C2161" t="s">
        <v>720</v>
      </c>
      <c r="D2161">
        <v>92</v>
      </c>
      <c r="E2161">
        <v>26</v>
      </c>
      <c r="F2161">
        <v>20</v>
      </c>
      <c r="G2161">
        <v>12</v>
      </c>
      <c r="H2161">
        <v>12</v>
      </c>
      <c r="I2161">
        <v>22</v>
      </c>
      <c r="J2161">
        <v>11</v>
      </c>
      <c r="K2161">
        <v>27</v>
      </c>
      <c r="L2161">
        <v>54</v>
      </c>
      <c r="O2161" t="s">
        <v>1500</v>
      </c>
      <c r="P2161" s="1" t="b">
        <f>NOT(OR(Table1[[#This Row],[State]]="Other Foreign Countries", Table1[[#This Row],[State]]="Unknown", Table1[[#This Row],[State]]="Puerto Rico all counties"))</f>
        <v>1</v>
      </c>
    </row>
    <row r="2162" spans="1:16" x14ac:dyDescent="0.25">
      <c r="A2162">
        <v>26133</v>
      </c>
      <c r="B2162" t="s">
        <v>2099</v>
      </c>
      <c r="C2162" t="s">
        <v>720</v>
      </c>
      <c r="D2162">
        <v>537</v>
      </c>
      <c r="E2162">
        <v>133</v>
      </c>
      <c r="F2162">
        <v>67</v>
      </c>
      <c r="G2162">
        <v>60</v>
      </c>
      <c r="H2162">
        <v>147</v>
      </c>
      <c r="I2162">
        <v>130</v>
      </c>
      <c r="J2162">
        <v>100</v>
      </c>
      <c r="K2162">
        <v>143</v>
      </c>
      <c r="L2162">
        <v>294</v>
      </c>
      <c r="M2162">
        <v>494</v>
      </c>
      <c r="N2162">
        <v>43</v>
      </c>
      <c r="O2162" t="s">
        <v>2217</v>
      </c>
      <c r="P2162" s="1" t="b">
        <f>NOT(OR(Table1[[#This Row],[State]]="Other Foreign Countries", Table1[[#This Row],[State]]="Unknown", Table1[[#This Row],[State]]="Puerto Rico all counties"))</f>
        <v>1</v>
      </c>
    </row>
    <row r="2163" spans="1:16" x14ac:dyDescent="0.25">
      <c r="A2163">
        <v>26135</v>
      </c>
      <c r="B2163" t="s">
        <v>2099</v>
      </c>
      <c r="C2163" t="s">
        <v>2218</v>
      </c>
      <c r="D2163">
        <v>277</v>
      </c>
      <c r="E2163">
        <v>55</v>
      </c>
      <c r="F2163">
        <v>32</v>
      </c>
      <c r="G2163">
        <v>30</v>
      </c>
      <c r="H2163">
        <v>88</v>
      </c>
      <c r="I2163">
        <v>72</v>
      </c>
      <c r="J2163">
        <v>38</v>
      </c>
      <c r="K2163">
        <v>94</v>
      </c>
      <c r="L2163">
        <v>145</v>
      </c>
      <c r="M2163">
        <v>260</v>
      </c>
      <c r="N2163">
        <v>17</v>
      </c>
      <c r="O2163" t="s">
        <v>2219</v>
      </c>
      <c r="P2163" s="1" t="b">
        <f>NOT(OR(Table1[[#This Row],[State]]="Other Foreign Countries", Table1[[#This Row],[State]]="Unknown", Table1[[#This Row],[State]]="Puerto Rico all counties"))</f>
        <v>1</v>
      </c>
    </row>
    <row r="2164" spans="1:16" x14ac:dyDescent="0.25">
      <c r="A2164">
        <v>36075</v>
      </c>
      <c r="B2164" t="s">
        <v>3029</v>
      </c>
      <c r="C2164" t="s">
        <v>3081</v>
      </c>
      <c r="D2164">
        <v>1973</v>
      </c>
      <c r="E2164">
        <v>430</v>
      </c>
      <c r="F2164">
        <v>286</v>
      </c>
      <c r="G2164">
        <v>235</v>
      </c>
      <c r="H2164">
        <v>577</v>
      </c>
      <c r="I2164">
        <v>445</v>
      </c>
      <c r="J2164">
        <v>568</v>
      </c>
      <c r="K2164">
        <v>648</v>
      </c>
      <c r="L2164">
        <v>757</v>
      </c>
      <c r="M2164" s="1">
        <v>1774</v>
      </c>
      <c r="N2164">
        <v>198</v>
      </c>
      <c r="O2164" t="s">
        <v>3082</v>
      </c>
      <c r="P2164" s="1" t="b">
        <f>NOT(OR(Table1[[#This Row],[State]]="Other Foreign Countries", Table1[[#This Row],[State]]="Unknown", Table1[[#This Row],[State]]="Puerto Rico all counties"))</f>
        <v>1</v>
      </c>
    </row>
    <row r="2165" spans="1:16" x14ac:dyDescent="0.25">
      <c r="A2165">
        <v>8089</v>
      </c>
      <c r="B2165" t="s">
        <v>489</v>
      </c>
      <c r="C2165" t="s">
        <v>574</v>
      </c>
      <c r="D2165">
        <v>398</v>
      </c>
      <c r="E2165">
        <v>84</v>
      </c>
      <c r="F2165">
        <v>44</v>
      </c>
      <c r="G2165">
        <v>53</v>
      </c>
      <c r="H2165">
        <v>107</v>
      </c>
      <c r="I2165">
        <v>110</v>
      </c>
      <c r="J2165">
        <v>81</v>
      </c>
      <c r="K2165">
        <v>110</v>
      </c>
      <c r="L2165">
        <v>207</v>
      </c>
      <c r="M2165">
        <v>362</v>
      </c>
      <c r="N2165">
        <v>36</v>
      </c>
      <c r="O2165" t="s">
        <v>575</v>
      </c>
      <c r="P2165" s="1" t="b">
        <f>NOT(OR(Table1[[#This Row],[State]]="Other Foreign Countries", Table1[[#This Row],[State]]="Unknown", Table1[[#This Row],[State]]="Puerto Rico all counties"))</f>
        <v>1</v>
      </c>
    </row>
    <row r="2166" spans="1:16" x14ac:dyDescent="0.25">
      <c r="A2166">
        <v>35035</v>
      </c>
      <c r="B2166" t="s">
        <v>2971</v>
      </c>
      <c r="C2166" t="s">
        <v>574</v>
      </c>
      <c r="D2166">
        <v>3240</v>
      </c>
      <c r="E2166">
        <v>533</v>
      </c>
      <c r="F2166">
        <v>367</v>
      </c>
      <c r="G2166">
        <v>379</v>
      </c>
      <c r="H2166" s="1">
        <v>1156</v>
      </c>
      <c r="I2166">
        <v>805</v>
      </c>
      <c r="J2166">
        <v>914</v>
      </c>
      <c r="K2166" s="1">
        <v>1153</v>
      </c>
      <c r="L2166" s="1">
        <v>1173</v>
      </c>
      <c r="M2166" s="1">
        <v>2713</v>
      </c>
      <c r="N2166">
        <v>527</v>
      </c>
      <c r="O2166" t="s">
        <v>3007</v>
      </c>
      <c r="P2166" s="1" t="b">
        <f>NOT(OR(Table1[[#This Row],[State]]="Other Foreign Countries", Table1[[#This Row],[State]]="Unknown", Table1[[#This Row],[State]]="Puerto Rico all counties"))</f>
        <v>1</v>
      </c>
    </row>
    <row r="2167" spans="1:16" x14ac:dyDescent="0.25">
      <c r="A2167">
        <v>0</v>
      </c>
      <c r="B2167" t="s">
        <v>5052</v>
      </c>
      <c r="C2167" t="s">
        <v>5052</v>
      </c>
      <c r="D2167">
        <v>38497</v>
      </c>
      <c r="E2167" s="1">
        <v>4250</v>
      </c>
      <c r="F2167" s="1">
        <v>3435</v>
      </c>
      <c r="G2167" s="1">
        <v>4080</v>
      </c>
      <c r="H2167" s="1">
        <v>12132</v>
      </c>
      <c r="I2167" s="1">
        <v>14600</v>
      </c>
      <c r="J2167" s="1">
        <v>13130</v>
      </c>
      <c r="K2167" s="1">
        <v>16929</v>
      </c>
      <c r="L2167" s="1">
        <v>8438</v>
      </c>
      <c r="M2167" s="1">
        <v>33822</v>
      </c>
      <c r="N2167" s="1">
        <v>4662</v>
      </c>
      <c r="O2167" t="s">
        <v>5053</v>
      </c>
      <c r="P2167" s="1" t="b">
        <f>NOT(OR(Table1[[#This Row],[State]]="Other Foreign Countries", Table1[[#This Row],[State]]="Unknown", Table1[[#This Row],[State]]="Puerto Rico all counties"))</f>
        <v>0</v>
      </c>
    </row>
    <row r="2168" spans="1:16" x14ac:dyDescent="0.25">
      <c r="A2168">
        <v>31131</v>
      </c>
      <c r="B2168" t="s">
        <v>2758</v>
      </c>
      <c r="C2168" t="s">
        <v>2855</v>
      </c>
      <c r="D2168">
        <v>397</v>
      </c>
      <c r="E2168">
        <v>122</v>
      </c>
      <c r="F2168">
        <v>50</v>
      </c>
      <c r="G2168">
        <v>50</v>
      </c>
      <c r="H2168">
        <v>99</v>
      </c>
      <c r="I2168">
        <v>76</v>
      </c>
      <c r="J2168">
        <v>92</v>
      </c>
      <c r="K2168">
        <v>124</v>
      </c>
      <c r="L2168">
        <v>181</v>
      </c>
      <c r="M2168">
        <v>363</v>
      </c>
      <c r="N2168">
        <v>34</v>
      </c>
      <c r="O2168" t="s">
        <v>2856</v>
      </c>
      <c r="P2168" s="1" t="b">
        <f>NOT(OR(Table1[[#This Row],[State]]="Other Foreign Countries", Table1[[#This Row],[State]]="Unknown", Table1[[#This Row],[State]]="Puerto Rico all counties"))</f>
        <v>1</v>
      </c>
    </row>
    <row r="2169" spans="1:16" x14ac:dyDescent="0.25">
      <c r="A2169">
        <v>26137</v>
      </c>
      <c r="B2169" t="s">
        <v>2099</v>
      </c>
      <c r="C2169" t="s">
        <v>2220</v>
      </c>
      <c r="D2169">
        <v>756</v>
      </c>
      <c r="E2169">
        <v>182</v>
      </c>
      <c r="F2169">
        <v>90</v>
      </c>
      <c r="G2169">
        <v>81</v>
      </c>
      <c r="H2169">
        <v>237</v>
      </c>
      <c r="I2169">
        <v>166</v>
      </c>
      <c r="J2169">
        <v>176</v>
      </c>
      <c r="K2169">
        <v>244</v>
      </c>
      <c r="L2169">
        <v>336</v>
      </c>
      <c r="M2169">
        <v>700</v>
      </c>
      <c r="N2169">
        <v>55</v>
      </c>
      <c r="O2169" t="s">
        <v>2221</v>
      </c>
      <c r="P2169" s="1" t="b">
        <f>NOT(OR(Table1[[#This Row],[State]]="Other Foreign Countries", Table1[[#This Row],[State]]="Unknown", Table1[[#This Row],[State]]="Puerto Rico all counties"))</f>
        <v>1</v>
      </c>
    </row>
    <row r="2170" spans="1:16" x14ac:dyDescent="0.25">
      <c r="A2170">
        <v>36077</v>
      </c>
      <c r="B2170" t="s">
        <v>3029</v>
      </c>
      <c r="C2170" t="s">
        <v>2220</v>
      </c>
      <c r="D2170">
        <v>850</v>
      </c>
      <c r="E2170">
        <v>209</v>
      </c>
      <c r="F2170">
        <v>114</v>
      </c>
      <c r="G2170">
        <v>102</v>
      </c>
      <c r="H2170">
        <v>237</v>
      </c>
      <c r="I2170">
        <v>188</v>
      </c>
      <c r="J2170">
        <v>182</v>
      </c>
      <c r="K2170">
        <v>212</v>
      </c>
      <c r="L2170">
        <v>456</v>
      </c>
      <c r="M2170">
        <v>776</v>
      </c>
      <c r="N2170">
        <v>74</v>
      </c>
      <c r="O2170" t="s">
        <v>3083</v>
      </c>
      <c r="P2170" s="1" t="b">
        <f>NOT(OR(Table1[[#This Row],[State]]="Other Foreign Countries", Table1[[#This Row],[State]]="Unknown", Table1[[#This Row],[State]]="Puerto Rico all counties"))</f>
        <v>1</v>
      </c>
    </row>
    <row r="2171" spans="1:16" x14ac:dyDescent="0.25">
      <c r="A2171">
        <v>20143</v>
      </c>
      <c r="B2171" t="s">
        <v>1543</v>
      </c>
      <c r="C2171" t="s">
        <v>1656</v>
      </c>
      <c r="D2171">
        <v>106</v>
      </c>
      <c r="E2171">
        <v>24</v>
      </c>
      <c r="H2171">
        <v>32</v>
      </c>
      <c r="I2171">
        <v>31</v>
      </c>
      <c r="J2171">
        <v>30</v>
      </c>
      <c r="K2171">
        <v>29</v>
      </c>
      <c r="L2171">
        <v>47</v>
      </c>
      <c r="O2171" t="s">
        <v>1657</v>
      </c>
      <c r="P2171" s="1" t="b">
        <f>NOT(OR(Table1[[#This Row],[State]]="Other Foreign Countries", Table1[[#This Row],[State]]="Unknown", Table1[[#This Row],[State]]="Puerto Rico all counties"))</f>
        <v>1</v>
      </c>
    </row>
    <row r="2172" spans="1:16" x14ac:dyDescent="0.25">
      <c r="A2172">
        <v>26139</v>
      </c>
      <c r="B2172" t="s">
        <v>2099</v>
      </c>
      <c r="C2172" t="s">
        <v>1656</v>
      </c>
      <c r="D2172">
        <v>3057</v>
      </c>
      <c r="E2172">
        <v>623</v>
      </c>
      <c r="F2172">
        <v>382</v>
      </c>
      <c r="G2172">
        <v>361</v>
      </c>
      <c r="H2172">
        <v>903</v>
      </c>
      <c r="I2172">
        <v>788</v>
      </c>
      <c r="J2172" s="1">
        <v>1043</v>
      </c>
      <c r="K2172">
        <v>788</v>
      </c>
      <c r="L2172" s="1">
        <v>1226</v>
      </c>
      <c r="M2172" s="1">
        <v>2815</v>
      </c>
      <c r="N2172">
        <v>242</v>
      </c>
      <c r="O2172" t="s">
        <v>2222</v>
      </c>
      <c r="P2172" s="1" t="b">
        <f>NOT(OR(Table1[[#This Row],[State]]="Other Foreign Countries", Table1[[#This Row],[State]]="Unknown", Table1[[#This Row],[State]]="Puerto Rico all counties"))</f>
        <v>1</v>
      </c>
    </row>
    <row r="2173" spans="1:16" x14ac:dyDescent="0.25">
      <c r="A2173">
        <v>39123</v>
      </c>
      <c r="B2173" t="s">
        <v>1343</v>
      </c>
      <c r="C2173" t="s">
        <v>1656</v>
      </c>
      <c r="D2173">
        <v>860</v>
      </c>
      <c r="E2173">
        <v>243</v>
      </c>
      <c r="F2173">
        <v>119</v>
      </c>
      <c r="G2173">
        <v>97</v>
      </c>
      <c r="H2173">
        <v>233</v>
      </c>
      <c r="I2173">
        <v>168</v>
      </c>
      <c r="J2173">
        <v>190</v>
      </c>
      <c r="K2173">
        <v>245</v>
      </c>
      <c r="L2173">
        <v>425</v>
      </c>
      <c r="M2173">
        <v>805</v>
      </c>
      <c r="N2173">
        <v>55</v>
      </c>
      <c r="O2173" t="s">
        <v>3456</v>
      </c>
      <c r="P2173" s="1" t="b">
        <f>NOT(OR(Table1[[#This Row],[State]]="Other Foreign Countries", Table1[[#This Row],[State]]="Unknown", Table1[[#This Row],[State]]="Puerto Rico all counties"))</f>
        <v>1</v>
      </c>
    </row>
    <row r="2174" spans="1:16" x14ac:dyDescent="0.25">
      <c r="A2174">
        <v>40115</v>
      </c>
      <c r="B2174" t="s">
        <v>3495</v>
      </c>
      <c r="C2174" t="s">
        <v>1656</v>
      </c>
      <c r="D2174">
        <v>843</v>
      </c>
      <c r="E2174">
        <v>191</v>
      </c>
      <c r="F2174">
        <v>79</v>
      </c>
      <c r="G2174">
        <v>91</v>
      </c>
      <c r="H2174">
        <v>262</v>
      </c>
      <c r="I2174">
        <v>220</v>
      </c>
      <c r="J2174">
        <v>148</v>
      </c>
      <c r="K2174">
        <v>241</v>
      </c>
      <c r="L2174">
        <v>454</v>
      </c>
      <c r="M2174">
        <v>790</v>
      </c>
      <c r="N2174">
        <v>53</v>
      </c>
      <c r="O2174" t="s">
        <v>3581</v>
      </c>
      <c r="P2174" s="1" t="b">
        <f>NOT(OR(Table1[[#This Row],[State]]="Other Foreign Countries", Table1[[#This Row],[State]]="Unknown", Table1[[#This Row],[State]]="Puerto Rico all counties"))</f>
        <v>1</v>
      </c>
    </row>
    <row r="2175" spans="1:16" x14ac:dyDescent="0.25">
      <c r="A2175">
        <v>27111</v>
      </c>
      <c r="B2175" t="s">
        <v>2245</v>
      </c>
      <c r="C2175" t="s">
        <v>2338</v>
      </c>
      <c r="D2175">
        <v>1563</v>
      </c>
      <c r="E2175">
        <v>473</v>
      </c>
      <c r="F2175">
        <v>174</v>
      </c>
      <c r="G2175">
        <v>191</v>
      </c>
      <c r="H2175">
        <v>405</v>
      </c>
      <c r="I2175">
        <v>320</v>
      </c>
      <c r="J2175">
        <v>227</v>
      </c>
      <c r="K2175">
        <v>348</v>
      </c>
      <c r="L2175">
        <v>988</v>
      </c>
      <c r="M2175" s="1">
        <v>1452</v>
      </c>
      <c r="N2175">
        <v>110</v>
      </c>
      <c r="O2175" t="s">
        <v>2339</v>
      </c>
      <c r="P2175" s="1" t="b">
        <f>NOT(OR(Table1[[#This Row],[State]]="Other Foreign Countries", Table1[[#This Row],[State]]="Unknown", Table1[[#This Row],[State]]="Puerto Rico all counties"))</f>
        <v>1</v>
      </c>
    </row>
    <row r="2176" spans="1:16" x14ac:dyDescent="0.25">
      <c r="A2176">
        <v>5103</v>
      </c>
      <c r="B2176" t="s">
        <v>242</v>
      </c>
      <c r="C2176" t="s">
        <v>330</v>
      </c>
      <c r="D2176">
        <v>511</v>
      </c>
      <c r="E2176">
        <v>72</v>
      </c>
      <c r="F2176">
        <v>43</v>
      </c>
      <c r="G2176">
        <v>57</v>
      </c>
      <c r="H2176">
        <v>171</v>
      </c>
      <c r="I2176">
        <v>168</v>
      </c>
      <c r="J2176">
        <v>92</v>
      </c>
      <c r="K2176">
        <v>174</v>
      </c>
      <c r="L2176">
        <v>245</v>
      </c>
      <c r="M2176">
        <v>466</v>
      </c>
      <c r="N2176">
        <v>45</v>
      </c>
      <c r="O2176" t="s">
        <v>331</v>
      </c>
      <c r="P2176" s="1" t="b">
        <f>NOT(OR(Table1[[#This Row],[State]]="Other Foreign Countries", Table1[[#This Row],[State]]="Unknown", Table1[[#This Row],[State]]="Puerto Rico all counties"))</f>
        <v>1</v>
      </c>
    </row>
    <row r="2177" spans="1:16" x14ac:dyDescent="0.25">
      <c r="A2177">
        <v>22073</v>
      </c>
      <c r="B2177" t="s">
        <v>1892</v>
      </c>
      <c r="C2177" t="s">
        <v>330</v>
      </c>
      <c r="D2177">
        <v>2733</v>
      </c>
      <c r="E2177">
        <v>359</v>
      </c>
      <c r="F2177">
        <v>247</v>
      </c>
      <c r="G2177">
        <v>335</v>
      </c>
      <c r="H2177">
        <v>924</v>
      </c>
      <c r="I2177">
        <v>868</v>
      </c>
      <c r="J2177">
        <v>756</v>
      </c>
      <c r="K2177">
        <v>892</v>
      </c>
      <c r="L2177" s="1">
        <v>1085</v>
      </c>
      <c r="M2177" s="1">
        <v>2429</v>
      </c>
      <c r="N2177">
        <v>304</v>
      </c>
      <c r="O2177" t="s">
        <v>1954</v>
      </c>
      <c r="P2177" s="1" t="b">
        <f>NOT(OR(Table1[[#This Row],[State]]="Other Foreign Countries", Table1[[#This Row],[State]]="Unknown", Table1[[#This Row],[State]]="Puerto Rico all counties"))</f>
        <v>1</v>
      </c>
    </row>
    <row r="2178" spans="1:16" x14ac:dyDescent="0.25">
      <c r="A2178">
        <v>8091</v>
      </c>
      <c r="B2178" t="s">
        <v>489</v>
      </c>
      <c r="C2178" t="s">
        <v>576</v>
      </c>
      <c r="D2178">
        <v>119</v>
      </c>
      <c r="E2178">
        <v>38</v>
      </c>
      <c r="F2178">
        <v>13</v>
      </c>
      <c r="G2178">
        <v>14</v>
      </c>
      <c r="H2178">
        <v>32</v>
      </c>
      <c r="I2178">
        <v>22</v>
      </c>
      <c r="J2178">
        <v>31</v>
      </c>
      <c r="K2178">
        <v>27</v>
      </c>
      <c r="L2178">
        <v>61</v>
      </c>
      <c r="M2178">
        <v>109</v>
      </c>
      <c r="N2178">
        <v>10</v>
      </c>
      <c r="O2178" t="s">
        <v>577</v>
      </c>
      <c r="P2178" s="1" t="b">
        <f>NOT(OR(Table1[[#This Row],[State]]="Other Foreign Countries", Table1[[#This Row],[State]]="Unknown", Table1[[#This Row],[State]]="Puerto Rico all counties"))</f>
        <v>1</v>
      </c>
    </row>
    <row r="2179" spans="1:16" x14ac:dyDescent="0.25">
      <c r="A2179">
        <v>55087</v>
      </c>
      <c r="B2179" t="s">
        <v>4906</v>
      </c>
      <c r="C2179" t="s">
        <v>4969</v>
      </c>
      <c r="D2179">
        <v>3063</v>
      </c>
      <c r="E2179">
        <v>740</v>
      </c>
      <c r="F2179">
        <v>453</v>
      </c>
      <c r="G2179">
        <v>415</v>
      </c>
      <c r="H2179">
        <v>865</v>
      </c>
      <c r="I2179">
        <v>590</v>
      </c>
      <c r="J2179" s="1">
        <v>1017</v>
      </c>
      <c r="K2179">
        <v>912</v>
      </c>
      <c r="L2179" s="1">
        <v>1134</v>
      </c>
      <c r="M2179" s="1">
        <v>2765</v>
      </c>
      <c r="N2179">
        <v>298</v>
      </c>
      <c r="O2179" t="s">
        <v>4970</v>
      </c>
      <c r="P2179" s="1" t="b">
        <f>NOT(OR(Table1[[#This Row],[State]]="Other Foreign Countries", Table1[[#This Row],[State]]="Unknown", Table1[[#This Row],[State]]="Puerto Rico all counties"))</f>
        <v>1</v>
      </c>
    </row>
    <row r="2180" spans="1:16" x14ac:dyDescent="0.25">
      <c r="A2180">
        <v>47133</v>
      </c>
      <c r="B2180" t="s">
        <v>3951</v>
      </c>
      <c r="C2180" t="s">
        <v>4036</v>
      </c>
      <c r="D2180">
        <v>547</v>
      </c>
      <c r="E2180">
        <v>92</v>
      </c>
      <c r="F2180">
        <v>56</v>
      </c>
      <c r="G2180">
        <v>65</v>
      </c>
      <c r="H2180">
        <v>175</v>
      </c>
      <c r="I2180">
        <v>159</v>
      </c>
      <c r="J2180">
        <v>122</v>
      </c>
      <c r="K2180">
        <v>167</v>
      </c>
      <c r="L2180">
        <v>258</v>
      </c>
      <c r="M2180">
        <v>507</v>
      </c>
      <c r="N2180">
        <v>40</v>
      </c>
      <c r="O2180" t="s">
        <v>4037</v>
      </c>
      <c r="P2180" s="1" t="b">
        <f>NOT(OR(Table1[[#This Row],[State]]="Other Foreign Countries", Table1[[#This Row],[State]]="Unknown", Table1[[#This Row],[State]]="Puerto Rico all counties"))</f>
        <v>1</v>
      </c>
    </row>
    <row r="2181" spans="1:16" x14ac:dyDescent="0.25">
      <c r="A2181">
        <v>18119</v>
      </c>
      <c r="B2181" t="s">
        <v>1266</v>
      </c>
      <c r="C2181" t="s">
        <v>1346</v>
      </c>
      <c r="D2181">
        <v>493</v>
      </c>
      <c r="E2181">
        <v>119</v>
      </c>
      <c r="F2181">
        <v>59</v>
      </c>
      <c r="G2181">
        <v>65</v>
      </c>
      <c r="H2181">
        <v>150</v>
      </c>
      <c r="I2181">
        <v>100</v>
      </c>
      <c r="J2181">
        <v>113</v>
      </c>
      <c r="K2181">
        <v>143</v>
      </c>
      <c r="L2181">
        <v>237</v>
      </c>
      <c r="M2181">
        <v>463</v>
      </c>
      <c r="N2181">
        <v>30</v>
      </c>
      <c r="O2181" t="s">
        <v>1347</v>
      </c>
      <c r="P2181" s="1" t="b">
        <f>NOT(OR(Table1[[#This Row],[State]]="Other Foreign Countries", Table1[[#This Row],[State]]="Unknown", Table1[[#This Row],[State]]="Puerto Rico all counties"))</f>
        <v>1</v>
      </c>
    </row>
    <row r="2182" spans="1:16" x14ac:dyDescent="0.25">
      <c r="A2182">
        <v>21187</v>
      </c>
      <c r="B2182" t="s">
        <v>1716</v>
      </c>
      <c r="C2182" t="s">
        <v>1346</v>
      </c>
      <c r="D2182">
        <v>170</v>
      </c>
      <c r="E2182">
        <v>36</v>
      </c>
      <c r="F2182">
        <v>22</v>
      </c>
      <c r="G2182">
        <v>23</v>
      </c>
      <c r="H2182">
        <v>52</v>
      </c>
      <c r="I2182">
        <v>37</v>
      </c>
      <c r="J2182">
        <v>48</v>
      </c>
      <c r="K2182">
        <v>57</v>
      </c>
      <c r="L2182">
        <v>65</v>
      </c>
      <c r="M2182">
        <v>159</v>
      </c>
      <c r="N2182">
        <v>11</v>
      </c>
      <c r="O2182" t="s">
        <v>1854</v>
      </c>
      <c r="P2182" s="1" t="b">
        <f>NOT(OR(Table1[[#This Row],[State]]="Other Foreign Countries", Table1[[#This Row],[State]]="Unknown", Table1[[#This Row],[State]]="Puerto Rico all counties"))</f>
        <v>1</v>
      </c>
    </row>
    <row r="2183" spans="1:16" x14ac:dyDescent="0.25">
      <c r="A2183">
        <v>21189</v>
      </c>
      <c r="B2183" t="s">
        <v>1716</v>
      </c>
      <c r="C2183" t="s">
        <v>1855</v>
      </c>
      <c r="D2183">
        <v>53</v>
      </c>
      <c r="H2183">
        <v>13</v>
      </c>
      <c r="I2183">
        <v>25</v>
      </c>
      <c r="L2183">
        <v>23</v>
      </c>
      <c r="O2183" t="s">
        <v>1856</v>
      </c>
      <c r="P2183" s="1" t="b">
        <f>NOT(OR(Table1[[#This Row],[State]]="Other Foreign Countries", Table1[[#This Row],[State]]="Unknown", Table1[[#This Row],[State]]="Puerto Rico all counties"))</f>
        <v>1</v>
      </c>
    </row>
    <row r="2184" spans="1:16" x14ac:dyDescent="0.25">
      <c r="A2184">
        <v>16073</v>
      </c>
      <c r="B2184" t="s">
        <v>1032</v>
      </c>
      <c r="C2184" t="s">
        <v>1094</v>
      </c>
      <c r="D2184">
        <v>244</v>
      </c>
      <c r="E2184">
        <v>66</v>
      </c>
      <c r="F2184">
        <v>29</v>
      </c>
      <c r="G2184">
        <v>22</v>
      </c>
      <c r="H2184">
        <v>80</v>
      </c>
      <c r="I2184">
        <v>47</v>
      </c>
      <c r="J2184">
        <v>63</v>
      </c>
      <c r="K2184">
        <v>83</v>
      </c>
      <c r="L2184">
        <v>98</v>
      </c>
      <c r="M2184">
        <v>213</v>
      </c>
      <c r="N2184">
        <v>31</v>
      </c>
      <c r="O2184" t="s">
        <v>1095</v>
      </c>
      <c r="P2184" s="1" t="b">
        <f>NOT(OR(Table1[[#This Row],[State]]="Other Foreign Countries", Table1[[#This Row],[State]]="Unknown", Table1[[#This Row],[State]]="Puerto Rico all counties"))</f>
        <v>1</v>
      </c>
    </row>
    <row r="2185" spans="1:16" x14ac:dyDescent="0.25">
      <c r="A2185">
        <v>23017</v>
      </c>
      <c r="B2185" t="s">
        <v>2004</v>
      </c>
      <c r="C2185" t="s">
        <v>2016</v>
      </c>
      <c r="D2185">
        <v>1445</v>
      </c>
      <c r="E2185">
        <v>311</v>
      </c>
      <c r="F2185">
        <v>144</v>
      </c>
      <c r="G2185">
        <v>172</v>
      </c>
      <c r="H2185">
        <v>458</v>
      </c>
      <c r="I2185">
        <v>360</v>
      </c>
      <c r="J2185">
        <v>309</v>
      </c>
      <c r="K2185">
        <v>459</v>
      </c>
      <c r="L2185">
        <v>677</v>
      </c>
      <c r="M2185" s="1">
        <v>1329</v>
      </c>
      <c r="N2185">
        <v>115</v>
      </c>
      <c r="O2185" t="s">
        <v>2017</v>
      </c>
      <c r="P2185" s="1" t="b">
        <f>NOT(OR(Table1[[#This Row],[State]]="Other Foreign Countries", Table1[[#This Row],[State]]="Unknown", Table1[[#This Row],[State]]="Puerto Rico all counties"))</f>
        <v>1</v>
      </c>
    </row>
    <row r="2186" spans="1:16" x14ac:dyDescent="0.25">
      <c r="A2186">
        <v>29153</v>
      </c>
      <c r="B2186" t="s">
        <v>2510</v>
      </c>
      <c r="C2186" t="s">
        <v>2610</v>
      </c>
      <c r="D2186">
        <v>341</v>
      </c>
      <c r="E2186">
        <v>57</v>
      </c>
      <c r="F2186">
        <v>38</v>
      </c>
      <c r="G2186">
        <v>59</v>
      </c>
      <c r="H2186">
        <v>94</v>
      </c>
      <c r="I2186">
        <v>93</v>
      </c>
      <c r="J2186">
        <v>59</v>
      </c>
      <c r="K2186">
        <v>103</v>
      </c>
      <c r="L2186">
        <v>179</v>
      </c>
      <c r="M2186">
        <v>307</v>
      </c>
      <c r="N2186">
        <v>34</v>
      </c>
      <c r="O2186" t="s">
        <v>2611</v>
      </c>
      <c r="P2186" s="1" t="b">
        <f>NOT(OR(Table1[[#This Row],[State]]="Other Foreign Countries", Table1[[#This Row],[State]]="Unknown", Table1[[#This Row],[State]]="Puerto Rico all counties"))</f>
        <v>1</v>
      </c>
    </row>
    <row r="2187" spans="1:16" x14ac:dyDescent="0.25">
      <c r="A2187">
        <v>55089</v>
      </c>
      <c r="B2187" t="s">
        <v>4906</v>
      </c>
      <c r="C2187" t="s">
        <v>4971</v>
      </c>
      <c r="D2187">
        <v>1080</v>
      </c>
      <c r="E2187">
        <v>268</v>
      </c>
      <c r="F2187">
        <v>138</v>
      </c>
      <c r="G2187">
        <v>136</v>
      </c>
      <c r="H2187">
        <v>303</v>
      </c>
      <c r="I2187">
        <v>235</v>
      </c>
      <c r="J2187">
        <v>314</v>
      </c>
      <c r="K2187">
        <v>307</v>
      </c>
      <c r="L2187">
        <v>459</v>
      </c>
      <c r="M2187">
        <v>964</v>
      </c>
      <c r="N2187">
        <v>116</v>
      </c>
      <c r="O2187" t="s">
        <v>4972</v>
      </c>
      <c r="P2187" s="1" t="b">
        <f>NOT(OR(Table1[[#This Row],[State]]="Other Foreign Countries", Table1[[#This Row],[State]]="Unknown", Table1[[#This Row],[State]]="Puerto Rico all counties"))</f>
        <v>1</v>
      </c>
    </row>
    <row r="2188" spans="1:16" x14ac:dyDescent="0.25">
      <c r="A2188">
        <v>53049</v>
      </c>
      <c r="B2188" t="s">
        <v>144</v>
      </c>
      <c r="C2188" t="s">
        <v>4807</v>
      </c>
      <c r="D2188">
        <v>590</v>
      </c>
      <c r="E2188">
        <v>136</v>
      </c>
      <c r="F2188">
        <v>67</v>
      </c>
      <c r="G2188">
        <v>73</v>
      </c>
      <c r="H2188">
        <v>177</v>
      </c>
      <c r="I2188">
        <v>137</v>
      </c>
      <c r="J2188">
        <v>100</v>
      </c>
      <c r="K2188">
        <v>166</v>
      </c>
      <c r="L2188">
        <v>324</v>
      </c>
      <c r="M2188">
        <v>532</v>
      </c>
      <c r="N2188">
        <v>58</v>
      </c>
      <c r="O2188" t="s">
        <v>4808</v>
      </c>
      <c r="P2188" s="1" t="b">
        <f>NOT(OR(Table1[[#This Row],[State]]="Other Foreign Countries", Table1[[#This Row],[State]]="Unknown", Table1[[#This Row],[State]]="Puerto Rico all counties"))</f>
        <v>1</v>
      </c>
    </row>
    <row r="2189" spans="1:16" x14ac:dyDescent="0.25">
      <c r="A2189">
        <v>19145</v>
      </c>
      <c r="B2189" t="s">
        <v>1399</v>
      </c>
      <c r="C2189" t="s">
        <v>1501</v>
      </c>
      <c r="D2189">
        <v>306</v>
      </c>
      <c r="E2189">
        <v>82</v>
      </c>
      <c r="F2189">
        <v>41</v>
      </c>
      <c r="G2189">
        <v>45</v>
      </c>
      <c r="H2189">
        <v>79</v>
      </c>
      <c r="I2189">
        <v>59</v>
      </c>
      <c r="J2189">
        <v>60</v>
      </c>
      <c r="K2189">
        <v>86</v>
      </c>
      <c r="L2189">
        <v>160</v>
      </c>
      <c r="M2189">
        <v>276</v>
      </c>
      <c r="N2189">
        <v>30</v>
      </c>
      <c r="O2189" t="s">
        <v>1502</v>
      </c>
      <c r="P2189" s="1" t="b">
        <f>NOT(OR(Table1[[#This Row],[State]]="Other Foreign Countries", Table1[[#This Row],[State]]="Unknown", Table1[[#This Row],[State]]="Puerto Rico all counties"))</f>
        <v>1</v>
      </c>
    </row>
    <row r="2190" spans="1:16" x14ac:dyDescent="0.25">
      <c r="A2190">
        <v>51139</v>
      </c>
      <c r="B2190" t="s">
        <v>4555</v>
      </c>
      <c r="C2190" t="s">
        <v>1501</v>
      </c>
      <c r="D2190">
        <v>379</v>
      </c>
      <c r="E2190">
        <v>71</v>
      </c>
      <c r="F2190">
        <v>47</v>
      </c>
      <c r="G2190">
        <v>39</v>
      </c>
      <c r="H2190">
        <v>98</v>
      </c>
      <c r="I2190">
        <v>124</v>
      </c>
      <c r="J2190">
        <v>98</v>
      </c>
      <c r="K2190">
        <v>110</v>
      </c>
      <c r="L2190">
        <v>171</v>
      </c>
      <c r="M2190">
        <v>346</v>
      </c>
      <c r="N2190">
        <v>33</v>
      </c>
      <c r="O2190" t="s">
        <v>4653</v>
      </c>
      <c r="P2190" s="1" t="b">
        <f>NOT(OR(Table1[[#This Row],[State]]="Other Foreign Countries", Table1[[#This Row],[State]]="Unknown", Table1[[#This Row],[State]]="Puerto Rico all counties"))</f>
        <v>1</v>
      </c>
    </row>
    <row r="2191" spans="1:16" x14ac:dyDescent="0.25">
      <c r="A2191">
        <v>12099</v>
      </c>
      <c r="B2191" t="s">
        <v>637</v>
      </c>
      <c r="C2191" t="s">
        <v>722</v>
      </c>
      <c r="D2191">
        <v>16795</v>
      </c>
      <c r="E2191" s="1">
        <v>3435</v>
      </c>
      <c r="F2191" s="1">
        <v>1681</v>
      </c>
      <c r="G2191" s="1">
        <v>1846</v>
      </c>
      <c r="H2191" s="1">
        <v>4851</v>
      </c>
      <c r="I2191" s="1">
        <v>4982</v>
      </c>
      <c r="J2191" s="1">
        <v>4488</v>
      </c>
      <c r="K2191" s="1">
        <v>4954</v>
      </c>
      <c r="L2191" s="1">
        <v>7353</v>
      </c>
      <c r="M2191" s="1">
        <v>14991</v>
      </c>
      <c r="N2191" s="1">
        <v>1801</v>
      </c>
      <c r="O2191" t="s">
        <v>723</v>
      </c>
      <c r="P2191" s="1" t="b">
        <f>NOT(OR(Table1[[#This Row],[State]]="Other Foreign Countries", Table1[[#This Row],[State]]="Unknown", Table1[[#This Row],[State]]="Puerto Rico all counties"))</f>
        <v>1</v>
      </c>
    </row>
    <row r="2192" spans="1:16" x14ac:dyDescent="0.25">
      <c r="A2192">
        <v>19147</v>
      </c>
      <c r="B2192" t="s">
        <v>1399</v>
      </c>
      <c r="C2192" t="s">
        <v>1503</v>
      </c>
      <c r="D2192">
        <v>173</v>
      </c>
      <c r="E2192">
        <v>55</v>
      </c>
      <c r="F2192">
        <v>27</v>
      </c>
      <c r="G2192">
        <v>21</v>
      </c>
      <c r="H2192">
        <v>44</v>
      </c>
      <c r="I2192">
        <v>26</v>
      </c>
      <c r="J2192">
        <v>24</v>
      </c>
      <c r="K2192">
        <v>38</v>
      </c>
      <c r="L2192">
        <v>111</v>
      </c>
      <c r="M2192">
        <v>163</v>
      </c>
      <c r="N2192">
        <v>10</v>
      </c>
      <c r="O2192" t="s">
        <v>1504</v>
      </c>
      <c r="P2192" s="1" t="b">
        <f>NOT(OR(Table1[[#This Row],[State]]="Other Foreign Countries", Table1[[#This Row],[State]]="Unknown", Table1[[#This Row],[State]]="Puerto Rico all counties"))</f>
        <v>1</v>
      </c>
    </row>
    <row r="2193" spans="1:16" x14ac:dyDescent="0.25">
      <c r="A2193">
        <v>48363</v>
      </c>
      <c r="B2193" t="s">
        <v>2654</v>
      </c>
      <c r="C2193" t="s">
        <v>4362</v>
      </c>
      <c r="D2193">
        <v>656</v>
      </c>
      <c r="E2193">
        <v>124</v>
      </c>
      <c r="F2193">
        <v>88</v>
      </c>
      <c r="G2193">
        <v>68</v>
      </c>
      <c r="H2193">
        <v>198</v>
      </c>
      <c r="I2193">
        <v>178</v>
      </c>
      <c r="J2193">
        <v>184</v>
      </c>
      <c r="K2193">
        <v>181</v>
      </c>
      <c r="L2193">
        <v>291</v>
      </c>
      <c r="M2193">
        <v>599</v>
      </c>
      <c r="N2193">
        <v>57</v>
      </c>
      <c r="O2193" t="s">
        <v>4363</v>
      </c>
      <c r="P2193" s="1" t="b">
        <f>NOT(OR(Table1[[#This Row],[State]]="Other Foreign Countries", Table1[[#This Row],[State]]="Unknown", Table1[[#This Row],[State]]="Puerto Rico all counties"))</f>
        <v>1</v>
      </c>
    </row>
    <row r="2194" spans="1:16" x14ac:dyDescent="0.25">
      <c r="A2194">
        <v>37137</v>
      </c>
      <c r="B2194" t="s">
        <v>3121</v>
      </c>
      <c r="C2194" t="s">
        <v>3234</v>
      </c>
      <c r="D2194">
        <v>559</v>
      </c>
      <c r="E2194">
        <v>108</v>
      </c>
      <c r="F2194">
        <v>68</v>
      </c>
      <c r="G2194">
        <v>68</v>
      </c>
      <c r="H2194">
        <v>161</v>
      </c>
      <c r="I2194">
        <v>154</v>
      </c>
      <c r="J2194">
        <v>102</v>
      </c>
      <c r="K2194">
        <v>157</v>
      </c>
      <c r="L2194">
        <v>300</v>
      </c>
      <c r="M2194">
        <v>516</v>
      </c>
      <c r="N2194">
        <v>43</v>
      </c>
      <c r="O2194" t="s">
        <v>3235</v>
      </c>
      <c r="P2194" s="1" t="b">
        <f>NOT(OR(Table1[[#This Row],[State]]="Other Foreign Countries", Table1[[#This Row],[State]]="Unknown", Table1[[#This Row],[State]]="Puerto Rico all counties"))</f>
        <v>1</v>
      </c>
    </row>
    <row r="2195" spans="1:16" x14ac:dyDescent="0.25">
      <c r="A2195">
        <v>28107</v>
      </c>
      <c r="B2195" t="s">
        <v>322</v>
      </c>
      <c r="C2195" t="s">
        <v>2466</v>
      </c>
      <c r="D2195">
        <v>487</v>
      </c>
      <c r="E2195">
        <v>92</v>
      </c>
      <c r="F2195">
        <v>62</v>
      </c>
      <c r="G2195">
        <v>46</v>
      </c>
      <c r="H2195">
        <v>166</v>
      </c>
      <c r="I2195">
        <v>121</v>
      </c>
      <c r="J2195">
        <v>98</v>
      </c>
      <c r="K2195">
        <v>166</v>
      </c>
      <c r="L2195">
        <v>223</v>
      </c>
      <c r="M2195">
        <v>439</v>
      </c>
      <c r="N2195">
        <v>47</v>
      </c>
      <c r="O2195" t="s">
        <v>2467</v>
      </c>
      <c r="P2195" s="1" t="b">
        <f>NOT(OR(Table1[[#This Row],[State]]="Other Foreign Countries", Table1[[#This Row],[State]]="Unknown", Table1[[#This Row],[State]]="Puerto Rico all counties"))</f>
        <v>1</v>
      </c>
    </row>
    <row r="2196" spans="1:16" x14ac:dyDescent="0.25">
      <c r="A2196">
        <v>48365</v>
      </c>
      <c r="B2196" t="s">
        <v>2654</v>
      </c>
      <c r="C2196" t="s">
        <v>2466</v>
      </c>
      <c r="D2196">
        <v>499</v>
      </c>
      <c r="E2196">
        <v>69</v>
      </c>
      <c r="F2196">
        <v>49</v>
      </c>
      <c r="G2196">
        <v>59</v>
      </c>
      <c r="H2196">
        <v>156</v>
      </c>
      <c r="I2196">
        <v>166</v>
      </c>
      <c r="J2196">
        <v>124</v>
      </c>
      <c r="K2196">
        <v>161</v>
      </c>
      <c r="L2196">
        <v>214</v>
      </c>
      <c r="M2196">
        <v>443</v>
      </c>
      <c r="N2196">
        <v>56</v>
      </c>
      <c r="O2196" t="s">
        <v>4364</v>
      </c>
      <c r="P2196" s="1" t="b">
        <f>NOT(OR(Table1[[#This Row],[State]]="Other Foreign Countries", Table1[[#This Row],[State]]="Unknown", Table1[[#This Row],[State]]="Puerto Rico all counties"))</f>
        <v>1</v>
      </c>
    </row>
    <row r="2197" spans="1:16" x14ac:dyDescent="0.25">
      <c r="A2197">
        <v>8093</v>
      </c>
      <c r="B2197" t="s">
        <v>489</v>
      </c>
      <c r="C2197" t="s">
        <v>578</v>
      </c>
      <c r="D2197">
        <v>556</v>
      </c>
      <c r="E2197">
        <v>119</v>
      </c>
      <c r="F2197">
        <v>51</v>
      </c>
      <c r="G2197">
        <v>61</v>
      </c>
      <c r="H2197">
        <v>162</v>
      </c>
      <c r="I2197">
        <v>163</v>
      </c>
      <c r="J2197">
        <v>143</v>
      </c>
      <c r="K2197">
        <v>182</v>
      </c>
      <c r="L2197">
        <v>231</v>
      </c>
      <c r="M2197">
        <v>486</v>
      </c>
      <c r="N2197">
        <v>70</v>
      </c>
      <c r="O2197" t="s">
        <v>579</v>
      </c>
      <c r="P2197" s="1" t="b">
        <f>NOT(OR(Table1[[#This Row],[State]]="Other Foreign Countries", Table1[[#This Row],[State]]="Unknown", Table1[[#This Row],[State]]="Puerto Rico all counties"))</f>
        <v>1</v>
      </c>
    </row>
    <row r="2198" spans="1:16" x14ac:dyDescent="0.25">
      <c r="A2198">
        <v>30067</v>
      </c>
      <c r="B2198" t="s">
        <v>2665</v>
      </c>
      <c r="C2198" t="s">
        <v>578</v>
      </c>
      <c r="D2198">
        <v>388</v>
      </c>
      <c r="E2198">
        <v>107</v>
      </c>
      <c r="F2198">
        <v>57</v>
      </c>
      <c r="G2198">
        <v>39</v>
      </c>
      <c r="H2198">
        <v>92</v>
      </c>
      <c r="I2198">
        <v>93</v>
      </c>
      <c r="J2198">
        <v>112</v>
      </c>
      <c r="K2198">
        <v>120</v>
      </c>
      <c r="L2198">
        <v>156</v>
      </c>
      <c r="M2198">
        <v>354</v>
      </c>
      <c r="N2198">
        <v>34</v>
      </c>
      <c r="O2198" t="s">
        <v>2720</v>
      </c>
      <c r="P2198" s="1" t="b">
        <f>NOT(OR(Table1[[#This Row],[State]]="Other Foreign Countries", Table1[[#This Row],[State]]="Unknown", Table1[[#This Row],[State]]="Puerto Rico all counties"))</f>
        <v>1</v>
      </c>
    </row>
    <row r="2199" spans="1:16" x14ac:dyDescent="0.25">
      <c r="A2199">
        <v>56029</v>
      </c>
      <c r="B2199" t="s">
        <v>3117</v>
      </c>
      <c r="C2199" t="s">
        <v>578</v>
      </c>
      <c r="D2199">
        <v>839</v>
      </c>
      <c r="E2199">
        <v>174</v>
      </c>
      <c r="F2199">
        <v>91</v>
      </c>
      <c r="G2199">
        <v>120</v>
      </c>
      <c r="H2199">
        <v>233</v>
      </c>
      <c r="I2199">
        <v>221</v>
      </c>
      <c r="J2199">
        <v>204</v>
      </c>
      <c r="K2199">
        <v>285</v>
      </c>
      <c r="L2199">
        <v>350</v>
      </c>
      <c r="M2199">
        <v>761</v>
      </c>
      <c r="N2199">
        <v>78</v>
      </c>
      <c r="O2199" t="s">
        <v>5033</v>
      </c>
      <c r="P2199" s="1" t="b">
        <f>NOT(OR(Table1[[#This Row],[State]]="Other Foreign Countries", Table1[[#This Row],[State]]="Unknown", Table1[[#This Row],[State]]="Puerto Rico all counties"))</f>
        <v>1</v>
      </c>
    </row>
    <row r="2200" spans="1:16" x14ac:dyDescent="0.25">
      <c r="A2200">
        <v>18121</v>
      </c>
      <c r="B2200" t="s">
        <v>1266</v>
      </c>
      <c r="C2200" t="s">
        <v>1348</v>
      </c>
      <c r="D2200">
        <v>357</v>
      </c>
      <c r="E2200">
        <v>110</v>
      </c>
      <c r="F2200">
        <v>42</v>
      </c>
      <c r="G2200">
        <v>48</v>
      </c>
      <c r="H2200">
        <v>75</v>
      </c>
      <c r="I2200">
        <v>82</v>
      </c>
      <c r="J2200">
        <v>72</v>
      </c>
      <c r="K2200">
        <v>110</v>
      </c>
      <c r="L2200">
        <v>175</v>
      </c>
      <c r="M2200">
        <v>338</v>
      </c>
      <c r="N2200">
        <v>19</v>
      </c>
      <c r="O2200" t="s">
        <v>1349</v>
      </c>
      <c r="P2200" s="1" t="b">
        <f>NOT(OR(Table1[[#This Row],[State]]="Other Foreign Countries", Table1[[#This Row],[State]]="Unknown", Table1[[#This Row],[State]]="Puerto Rico all counties"))</f>
        <v>1</v>
      </c>
    </row>
    <row r="2201" spans="1:16" x14ac:dyDescent="0.25">
      <c r="A2201">
        <v>48367</v>
      </c>
      <c r="B2201" t="s">
        <v>2654</v>
      </c>
      <c r="C2201" t="s">
        <v>4365</v>
      </c>
      <c r="D2201">
        <v>6174</v>
      </c>
      <c r="E2201">
        <v>967</v>
      </c>
      <c r="F2201">
        <v>539</v>
      </c>
      <c r="G2201">
        <v>642</v>
      </c>
      <c r="H2201" s="1">
        <v>1816</v>
      </c>
      <c r="I2201" s="1">
        <v>2210</v>
      </c>
      <c r="J2201" s="1">
        <v>2189</v>
      </c>
      <c r="K2201" s="1">
        <v>2384</v>
      </c>
      <c r="L2201" s="1">
        <v>1601</v>
      </c>
      <c r="M2201" s="1">
        <v>5426</v>
      </c>
      <c r="N2201">
        <v>748</v>
      </c>
      <c r="O2201" t="s">
        <v>4366</v>
      </c>
      <c r="P2201" s="1" t="b">
        <f>NOT(OR(Table1[[#This Row],[State]]="Other Foreign Countries", Table1[[#This Row],[State]]="Unknown", Table1[[#This Row],[State]]="Puerto Rico all counties"))</f>
        <v>1</v>
      </c>
    </row>
    <row r="2202" spans="1:16" x14ac:dyDescent="0.25">
      <c r="A2202">
        <v>48369</v>
      </c>
      <c r="B2202" t="s">
        <v>2654</v>
      </c>
      <c r="C2202" t="s">
        <v>4367</v>
      </c>
      <c r="D2202">
        <v>56</v>
      </c>
      <c r="E2202">
        <v>14</v>
      </c>
      <c r="H2202">
        <v>19</v>
      </c>
      <c r="I2202">
        <v>11</v>
      </c>
      <c r="J2202">
        <v>18</v>
      </c>
      <c r="K2202">
        <v>19</v>
      </c>
      <c r="L2202">
        <v>19</v>
      </c>
      <c r="O2202" t="s">
        <v>4368</v>
      </c>
      <c r="P2202" s="1" t="b">
        <f>NOT(OR(Table1[[#This Row],[State]]="Other Foreign Countries", Table1[[#This Row],[State]]="Unknown", Table1[[#This Row],[State]]="Puerto Rico all counties"))</f>
        <v>1</v>
      </c>
    </row>
    <row r="2203" spans="1:16" x14ac:dyDescent="0.25">
      <c r="A2203">
        <v>12101</v>
      </c>
      <c r="B2203" t="s">
        <v>637</v>
      </c>
      <c r="C2203" t="s">
        <v>724</v>
      </c>
      <c r="D2203">
        <v>19524</v>
      </c>
      <c r="E2203" s="1">
        <v>3306</v>
      </c>
      <c r="F2203" s="1">
        <v>1862</v>
      </c>
      <c r="G2203" s="1">
        <v>2079</v>
      </c>
      <c r="H2203" s="1">
        <v>5578</v>
      </c>
      <c r="I2203" s="1">
        <v>6699</v>
      </c>
      <c r="J2203" s="1">
        <v>5469</v>
      </c>
      <c r="K2203" s="1">
        <v>6865</v>
      </c>
      <c r="L2203" s="1">
        <v>7190</v>
      </c>
      <c r="M2203" s="1">
        <v>16868</v>
      </c>
      <c r="N2203" s="1">
        <v>2656</v>
      </c>
      <c r="O2203" t="s">
        <v>725</v>
      </c>
      <c r="P2203" s="1" t="b">
        <f>NOT(OR(Table1[[#This Row],[State]]="Other Foreign Countries", Table1[[#This Row],[State]]="Unknown", Table1[[#This Row],[State]]="Puerto Rico all counties"))</f>
        <v>1</v>
      </c>
    </row>
    <row r="2204" spans="1:16" x14ac:dyDescent="0.25">
      <c r="A2204">
        <v>37139</v>
      </c>
      <c r="B2204" t="s">
        <v>3121</v>
      </c>
      <c r="C2204" t="s">
        <v>3236</v>
      </c>
      <c r="D2204">
        <v>1991</v>
      </c>
      <c r="E2204">
        <v>329</v>
      </c>
      <c r="F2204">
        <v>219</v>
      </c>
      <c r="G2204">
        <v>271</v>
      </c>
      <c r="H2204">
        <v>615</v>
      </c>
      <c r="I2204">
        <v>557</v>
      </c>
      <c r="J2204">
        <v>461</v>
      </c>
      <c r="K2204">
        <v>859</v>
      </c>
      <c r="L2204">
        <v>671</v>
      </c>
      <c r="M2204" s="1">
        <v>1691</v>
      </c>
      <c r="N2204">
        <v>300</v>
      </c>
      <c r="O2204" t="s">
        <v>3237</v>
      </c>
      <c r="P2204" s="1" t="b">
        <f>NOT(OR(Table1[[#This Row],[State]]="Other Foreign Countries", Table1[[#This Row],[State]]="Unknown", Table1[[#This Row],[State]]="Puerto Rico all counties"))</f>
        <v>1</v>
      </c>
    </row>
    <row r="2205" spans="1:16" x14ac:dyDescent="0.25">
      <c r="A2205">
        <v>34031</v>
      </c>
      <c r="B2205" t="s">
        <v>2938</v>
      </c>
      <c r="C2205" t="s">
        <v>2963</v>
      </c>
      <c r="D2205">
        <v>2477</v>
      </c>
      <c r="E2205">
        <v>485</v>
      </c>
      <c r="F2205">
        <v>261</v>
      </c>
      <c r="G2205">
        <v>253</v>
      </c>
      <c r="H2205">
        <v>688</v>
      </c>
      <c r="I2205">
        <v>790</v>
      </c>
      <c r="J2205">
        <v>981</v>
      </c>
      <c r="K2205">
        <v>579</v>
      </c>
      <c r="L2205">
        <v>917</v>
      </c>
      <c r="M2205" s="1">
        <v>2248</v>
      </c>
      <c r="N2205">
        <v>228</v>
      </c>
      <c r="O2205" t="s">
        <v>2964</v>
      </c>
      <c r="P2205" s="1" t="b">
        <f>NOT(OR(Table1[[#This Row],[State]]="Other Foreign Countries", Table1[[#This Row],[State]]="Unknown", Table1[[#This Row],[State]]="Puerto Rico all counties"))</f>
        <v>1</v>
      </c>
    </row>
    <row r="2206" spans="1:16" x14ac:dyDescent="0.25">
      <c r="A2206">
        <v>51141</v>
      </c>
      <c r="B2206" t="s">
        <v>4555</v>
      </c>
      <c r="C2206" t="s">
        <v>4654</v>
      </c>
      <c r="D2206">
        <v>393</v>
      </c>
      <c r="E2206">
        <v>64</v>
      </c>
      <c r="F2206">
        <v>33</v>
      </c>
      <c r="G2206">
        <v>42</v>
      </c>
      <c r="H2206">
        <v>140</v>
      </c>
      <c r="I2206">
        <v>114</v>
      </c>
      <c r="J2206">
        <v>80</v>
      </c>
      <c r="K2206">
        <v>105</v>
      </c>
      <c r="L2206">
        <v>208</v>
      </c>
      <c r="M2206">
        <v>361</v>
      </c>
      <c r="N2206">
        <v>32</v>
      </c>
      <c r="O2206" t="s">
        <v>4655</v>
      </c>
      <c r="P2206" s="1" t="b">
        <f>NOT(OR(Table1[[#This Row],[State]]="Other Foreign Countries", Table1[[#This Row],[State]]="Unknown", Table1[[#This Row],[State]]="Puerto Rico all counties"))</f>
        <v>1</v>
      </c>
    </row>
    <row r="2207" spans="1:16" x14ac:dyDescent="0.25">
      <c r="A2207">
        <v>13223</v>
      </c>
      <c r="B2207" t="s">
        <v>754</v>
      </c>
      <c r="C2207" t="s">
        <v>937</v>
      </c>
      <c r="D2207">
        <v>4695</v>
      </c>
      <c r="E2207">
        <v>710</v>
      </c>
      <c r="F2207">
        <v>420</v>
      </c>
      <c r="G2207">
        <v>577</v>
      </c>
      <c r="H2207" s="1">
        <v>1477</v>
      </c>
      <c r="I2207" s="1">
        <v>1511</v>
      </c>
      <c r="J2207" s="1">
        <v>1626</v>
      </c>
      <c r="K2207" s="1">
        <v>1839</v>
      </c>
      <c r="L2207" s="1">
        <v>1230</v>
      </c>
      <c r="M2207" s="1">
        <v>3907</v>
      </c>
      <c r="N2207">
        <v>787</v>
      </c>
      <c r="O2207" t="s">
        <v>938</v>
      </c>
      <c r="P2207" s="1" t="b">
        <f>NOT(OR(Table1[[#This Row],[State]]="Other Foreign Countries", Table1[[#This Row],[State]]="Unknown", Table1[[#This Row],[State]]="Puerto Rico all counties"))</f>
        <v>1</v>
      </c>
    </row>
    <row r="2208" spans="1:16" x14ac:dyDescent="0.25">
      <c r="A2208">
        <v>39125</v>
      </c>
      <c r="B2208" t="s">
        <v>1343</v>
      </c>
      <c r="C2208" t="s">
        <v>937</v>
      </c>
      <c r="D2208">
        <v>348</v>
      </c>
      <c r="E2208">
        <v>114</v>
      </c>
      <c r="F2208">
        <v>50</v>
      </c>
      <c r="G2208">
        <v>54</v>
      </c>
      <c r="H2208">
        <v>67</v>
      </c>
      <c r="I2208">
        <v>63</v>
      </c>
      <c r="J2208">
        <v>64</v>
      </c>
      <c r="K2208">
        <v>107</v>
      </c>
      <c r="L2208">
        <v>177</v>
      </c>
      <c r="M2208">
        <v>323</v>
      </c>
      <c r="N2208">
        <v>25</v>
      </c>
      <c r="O2208" t="s">
        <v>3457</v>
      </c>
      <c r="P2208" s="1" t="b">
        <f>NOT(OR(Table1[[#This Row],[State]]="Other Foreign Countries", Table1[[#This Row],[State]]="Unknown", Table1[[#This Row],[State]]="Puerto Rico all counties"))</f>
        <v>1</v>
      </c>
    </row>
    <row r="2209" spans="1:16" x14ac:dyDescent="0.25">
      <c r="A2209">
        <v>20145</v>
      </c>
      <c r="B2209" t="s">
        <v>1543</v>
      </c>
      <c r="C2209" t="s">
        <v>1658</v>
      </c>
      <c r="D2209">
        <v>92</v>
      </c>
      <c r="E2209">
        <v>26</v>
      </c>
      <c r="H2209">
        <v>26</v>
      </c>
      <c r="I2209">
        <v>19</v>
      </c>
      <c r="J2209">
        <v>24</v>
      </c>
      <c r="K2209">
        <v>25</v>
      </c>
      <c r="L2209">
        <v>43</v>
      </c>
      <c r="O2209" t="s">
        <v>1659</v>
      </c>
      <c r="P2209" s="1" t="b">
        <f>NOT(OR(Table1[[#This Row],[State]]="Other Foreign Countries", Table1[[#This Row],[State]]="Unknown", Table1[[#This Row],[State]]="Puerto Rico all counties"))</f>
        <v>1</v>
      </c>
    </row>
    <row r="2210" spans="1:16" x14ac:dyDescent="0.25">
      <c r="A2210">
        <v>31133</v>
      </c>
      <c r="B2210" t="s">
        <v>2758</v>
      </c>
      <c r="C2210" t="s">
        <v>1658</v>
      </c>
      <c r="D2210">
        <v>73</v>
      </c>
      <c r="E2210">
        <v>26</v>
      </c>
      <c r="H2210">
        <v>17</v>
      </c>
      <c r="I2210">
        <v>13</v>
      </c>
      <c r="J2210">
        <v>14</v>
      </c>
      <c r="K2210">
        <v>12</v>
      </c>
      <c r="L2210">
        <v>47</v>
      </c>
      <c r="O2210" t="s">
        <v>2857</v>
      </c>
      <c r="P2210" s="1" t="b">
        <f>NOT(OR(Table1[[#This Row],[State]]="Other Foreign Countries", Table1[[#This Row],[State]]="Unknown", Table1[[#This Row],[State]]="Puerto Rico all counties"))</f>
        <v>1</v>
      </c>
    </row>
    <row r="2211" spans="1:16" x14ac:dyDescent="0.25">
      <c r="A2211">
        <v>40117</v>
      </c>
      <c r="B2211" t="s">
        <v>3495</v>
      </c>
      <c r="C2211" t="s">
        <v>1658</v>
      </c>
      <c r="D2211">
        <v>429</v>
      </c>
      <c r="E2211">
        <v>95</v>
      </c>
      <c r="F2211">
        <v>45</v>
      </c>
      <c r="G2211">
        <v>62</v>
      </c>
      <c r="H2211">
        <v>126</v>
      </c>
      <c r="I2211">
        <v>101</v>
      </c>
      <c r="J2211">
        <v>96</v>
      </c>
      <c r="K2211">
        <v>115</v>
      </c>
      <c r="L2211">
        <v>218</v>
      </c>
      <c r="M2211">
        <v>400</v>
      </c>
      <c r="N2211">
        <v>29</v>
      </c>
      <c r="O2211" t="s">
        <v>3582</v>
      </c>
      <c r="P2211" s="1" t="b">
        <f>NOT(OR(Table1[[#This Row],[State]]="Other Foreign Countries", Table1[[#This Row],[State]]="Unknown", Table1[[#This Row],[State]]="Puerto Rico all counties"))</f>
        <v>1</v>
      </c>
    </row>
    <row r="2212" spans="1:16" x14ac:dyDescent="0.25">
      <c r="A2212">
        <v>16075</v>
      </c>
      <c r="B2212" t="s">
        <v>1032</v>
      </c>
      <c r="C2212" t="s">
        <v>1096</v>
      </c>
      <c r="D2212">
        <v>718</v>
      </c>
      <c r="E2212">
        <v>149</v>
      </c>
      <c r="F2212">
        <v>122</v>
      </c>
      <c r="G2212">
        <v>81</v>
      </c>
      <c r="H2212">
        <v>213</v>
      </c>
      <c r="I2212">
        <v>153</v>
      </c>
      <c r="J2212">
        <v>192</v>
      </c>
      <c r="K2212">
        <v>216</v>
      </c>
      <c r="L2212">
        <v>310</v>
      </c>
      <c r="M2212">
        <v>671</v>
      </c>
      <c r="N2212">
        <v>47</v>
      </c>
      <c r="O2212" t="s">
        <v>1097</v>
      </c>
      <c r="P2212" s="1" t="b">
        <f>NOT(OR(Table1[[#This Row],[State]]="Other Foreign Countries", Table1[[#This Row],[State]]="Unknown", Table1[[#This Row],[State]]="Puerto Rico all counties"))</f>
        <v>1</v>
      </c>
    </row>
    <row r="2213" spans="1:16" x14ac:dyDescent="0.25">
      <c r="A2213">
        <v>40119</v>
      </c>
      <c r="B2213" t="s">
        <v>3495</v>
      </c>
      <c r="C2213" t="s">
        <v>3583</v>
      </c>
      <c r="D2213">
        <v>1438</v>
      </c>
      <c r="E2213">
        <v>288</v>
      </c>
      <c r="F2213">
        <v>166</v>
      </c>
      <c r="G2213">
        <v>170</v>
      </c>
      <c r="H2213">
        <v>441</v>
      </c>
      <c r="I2213">
        <v>373</v>
      </c>
      <c r="J2213">
        <v>460</v>
      </c>
      <c r="K2213">
        <v>390</v>
      </c>
      <c r="L2213">
        <v>588</v>
      </c>
      <c r="M2213" s="1">
        <v>1296</v>
      </c>
      <c r="N2213">
        <v>142</v>
      </c>
      <c r="O2213" t="s">
        <v>3584</v>
      </c>
      <c r="P2213" s="1" t="b">
        <f>NOT(OR(Table1[[#This Row],[State]]="Other Foreign Countries", Table1[[#This Row],[State]]="Unknown", Table1[[#This Row],[State]]="Puerto Rico all counties"))</f>
        <v>1</v>
      </c>
    </row>
    <row r="2214" spans="1:16" x14ac:dyDescent="0.25">
      <c r="A2214">
        <v>13225</v>
      </c>
      <c r="B2214" t="s">
        <v>754</v>
      </c>
      <c r="C2214" t="s">
        <v>939</v>
      </c>
      <c r="D2214">
        <v>1296</v>
      </c>
      <c r="E2214">
        <v>187</v>
      </c>
      <c r="F2214">
        <v>112</v>
      </c>
      <c r="G2214">
        <v>118</v>
      </c>
      <c r="H2214">
        <v>379</v>
      </c>
      <c r="I2214">
        <v>500</v>
      </c>
      <c r="J2214">
        <v>293</v>
      </c>
      <c r="K2214">
        <v>544</v>
      </c>
      <c r="L2214">
        <v>459</v>
      </c>
      <c r="M2214" s="1">
        <v>1076</v>
      </c>
      <c r="N2214">
        <v>220</v>
      </c>
      <c r="O2214" t="s">
        <v>940</v>
      </c>
      <c r="P2214" s="1" t="b">
        <f>NOT(OR(Table1[[#This Row],[State]]="Other Foreign Countries", Table1[[#This Row],[State]]="Unknown", Table1[[#This Row],[State]]="Puerto Rico all counties"))</f>
        <v>1</v>
      </c>
    </row>
    <row r="2215" spans="1:16" x14ac:dyDescent="0.25">
      <c r="A2215">
        <v>28109</v>
      </c>
      <c r="B2215" t="s">
        <v>322</v>
      </c>
      <c r="C2215" t="s">
        <v>2468</v>
      </c>
      <c r="D2215">
        <v>1498</v>
      </c>
      <c r="E2215">
        <v>281</v>
      </c>
      <c r="F2215">
        <v>179</v>
      </c>
      <c r="G2215">
        <v>195</v>
      </c>
      <c r="H2215">
        <v>415</v>
      </c>
      <c r="I2215">
        <v>428</v>
      </c>
      <c r="J2215">
        <v>321</v>
      </c>
      <c r="K2215">
        <v>539</v>
      </c>
      <c r="L2215">
        <v>638</v>
      </c>
      <c r="M2215" s="1">
        <v>1352</v>
      </c>
      <c r="N2215">
        <v>146</v>
      </c>
      <c r="O2215" t="s">
        <v>2469</v>
      </c>
      <c r="P2215" s="1" t="b">
        <f>NOT(OR(Table1[[#This Row],[State]]="Other Foreign Countries", Table1[[#This Row],[State]]="Unknown", Table1[[#This Row],[State]]="Puerto Rico all counties"))</f>
        <v>1</v>
      </c>
    </row>
    <row r="2216" spans="1:16" x14ac:dyDescent="0.25">
      <c r="A2216">
        <v>48371</v>
      </c>
      <c r="B2216" t="s">
        <v>2654</v>
      </c>
      <c r="C2216" t="s">
        <v>4369</v>
      </c>
      <c r="D2216">
        <v>163</v>
      </c>
      <c r="E2216">
        <v>28</v>
      </c>
      <c r="F2216">
        <v>17</v>
      </c>
      <c r="G2216">
        <v>26</v>
      </c>
      <c r="H2216">
        <v>57</v>
      </c>
      <c r="I2216">
        <v>35</v>
      </c>
      <c r="J2216">
        <v>49</v>
      </c>
      <c r="K2216">
        <v>63</v>
      </c>
      <c r="L2216">
        <v>51</v>
      </c>
      <c r="M2216">
        <v>149</v>
      </c>
      <c r="N2216">
        <v>14</v>
      </c>
      <c r="O2216" t="s">
        <v>4370</v>
      </c>
      <c r="P2216" s="1" t="b">
        <f>NOT(OR(Table1[[#This Row],[State]]="Other Foreign Countries", Table1[[#This Row],[State]]="Unknown", Table1[[#This Row],[State]]="Puerto Rico all counties"))</f>
        <v>1</v>
      </c>
    </row>
    <row r="2217" spans="1:16" x14ac:dyDescent="0.25">
      <c r="A2217">
        <v>38067</v>
      </c>
      <c r="B2217" t="s">
        <v>3286</v>
      </c>
      <c r="C2217" t="s">
        <v>3340</v>
      </c>
      <c r="D2217">
        <v>169</v>
      </c>
      <c r="E2217">
        <v>43</v>
      </c>
      <c r="F2217">
        <v>29</v>
      </c>
      <c r="G2217">
        <v>18</v>
      </c>
      <c r="H2217">
        <v>47</v>
      </c>
      <c r="I2217">
        <v>32</v>
      </c>
      <c r="J2217">
        <v>35</v>
      </c>
      <c r="K2217">
        <v>38</v>
      </c>
      <c r="L2217">
        <v>96</v>
      </c>
      <c r="O2217" t="s">
        <v>3341</v>
      </c>
      <c r="P2217" s="1" t="b">
        <f>NOT(OR(Table1[[#This Row],[State]]="Other Foreign Countries", Table1[[#This Row],[State]]="Unknown", Table1[[#This Row],[State]]="Puerto Rico all counties"))</f>
        <v>1</v>
      </c>
    </row>
    <row r="2218" spans="1:16" x14ac:dyDescent="0.25">
      <c r="A2218">
        <v>29155</v>
      </c>
      <c r="B2218" t="s">
        <v>2510</v>
      </c>
      <c r="C2218" t="s">
        <v>2612</v>
      </c>
      <c r="D2218">
        <v>231</v>
      </c>
      <c r="E2218">
        <v>57</v>
      </c>
      <c r="F2218">
        <v>30</v>
      </c>
      <c r="G2218">
        <v>36</v>
      </c>
      <c r="H2218">
        <v>64</v>
      </c>
      <c r="I2218">
        <v>44</v>
      </c>
      <c r="J2218">
        <v>38</v>
      </c>
      <c r="K2218">
        <v>71</v>
      </c>
      <c r="L2218">
        <v>122</v>
      </c>
      <c r="M2218">
        <v>218</v>
      </c>
      <c r="N2218">
        <v>13</v>
      </c>
      <c r="O2218" t="s">
        <v>2613</v>
      </c>
      <c r="P2218" s="1" t="b">
        <f>NOT(OR(Table1[[#This Row],[State]]="Other Foreign Countries", Table1[[#This Row],[State]]="Unknown", Table1[[#This Row],[State]]="Puerto Rico all counties"))</f>
        <v>1</v>
      </c>
    </row>
    <row r="2219" spans="1:16" x14ac:dyDescent="0.25">
      <c r="A2219">
        <v>53051</v>
      </c>
      <c r="B2219" t="s">
        <v>144</v>
      </c>
      <c r="C2219" t="s">
        <v>4809</v>
      </c>
      <c r="D2219">
        <v>512</v>
      </c>
      <c r="E2219">
        <v>117</v>
      </c>
      <c r="F2219">
        <v>61</v>
      </c>
      <c r="G2219">
        <v>59</v>
      </c>
      <c r="H2219">
        <v>150</v>
      </c>
      <c r="I2219">
        <v>125</v>
      </c>
      <c r="J2219">
        <v>89</v>
      </c>
      <c r="K2219">
        <v>164</v>
      </c>
      <c r="L2219">
        <v>259</v>
      </c>
      <c r="M2219">
        <v>451</v>
      </c>
      <c r="N2219">
        <v>61</v>
      </c>
      <c r="O2219" t="s">
        <v>4810</v>
      </c>
      <c r="P2219" s="1" t="b">
        <f>NOT(OR(Table1[[#This Row],[State]]="Other Foreign Countries", Table1[[#This Row],[State]]="Unknown", Table1[[#This Row],[State]]="Puerto Rico all counties"))</f>
        <v>1</v>
      </c>
    </row>
    <row r="2220" spans="1:16" x14ac:dyDescent="0.25">
      <c r="A2220">
        <v>37141</v>
      </c>
      <c r="B2220" t="s">
        <v>3121</v>
      </c>
      <c r="C2220" t="s">
        <v>3238</v>
      </c>
      <c r="D2220">
        <v>2946</v>
      </c>
      <c r="E2220">
        <v>379</v>
      </c>
      <c r="F2220">
        <v>230</v>
      </c>
      <c r="G2220">
        <v>297</v>
      </c>
      <c r="H2220">
        <v>844</v>
      </c>
      <c r="I2220" s="1">
        <v>1196</v>
      </c>
      <c r="J2220">
        <v>970</v>
      </c>
      <c r="K2220" s="1">
        <v>1103</v>
      </c>
      <c r="L2220">
        <v>873</v>
      </c>
      <c r="M2220" s="1">
        <v>2608</v>
      </c>
      <c r="N2220">
        <v>338</v>
      </c>
      <c r="O2220" t="s">
        <v>3239</v>
      </c>
      <c r="P2220" s="1" t="b">
        <f>NOT(OR(Table1[[#This Row],[State]]="Other Foreign Countries", Table1[[#This Row],[State]]="Unknown", Table1[[#This Row],[State]]="Puerto Rico all counties"))</f>
        <v>1</v>
      </c>
    </row>
    <row r="2221" spans="1:16" x14ac:dyDescent="0.25">
      <c r="A2221">
        <v>21191</v>
      </c>
      <c r="B2221" t="s">
        <v>1716</v>
      </c>
      <c r="C2221" t="s">
        <v>1857</v>
      </c>
      <c r="D2221">
        <v>261</v>
      </c>
      <c r="E2221">
        <v>67</v>
      </c>
      <c r="F2221">
        <v>36</v>
      </c>
      <c r="G2221">
        <v>34</v>
      </c>
      <c r="H2221">
        <v>70</v>
      </c>
      <c r="I2221">
        <v>54</v>
      </c>
      <c r="J2221">
        <v>69</v>
      </c>
      <c r="K2221">
        <v>82</v>
      </c>
      <c r="L2221">
        <v>110</v>
      </c>
      <c r="M2221">
        <v>240</v>
      </c>
      <c r="N2221">
        <v>21</v>
      </c>
      <c r="O2221" t="s">
        <v>1858</v>
      </c>
      <c r="P2221" s="1" t="b">
        <f>NOT(OR(Table1[[#This Row],[State]]="Other Foreign Countries", Table1[[#This Row],[State]]="Unknown", Table1[[#This Row],[State]]="Puerto Rico all counties"))</f>
        <v>1</v>
      </c>
    </row>
    <row r="2222" spans="1:16" x14ac:dyDescent="0.25">
      <c r="A2222">
        <v>54071</v>
      </c>
      <c r="B2222" t="s">
        <v>4833</v>
      </c>
      <c r="C2222" t="s">
        <v>1857</v>
      </c>
      <c r="D2222">
        <v>155</v>
      </c>
      <c r="E2222">
        <v>32</v>
      </c>
      <c r="F2222">
        <v>14</v>
      </c>
      <c r="G2222">
        <v>22</v>
      </c>
      <c r="H2222">
        <v>42</v>
      </c>
      <c r="I2222">
        <v>45</v>
      </c>
      <c r="J2222">
        <v>31</v>
      </c>
      <c r="K2222">
        <v>51</v>
      </c>
      <c r="L2222">
        <v>73</v>
      </c>
      <c r="M2222">
        <v>136</v>
      </c>
      <c r="N2222">
        <v>19</v>
      </c>
      <c r="O2222" t="s">
        <v>4878</v>
      </c>
      <c r="P2222" s="1" t="b">
        <f>NOT(OR(Table1[[#This Row],[State]]="Other Foreign Countries", Table1[[#This Row],[State]]="Unknown", Table1[[#This Row],[State]]="Puerto Rico all counties"))</f>
        <v>1</v>
      </c>
    </row>
    <row r="2223" spans="1:16" x14ac:dyDescent="0.25">
      <c r="A2223">
        <v>27113</v>
      </c>
      <c r="B2223" t="s">
        <v>2245</v>
      </c>
      <c r="C2223" t="s">
        <v>2340</v>
      </c>
      <c r="D2223">
        <v>279</v>
      </c>
      <c r="E2223">
        <v>94</v>
      </c>
      <c r="F2223">
        <v>24</v>
      </c>
      <c r="G2223">
        <v>30</v>
      </c>
      <c r="H2223">
        <v>79</v>
      </c>
      <c r="I2223">
        <v>52</v>
      </c>
      <c r="J2223">
        <v>56</v>
      </c>
      <c r="K2223">
        <v>66</v>
      </c>
      <c r="L2223">
        <v>157</v>
      </c>
      <c r="M2223">
        <v>263</v>
      </c>
      <c r="N2223">
        <v>15</v>
      </c>
      <c r="O2223" t="s">
        <v>2341</v>
      </c>
      <c r="P2223" s="1" t="b">
        <f>NOT(OR(Table1[[#This Row],[State]]="Other Foreign Countries", Table1[[#This Row],[State]]="Unknown", Table1[[#This Row],[State]]="Puerto Rico all counties"))</f>
        <v>1</v>
      </c>
    </row>
    <row r="2224" spans="1:16" x14ac:dyDescent="0.25">
      <c r="A2224">
        <v>46103</v>
      </c>
      <c r="B2224" t="s">
        <v>3846</v>
      </c>
      <c r="C2224" t="s">
        <v>2340</v>
      </c>
      <c r="D2224">
        <v>5242</v>
      </c>
      <c r="E2224" s="1">
        <v>1128</v>
      </c>
      <c r="F2224">
        <v>694</v>
      </c>
      <c r="G2224">
        <v>801</v>
      </c>
      <c r="H2224" s="1">
        <v>1522</v>
      </c>
      <c r="I2224" s="1">
        <v>1097</v>
      </c>
      <c r="J2224" s="1">
        <v>1336</v>
      </c>
      <c r="K2224" s="1">
        <v>1978</v>
      </c>
      <c r="L2224" s="1">
        <v>1928</v>
      </c>
      <c r="M2224" s="1">
        <v>4543</v>
      </c>
      <c r="N2224">
        <v>699</v>
      </c>
      <c r="O2224" t="s">
        <v>3927</v>
      </c>
      <c r="P2224" s="1" t="b">
        <f>NOT(OR(Table1[[#This Row],[State]]="Other Foreign Countries", Table1[[#This Row],[State]]="Unknown", Table1[[#This Row],[State]]="Puerto Rico all counties"))</f>
        <v>1</v>
      </c>
    </row>
    <row r="2225" spans="1:16" x14ac:dyDescent="0.25">
      <c r="A2225">
        <v>23019</v>
      </c>
      <c r="B2225" t="s">
        <v>2004</v>
      </c>
      <c r="C2225" t="s">
        <v>2018</v>
      </c>
      <c r="D2225">
        <v>4281</v>
      </c>
      <c r="E2225">
        <v>832</v>
      </c>
      <c r="F2225">
        <v>412</v>
      </c>
      <c r="G2225">
        <v>470</v>
      </c>
      <c r="H2225" s="1">
        <v>1373</v>
      </c>
      <c r="I2225" s="1">
        <v>1194</v>
      </c>
      <c r="J2225" s="1">
        <v>1008</v>
      </c>
      <c r="K2225" s="1">
        <v>1457</v>
      </c>
      <c r="L2225" s="1">
        <v>1816</v>
      </c>
      <c r="M2225" s="1">
        <v>3839</v>
      </c>
      <c r="N2225">
        <v>442</v>
      </c>
      <c r="O2225" t="s">
        <v>2019</v>
      </c>
      <c r="P2225" s="1" t="b">
        <f>NOT(OR(Table1[[#This Row],[State]]="Other Foreign Countries", Table1[[#This Row],[State]]="Unknown", Table1[[#This Row],[State]]="Puerto Rico all counties"))</f>
        <v>1</v>
      </c>
    </row>
    <row r="2226" spans="1:16" x14ac:dyDescent="0.25">
      <c r="A2226">
        <v>17143</v>
      </c>
      <c r="B2226" t="s">
        <v>1109</v>
      </c>
      <c r="C2226" t="s">
        <v>1219</v>
      </c>
      <c r="D2226">
        <v>2652</v>
      </c>
      <c r="E2226">
        <v>400</v>
      </c>
      <c r="F2226">
        <v>232</v>
      </c>
      <c r="G2226">
        <v>264</v>
      </c>
      <c r="H2226">
        <v>883</v>
      </c>
      <c r="I2226">
        <v>873</v>
      </c>
      <c r="J2226">
        <v>709</v>
      </c>
      <c r="K2226">
        <v>913</v>
      </c>
      <c r="L2226" s="1">
        <v>1030</v>
      </c>
      <c r="M2226" s="1">
        <v>2359</v>
      </c>
      <c r="N2226">
        <v>292</v>
      </c>
      <c r="O2226" t="s">
        <v>1220</v>
      </c>
      <c r="P2226" s="1" t="b">
        <f>NOT(OR(Table1[[#This Row],[State]]="Other Foreign Countries", Table1[[#This Row],[State]]="Unknown", Table1[[#This Row],[State]]="Puerto Rico all counties"))</f>
        <v>1</v>
      </c>
    </row>
    <row r="2227" spans="1:16" x14ac:dyDescent="0.25">
      <c r="A2227">
        <v>55091</v>
      </c>
      <c r="B2227" t="s">
        <v>4906</v>
      </c>
      <c r="C2227" t="s">
        <v>4973</v>
      </c>
      <c r="D2227">
        <v>179</v>
      </c>
      <c r="E2227">
        <v>60</v>
      </c>
      <c r="F2227">
        <v>19</v>
      </c>
      <c r="G2227">
        <v>27</v>
      </c>
      <c r="H2227">
        <v>47</v>
      </c>
      <c r="I2227">
        <v>26</v>
      </c>
      <c r="J2227">
        <v>27</v>
      </c>
      <c r="K2227">
        <v>46</v>
      </c>
      <c r="L2227">
        <v>106</v>
      </c>
      <c r="M2227">
        <v>161</v>
      </c>
      <c r="N2227">
        <v>18</v>
      </c>
      <c r="O2227" t="s">
        <v>4974</v>
      </c>
      <c r="P2227" s="1" t="b">
        <f>NOT(OR(Table1[[#This Row],[State]]="Other Foreign Countries", Table1[[#This Row],[State]]="Unknown", Table1[[#This Row],[State]]="Puerto Rico all counties"))</f>
        <v>1</v>
      </c>
    </row>
    <row r="2228" spans="1:16" x14ac:dyDescent="0.25">
      <c r="A2228">
        <v>31135</v>
      </c>
      <c r="B2228" t="s">
        <v>2758</v>
      </c>
      <c r="C2228" t="s">
        <v>2858</v>
      </c>
      <c r="D2228">
        <v>51</v>
      </c>
      <c r="E2228">
        <v>22</v>
      </c>
      <c r="J2228">
        <v>10</v>
      </c>
      <c r="K2228">
        <v>10</v>
      </c>
      <c r="L2228">
        <v>31</v>
      </c>
      <c r="O2228" t="s">
        <v>2859</v>
      </c>
      <c r="P2228" s="1" t="b">
        <f>NOT(OR(Table1[[#This Row],[State]]="Other Foreign Countries", Table1[[#This Row],[State]]="Unknown", Table1[[#This Row],[State]]="Puerto Rico all counties"))</f>
        <v>1</v>
      </c>
    </row>
    <row r="2229" spans="1:16" x14ac:dyDescent="0.25">
      <c r="A2229">
        <v>46105</v>
      </c>
      <c r="B2229" t="s">
        <v>3846</v>
      </c>
      <c r="C2229" t="s">
        <v>2858</v>
      </c>
      <c r="D2229">
        <v>70</v>
      </c>
      <c r="E2229">
        <v>24</v>
      </c>
      <c r="H2229">
        <v>23</v>
      </c>
      <c r="J2229">
        <v>19</v>
      </c>
      <c r="K2229">
        <v>15</v>
      </c>
      <c r="L2229">
        <v>36</v>
      </c>
      <c r="O2229" t="s">
        <v>3928</v>
      </c>
      <c r="P2229" s="1" t="b">
        <f>NOT(OR(Table1[[#This Row],[State]]="Other Foreign Countries", Table1[[#This Row],[State]]="Unknown", Table1[[#This Row],[State]]="Puerto Rico all counties"))</f>
        <v>1</v>
      </c>
    </row>
    <row r="2230" spans="1:16" x14ac:dyDescent="0.25">
      <c r="A2230">
        <v>37143</v>
      </c>
      <c r="B2230" t="s">
        <v>3121</v>
      </c>
      <c r="C2230" t="s">
        <v>3240</v>
      </c>
      <c r="D2230">
        <v>556</v>
      </c>
      <c r="E2230">
        <v>107</v>
      </c>
      <c r="F2230">
        <v>51</v>
      </c>
      <c r="G2230">
        <v>74</v>
      </c>
      <c r="H2230">
        <v>171</v>
      </c>
      <c r="I2230">
        <v>153</v>
      </c>
      <c r="J2230">
        <v>110</v>
      </c>
      <c r="K2230">
        <v>206</v>
      </c>
      <c r="L2230">
        <v>240</v>
      </c>
      <c r="M2230">
        <v>485</v>
      </c>
      <c r="N2230">
        <v>71</v>
      </c>
      <c r="O2230" t="s">
        <v>3241</v>
      </c>
      <c r="P2230" s="1" t="b">
        <f>NOT(OR(Table1[[#This Row],[State]]="Other Foreign Countries", Table1[[#This Row],[State]]="Unknown", Table1[[#This Row],[State]]="Puerto Rico all counties"))</f>
        <v>1</v>
      </c>
    </row>
    <row r="2231" spans="1:16" x14ac:dyDescent="0.25">
      <c r="A2231">
        <v>1105</v>
      </c>
      <c r="B2231" t="s">
        <v>15</v>
      </c>
      <c r="C2231" t="s">
        <v>120</v>
      </c>
      <c r="D2231">
        <v>213</v>
      </c>
      <c r="E2231">
        <v>33</v>
      </c>
      <c r="F2231">
        <v>14</v>
      </c>
      <c r="G2231">
        <v>19</v>
      </c>
      <c r="H2231">
        <v>63</v>
      </c>
      <c r="I2231">
        <v>84</v>
      </c>
      <c r="J2231">
        <v>31</v>
      </c>
      <c r="K2231">
        <v>92</v>
      </c>
      <c r="L2231">
        <v>90</v>
      </c>
      <c r="M2231">
        <v>190</v>
      </c>
      <c r="N2231">
        <v>23</v>
      </c>
      <c r="O2231" t="s">
        <v>121</v>
      </c>
      <c r="P2231" s="1" t="b">
        <f>NOT(OR(Table1[[#This Row],[State]]="Other Foreign Countries", Table1[[#This Row],[State]]="Unknown", Table1[[#This Row],[State]]="Puerto Rico all counties"))</f>
        <v>1</v>
      </c>
    </row>
    <row r="2232" spans="1:16" x14ac:dyDescent="0.25">
      <c r="A2232">
        <v>5105</v>
      </c>
      <c r="B2232" t="s">
        <v>242</v>
      </c>
      <c r="C2232" t="s">
        <v>120</v>
      </c>
      <c r="D2232">
        <v>251</v>
      </c>
      <c r="E2232">
        <v>27</v>
      </c>
      <c r="F2232">
        <v>27</v>
      </c>
      <c r="G2232">
        <v>32</v>
      </c>
      <c r="H2232">
        <v>92</v>
      </c>
      <c r="I2232">
        <v>73</v>
      </c>
      <c r="J2232">
        <v>40</v>
      </c>
      <c r="K2232">
        <v>97</v>
      </c>
      <c r="L2232">
        <v>114</v>
      </c>
      <c r="M2232">
        <v>231</v>
      </c>
      <c r="N2232">
        <v>20</v>
      </c>
      <c r="O2232" t="s">
        <v>332</v>
      </c>
      <c r="P2232" s="1" t="b">
        <f>NOT(OR(Table1[[#This Row],[State]]="Other Foreign Countries", Table1[[#This Row],[State]]="Unknown", Table1[[#This Row],[State]]="Puerto Rico all counties"))</f>
        <v>1</v>
      </c>
    </row>
    <row r="2233" spans="1:16" x14ac:dyDescent="0.25">
      <c r="A2233">
        <v>17145</v>
      </c>
      <c r="B2233" t="s">
        <v>1109</v>
      </c>
      <c r="C2233" t="s">
        <v>120</v>
      </c>
      <c r="D2233">
        <v>348</v>
      </c>
      <c r="E2233">
        <v>79</v>
      </c>
      <c r="F2233">
        <v>25</v>
      </c>
      <c r="G2233">
        <v>35</v>
      </c>
      <c r="H2233">
        <v>129</v>
      </c>
      <c r="I2233">
        <v>80</v>
      </c>
      <c r="J2233">
        <v>94</v>
      </c>
      <c r="K2233">
        <v>98</v>
      </c>
      <c r="L2233">
        <v>156</v>
      </c>
      <c r="M2233">
        <v>317</v>
      </c>
      <c r="N2233">
        <v>31</v>
      </c>
      <c r="O2233" t="s">
        <v>1221</v>
      </c>
      <c r="P2233" s="1" t="b">
        <f>NOT(OR(Table1[[#This Row],[State]]="Other Foreign Countries", Table1[[#This Row],[State]]="Unknown", Table1[[#This Row],[State]]="Puerto Rico all counties"))</f>
        <v>1</v>
      </c>
    </row>
    <row r="2234" spans="1:16" x14ac:dyDescent="0.25">
      <c r="A2234">
        <v>18123</v>
      </c>
      <c r="B2234" t="s">
        <v>1266</v>
      </c>
      <c r="C2234" t="s">
        <v>120</v>
      </c>
      <c r="D2234">
        <v>486</v>
      </c>
      <c r="E2234">
        <v>171</v>
      </c>
      <c r="F2234">
        <v>75</v>
      </c>
      <c r="G2234">
        <v>61</v>
      </c>
      <c r="H2234">
        <v>109</v>
      </c>
      <c r="I2234">
        <v>70</v>
      </c>
      <c r="J2234">
        <v>77</v>
      </c>
      <c r="K2234">
        <v>152</v>
      </c>
      <c r="L2234">
        <v>257</v>
      </c>
      <c r="M2234">
        <v>450</v>
      </c>
      <c r="N2234">
        <v>36</v>
      </c>
      <c r="O2234" t="s">
        <v>1350</v>
      </c>
      <c r="P2234" s="1" t="b">
        <f>NOT(OR(Table1[[#This Row],[State]]="Other Foreign Countries", Table1[[#This Row],[State]]="Unknown", Table1[[#This Row],[State]]="Puerto Rico all counties"))</f>
        <v>1</v>
      </c>
    </row>
    <row r="2235" spans="1:16" x14ac:dyDescent="0.25">
      <c r="A2235">
        <v>21193</v>
      </c>
      <c r="B2235" t="s">
        <v>1716</v>
      </c>
      <c r="C2235" t="s">
        <v>120</v>
      </c>
      <c r="D2235">
        <v>438</v>
      </c>
      <c r="E2235">
        <v>95</v>
      </c>
      <c r="F2235">
        <v>49</v>
      </c>
      <c r="G2235">
        <v>50</v>
      </c>
      <c r="H2235">
        <v>124</v>
      </c>
      <c r="I2235">
        <v>120</v>
      </c>
      <c r="J2235">
        <v>55</v>
      </c>
      <c r="K2235">
        <v>128</v>
      </c>
      <c r="L2235">
        <v>255</v>
      </c>
      <c r="M2235">
        <v>422</v>
      </c>
      <c r="N2235">
        <v>16</v>
      </c>
      <c r="O2235" t="s">
        <v>1859</v>
      </c>
      <c r="P2235" s="1" t="b">
        <f>NOT(OR(Table1[[#This Row],[State]]="Other Foreign Countries", Table1[[#This Row],[State]]="Unknown", Table1[[#This Row],[State]]="Puerto Rico all counties"))</f>
        <v>1</v>
      </c>
    </row>
    <row r="2236" spans="1:16" x14ac:dyDescent="0.25">
      <c r="A2236">
        <v>28111</v>
      </c>
      <c r="B2236" t="s">
        <v>322</v>
      </c>
      <c r="C2236" t="s">
        <v>120</v>
      </c>
      <c r="D2236">
        <v>290</v>
      </c>
      <c r="E2236">
        <v>52</v>
      </c>
      <c r="F2236">
        <v>22</v>
      </c>
      <c r="G2236">
        <v>35</v>
      </c>
      <c r="H2236">
        <v>94</v>
      </c>
      <c r="I2236">
        <v>87</v>
      </c>
      <c r="J2236">
        <v>66</v>
      </c>
      <c r="K2236">
        <v>104</v>
      </c>
      <c r="L2236">
        <v>120</v>
      </c>
      <c r="M2236">
        <v>250</v>
      </c>
      <c r="N2236">
        <v>40</v>
      </c>
      <c r="O2236" t="s">
        <v>2470</v>
      </c>
      <c r="P2236" s="1" t="b">
        <f>NOT(OR(Table1[[#This Row],[State]]="Other Foreign Countries", Table1[[#This Row],[State]]="Unknown", Table1[[#This Row],[State]]="Puerto Rico all counties"))</f>
        <v>1</v>
      </c>
    </row>
    <row r="2237" spans="1:16" x14ac:dyDescent="0.25">
      <c r="A2237">
        <v>29157</v>
      </c>
      <c r="B2237" t="s">
        <v>2510</v>
      </c>
      <c r="C2237" t="s">
        <v>120</v>
      </c>
      <c r="D2237">
        <v>416</v>
      </c>
      <c r="E2237">
        <v>107</v>
      </c>
      <c r="F2237">
        <v>55</v>
      </c>
      <c r="G2237">
        <v>52</v>
      </c>
      <c r="H2237">
        <v>115</v>
      </c>
      <c r="I2237">
        <v>87</v>
      </c>
      <c r="J2237">
        <v>98</v>
      </c>
      <c r="K2237">
        <v>110</v>
      </c>
      <c r="L2237">
        <v>208</v>
      </c>
      <c r="M2237">
        <v>382</v>
      </c>
      <c r="N2237">
        <v>34</v>
      </c>
      <c r="O2237" t="s">
        <v>2614</v>
      </c>
      <c r="P2237" s="1" t="b">
        <f>NOT(OR(Table1[[#This Row],[State]]="Other Foreign Countries", Table1[[#This Row],[State]]="Unknown", Table1[[#This Row],[State]]="Puerto Rico all counties"))</f>
        <v>1</v>
      </c>
    </row>
    <row r="2238" spans="1:16" x14ac:dyDescent="0.25">
      <c r="A2238">
        <v>39127</v>
      </c>
      <c r="B2238" t="s">
        <v>1343</v>
      </c>
      <c r="C2238" t="s">
        <v>120</v>
      </c>
      <c r="D2238">
        <v>722</v>
      </c>
      <c r="E2238">
        <v>182</v>
      </c>
      <c r="F2238">
        <v>97</v>
      </c>
      <c r="G2238">
        <v>94</v>
      </c>
      <c r="H2238">
        <v>212</v>
      </c>
      <c r="I2238">
        <v>137</v>
      </c>
      <c r="J2238">
        <v>196</v>
      </c>
      <c r="K2238">
        <v>235</v>
      </c>
      <c r="L2238">
        <v>291</v>
      </c>
      <c r="M2238">
        <v>673</v>
      </c>
      <c r="N2238">
        <v>49</v>
      </c>
      <c r="O2238" t="s">
        <v>3458</v>
      </c>
      <c r="P2238" s="1" t="b">
        <f>NOT(OR(Table1[[#This Row],[State]]="Other Foreign Countries", Table1[[#This Row],[State]]="Unknown", Table1[[#This Row],[State]]="Puerto Rico all counties"))</f>
        <v>1</v>
      </c>
    </row>
    <row r="2239" spans="1:16" x14ac:dyDescent="0.25">
      <c r="A2239">
        <v>42099</v>
      </c>
      <c r="B2239" t="s">
        <v>3665</v>
      </c>
      <c r="C2239" t="s">
        <v>120</v>
      </c>
      <c r="D2239">
        <v>877</v>
      </c>
      <c r="E2239">
        <v>203</v>
      </c>
      <c r="F2239">
        <v>106</v>
      </c>
      <c r="G2239">
        <v>123</v>
      </c>
      <c r="H2239">
        <v>251</v>
      </c>
      <c r="I2239">
        <v>194</v>
      </c>
      <c r="J2239">
        <v>225</v>
      </c>
      <c r="K2239">
        <v>289</v>
      </c>
      <c r="L2239">
        <v>363</v>
      </c>
      <c r="M2239">
        <v>796</v>
      </c>
      <c r="N2239">
        <v>81</v>
      </c>
      <c r="O2239" t="s">
        <v>3739</v>
      </c>
      <c r="P2239" s="1" t="b">
        <f>NOT(OR(Table1[[#This Row],[State]]="Other Foreign Countries", Table1[[#This Row],[State]]="Unknown", Table1[[#This Row],[State]]="Puerto Rico all counties"))</f>
        <v>1</v>
      </c>
    </row>
    <row r="2240" spans="1:16" x14ac:dyDescent="0.25">
      <c r="A2240">
        <v>47135</v>
      </c>
      <c r="B2240" t="s">
        <v>3951</v>
      </c>
      <c r="C2240" t="s">
        <v>120</v>
      </c>
      <c r="D2240">
        <v>222</v>
      </c>
      <c r="E2240">
        <v>37</v>
      </c>
      <c r="F2240">
        <v>25</v>
      </c>
      <c r="G2240">
        <v>24</v>
      </c>
      <c r="H2240">
        <v>77</v>
      </c>
      <c r="I2240">
        <v>59</v>
      </c>
      <c r="J2240">
        <v>32</v>
      </c>
      <c r="K2240">
        <v>83</v>
      </c>
      <c r="L2240">
        <v>107</v>
      </c>
      <c r="M2240">
        <v>201</v>
      </c>
      <c r="N2240">
        <v>21</v>
      </c>
      <c r="O2240" t="s">
        <v>4038</v>
      </c>
      <c r="P2240" s="1" t="b">
        <f>NOT(OR(Table1[[#This Row],[State]]="Other Foreign Countries", Table1[[#This Row],[State]]="Unknown", Table1[[#This Row],[State]]="Puerto Rico all counties"))</f>
        <v>1</v>
      </c>
    </row>
    <row r="2241" spans="1:16" x14ac:dyDescent="0.25">
      <c r="A2241">
        <v>32027</v>
      </c>
      <c r="B2241" t="s">
        <v>326</v>
      </c>
      <c r="C2241" t="s">
        <v>2910</v>
      </c>
      <c r="D2241">
        <v>123</v>
      </c>
      <c r="E2241">
        <v>35</v>
      </c>
      <c r="F2241">
        <v>13</v>
      </c>
      <c r="G2241">
        <v>12</v>
      </c>
      <c r="H2241">
        <v>34</v>
      </c>
      <c r="I2241">
        <v>29</v>
      </c>
      <c r="J2241">
        <v>26</v>
      </c>
      <c r="K2241">
        <v>44</v>
      </c>
      <c r="L2241">
        <v>53</v>
      </c>
      <c r="O2241" t="s">
        <v>2911</v>
      </c>
      <c r="P2241" s="1" t="b">
        <f>NOT(OR(Table1[[#This Row],[State]]="Other Foreign Countries", Table1[[#This Row],[State]]="Unknown", Table1[[#This Row],[State]]="Puerto Rico all counties"))</f>
        <v>1</v>
      </c>
    </row>
    <row r="2242" spans="1:16" x14ac:dyDescent="0.25">
      <c r="A2242">
        <v>37145</v>
      </c>
      <c r="B2242" t="s">
        <v>3121</v>
      </c>
      <c r="C2242" t="s">
        <v>3242</v>
      </c>
      <c r="D2242">
        <v>831</v>
      </c>
      <c r="E2242">
        <v>132</v>
      </c>
      <c r="F2242">
        <v>83</v>
      </c>
      <c r="G2242">
        <v>94</v>
      </c>
      <c r="H2242">
        <v>313</v>
      </c>
      <c r="I2242">
        <v>209</v>
      </c>
      <c r="J2242">
        <v>165</v>
      </c>
      <c r="K2242">
        <v>275</v>
      </c>
      <c r="L2242">
        <v>391</v>
      </c>
      <c r="M2242">
        <v>744</v>
      </c>
      <c r="N2242">
        <v>87</v>
      </c>
      <c r="O2242" t="s">
        <v>3243</v>
      </c>
      <c r="P2242" s="1" t="b">
        <f>NOT(OR(Table1[[#This Row],[State]]="Other Foreign Countries", Table1[[#This Row],[State]]="Unknown", Table1[[#This Row],[State]]="Puerto Rico all counties"))</f>
        <v>1</v>
      </c>
    </row>
    <row r="2243" spans="1:16" x14ac:dyDescent="0.25">
      <c r="A2243">
        <v>2195</v>
      </c>
      <c r="B2243" t="s">
        <v>150</v>
      </c>
      <c r="C2243" t="s">
        <v>195</v>
      </c>
      <c r="D2243">
        <v>56</v>
      </c>
      <c r="E2243">
        <v>12</v>
      </c>
      <c r="H2243">
        <v>18</v>
      </c>
      <c r="I2243">
        <v>11</v>
      </c>
      <c r="J2243">
        <v>15</v>
      </c>
      <c r="K2243">
        <v>20</v>
      </c>
      <c r="L2243">
        <v>21</v>
      </c>
      <c r="O2243" t="s">
        <v>196</v>
      </c>
      <c r="P2243" s="1" t="b">
        <f>NOT(OR(Table1[[#This Row],[State]]="Other Foreign Countries", Table1[[#This Row],[State]]="Unknown", Table1[[#This Row],[State]]="Puerto Rico all counties"))</f>
        <v>1</v>
      </c>
    </row>
    <row r="2244" spans="1:16" x14ac:dyDescent="0.25">
      <c r="A2244">
        <v>51730</v>
      </c>
      <c r="B2244" t="s">
        <v>4555</v>
      </c>
      <c r="C2244" t="s">
        <v>4746</v>
      </c>
      <c r="D2244">
        <v>1114</v>
      </c>
      <c r="E2244">
        <v>185</v>
      </c>
      <c r="F2244">
        <v>103</v>
      </c>
      <c r="G2244">
        <v>130</v>
      </c>
      <c r="H2244">
        <v>349</v>
      </c>
      <c r="I2244">
        <v>347</v>
      </c>
      <c r="J2244">
        <v>241</v>
      </c>
      <c r="K2244">
        <v>374</v>
      </c>
      <c r="L2244">
        <v>499</v>
      </c>
      <c r="M2244">
        <v>889</v>
      </c>
      <c r="N2244">
        <v>225</v>
      </c>
      <c r="O2244" t="s">
        <v>4747</v>
      </c>
      <c r="P2244" s="1" t="b">
        <f>NOT(OR(Table1[[#This Row],[State]]="Other Foreign Countries", Table1[[#This Row],[State]]="Unknown", Table1[[#This Row],[State]]="Puerto Rico all counties"))</f>
        <v>1</v>
      </c>
    </row>
    <row r="2245" spans="1:16" x14ac:dyDescent="0.25">
      <c r="A2245">
        <v>30069</v>
      </c>
      <c r="B2245" t="s">
        <v>2665</v>
      </c>
      <c r="C2245" t="s">
        <v>2721</v>
      </c>
      <c r="D2245">
        <v>14</v>
      </c>
      <c r="O2245" t="s">
        <v>2722</v>
      </c>
      <c r="P2245" s="1" t="b">
        <f>NOT(OR(Table1[[#This Row],[State]]="Other Foreign Countries", Table1[[#This Row],[State]]="Unknown", Table1[[#This Row],[State]]="Puerto Rico all counties"))</f>
        <v>1</v>
      </c>
    </row>
    <row r="2246" spans="1:16" x14ac:dyDescent="0.25">
      <c r="A2246">
        <v>29159</v>
      </c>
      <c r="B2246" t="s">
        <v>2510</v>
      </c>
      <c r="C2246" t="s">
        <v>2615</v>
      </c>
      <c r="D2246">
        <v>1225</v>
      </c>
      <c r="E2246">
        <v>337</v>
      </c>
      <c r="F2246">
        <v>153</v>
      </c>
      <c r="G2246">
        <v>135</v>
      </c>
      <c r="H2246">
        <v>328</v>
      </c>
      <c r="I2246">
        <v>272</v>
      </c>
      <c r="J2246">
        <v>302</v>
      </c>
      <c r="K2246">
        <v>376</v>
      </c>
      <c r="L2246">
        <v>547</v>
      </c>
      <c r="M2246" s="1">
        <v>1117</v>
      </c>
      <c r="N2246">
        <v>108</v>
      </c>
      <c r="O2246" t="s">
        <v>2616</v>
      </c>
      <c r="P2246" s="1" t="b">
        <f>NOT(OR(Table1[[#This Row],[State]]="Other Foreign Countries", Table1[[#This Row],[State]]="Unknown", Table1[[#This Row],[State]]="Puerto Rico all counties"))</f>
        <v>1</v>
      </c>
    </row>
    <row r="2247" spans="1:16" x14ac:dyDescent="0.25">
      <c r="A2247">
        <v>29161</v>
      </c>
      <c r="B2247" t="s">
        <v>2510</v>
      </c>
      <c r="C2247" t="s">
        <v>2617</v>
      </c>
      <c r="D2247">
        <v>1565</v>
      </c>
      <c r="E2247">
        <v>324</v>
      </c>
      <c r="F2247">
        <v>159</v>
      </c>
      <c r="G2247">
        <v>180</v>
      </c>
      <c r="H2247">
        <v>484</v>
      </c>
      <c r="I2247">
        <v>418</v>
      </c>
      <c r="J2247">
        <v>324</v>
      </c>
      <c r="K2247">
        <v>551</v>
      </c>
      <c r="L2247">
        <v>690</v>
      </c>
      <c r="M2247" s="1">
        <v>1421</v>
      </c>
      <c r="N2247">
        <v>144</v>
      </c>
      <c r="O2247" t="s">
        <v>2618</v>
      </c>
      <c r="P2247" s="1" t="b">
        <f>NOT(OR(Table1[[#This Row],[State]]="Other Foreign Countries", Table1[[#This Row],[State]]="Unknown", Table1[[#This Row],[State]]="Puerto Rico all counties"))</f>
        <v>1</v>
      </c>
    </row>
    <row r="2248" spans="1:16" x14ac:dyDescent="0.25">
      <c r="A2248">
        <v>31137</v>
      </c>
      <c r="B2248" t="s">
        <v>2758</v>
      </c>
      <c r="C2248" t="s">
        <v>2617</v>
      </c>
      <c r="D2248">
        <v>285</v>
      </c>
      <c r="E2248">
        <v>125</v>
      </c>
      <c r="F2248">
        <v>38</v>
      </c>
      <c r="G2248">
        <v>23</v>
      </c>
      <c r="H2248">
        <v>63</v>
      </c>
      <c r="I2248">
        <v>36</v>
      </c>
      <c r="J2248">
        <v>49</v>
      </c>
      <c r="K2248">
        <v>53</v>
      </c>
      <c r="L2248">
        <v>183</v>
      </c>
      <c r="M2248">
        <v>271</v>
      </c>
      <c r="N2248">
        <v>14</v>
      </c>
      <c r="O2248" t="s">
        <v>2860</v>
      </c>
      <c r="P2248" s="1" t="b">
        <f>NOT(OR(Table1[[#This Row],[State]]="Other Foreign Countries", Table1[[#This Row],[State]]="Unknown", Table1[[#This Row],[State]]="Puerto Rico all counties"))</f>
        <v>1</v>
      </c>
    </row>
    <row r="2249" spans="1:16" x14ac:dyDescent="0.25">
      <c r="A2249">
        <v>42101</v>
      </c>
      <c r="B2249" t="s">
        <v>3665</v>
      </c>
      <c r="C2249" t="s">
        <v>3740</v>
      </c>
      <c r="D2249">
        <v>12924</v>
      </c>
      <c r="E2249" s="1">
        <v>2127</v>
      </c>
      <c r="F2249" s="1">
        <v>1154</v>
      </c>
      <c r="G2249" s="1">
        <v>1409</v>
      </c>
      <c r="H2249" s="1">
        <v>4335</v>
      </c>
      <c r="I2249" s="1">
        <v>3899</v>
      </c>
      <c r="J2249" s="1">
        <v>3596</v>
      </c>
      <c r="K2249" s="1">
        <v>3642</v>
      </c>
      <c r="L2249" s="1">
        <v>5686</v>
      </c>
      <c r="M2249" s="1">
        <v>11337</v>
      </c>
      <c r="N2249" s="1">
        <v>1586</v>
      </c>
      <c r="O2249" t="s">
        <v>3741</v>
      </c>
      <c r="P2249" s="1" t="b">
        <f>NOT(OR(Table1[[#This Row],[State]]="Other Foreign Countries", Table1[[#This Row],[State]]="Unknown", Table1[[#This Row],[State]]="Puerto Rico all counties"))</f>
        <v>1</v>
      </c>
    </row>
    <row r="2250" spans="1:16" x14ac:dyDescent="0.25">
      <c r="A2250">
        <v>5107</v>
      </c>
      <c r="B2250" t="s">
        <v>242</v>
      </c>
      <c r="C2250" t="s">
        <v>333</v>
      </c>
      <c r="D2250">
        <v>233</v>
      </c>
      <c r="E2250">
        <v>45</v>
      </c>
      <c r="F2250">
        <v>31</v>
      </c>
      <c r="G2250">
        <v>22</v>
      </c>
      <c r="H2250">
        <v>70</v>
      </c>
      <c r="I2250">
        <v>65</v>
      </c>
      <c r="J2250">
        <v>34</v>
      </c>
      <c r="K2250">
        <v>85</v>
      </c>
      <c r="L2250">
        <v>114</v>
      </c>
      <c r="M2250">
        <v>207</v>
      </c>
      <c r="N2250">
        <v>26</v>
      </c>
      <c r="O2250" t="s">
        <v>334</v>
      </c>
      <c r="P2250" s="1" t="b">
        <f>NOT(OR(Table1[[#This Row],[State]]="Other Foreign Countries", Table1[[#This Row],[State]]="Unknown", Table1[[#This Row],[State]]="Puerto Rico all counties"))</f>
        <v>1</v>
      </c>
    </row>
    <row r="2251" spans="1:16" x14ac:dyDescent="0.25">
      <c r="A2251">
        <v>8095</v>
      </c>
      <c r="B2251" t="s">
        <v>489</v>
      </c>
      <c r="C2251" t="s">
        <v>333</v>
      </c>
      <c r="D2251">
        <v>60</v>
      </c>
      <c r="E2251">
        <v>14</v>
      </c>
      <c r="G2251">
        <v>11</v>
      </c>
      <c r="H2251">
        <v>19</v>
      </c>
      <c r="J2251">
        <v>17</v>
      </c>
      <c r="K2251">
        <v>14</v>
      </c>
      <c r="L2251">
        <v>29</v>
      </c>
      <c r="O2251" t="s">
        <v>580</v>
      </c>
      <c r="P2251" s="1" t="b">
        <f>NOT(OR(Table1[[#This Row],[State]]="Other Foreign Countries", Table1[[#This Row],[State]]="Unknown", Table1[[#This Row],[State]]="Puerto Rico all counties"))</f>
        <v>1</v>
      </c>
    </row>
    <row r="2252" spans="1:16" x14ac:dyDescent="0.25">
      <c r="A2252">
        <v>20147</v>
      </c>
      <c r="B2252" t="s">
        <v>1543</v>
      </c>
      <c r="C2252" t="s">
        <v>333</v>
      </c>
      <c r="D2252">
        <v>96</v>
      </c>
      <c r="E2252">
        <v>28</v>
      </c>
      <c r="H2252">
        <v>23</v>
      </c>
      <c r="I2252">
        <v>22</v>
      </c>
      <c r="J2252">
        <v>17</v>
      </c>
      <c r="K2252">
        <v>26</v>
      </c>
      <c r="L2252">
        <v>53</v>
      </c>
      <c r="O2252" t="s">
        <v>1660</v>
      </c>
      <c r="P2252" s="1" t="b">
        <f>NOT(OR(Table1[[#This Row],[State]]="Other Foreign Countries", Table1[[#This Row],[State]]="Unknown", Table1[[#This Row],[State]]="Puerto Rico all counties"))</f>
        <v>1</v>
      </c>
    </row>
    <row r="2253" spans="1:16" x14ac:dyDescent="0.25">
      <c r="A2253">
        <v>30071</v>
      </c>
      <c r="B2253" t="s">
        <v>2665</v>
      </c>
      <c r="C2253" t="s">
        <v>333</v>
      </c>
      <c r="D2253">
        <v>92</v>
      </c>
      <c r="E2253">
        <v>25</v>
      </c>
      <c r="H2253">
        <v>17</v>
      </c>
      <c r="I2253">
        <v>29</v>
      </c>
      <c r="J2253">
        <v>16</v>
      </c>
      <c r="K2253">
        <v>29</v>
      </c>
      <c r="L2253">
        <v>47</v>
      </c>
      <c r="O2253" t="s">
        <v>2723</v>
      </c>
      <c r="P2253" s="1" t="b">
        <f>NOT(OR(Table1[[#This Row],[State]]="Other Foreign Countries", Table1[[#This Row],[State]]="Unknown", Table1[[#This Row],[State]]="Puerto Rico all counties"))</f>
        <v>1</v>
      </c>
    </row>
    <row r="2254" spans="1:16" x14ac:dyDescent="0.25">
      <c r="A2254">
        <v>17147</v>
      </c>
      <c r="B2254" t="s">
        <v>1109</v>
      </c>
      <c r="C2254" t="s">
        <v>1222</v>
      </c>
      <c r="D2254">
        <v>250</v>
      </c>
      <c r="E2254">
        <v>44</v>
      </c>
      <c r="F2254">
        <v>34</v>
      </c>
      <c r="G2254">
        <v>30</v>
      </c>
      <c r="H2254">
        <v>81</v>
      </c>
      <c r="I2254">
        <v>61</v>
      </c>
      <c r="J2254">
        <v>97</v>
      </c>
      <c r="K2254">
        <v>64</v>
      </c>
      <c r="L2254">
        <v>89</v>
      </c>
      <c r="M2254">
        <v>233</v>
      </c>
      <c r="N2254">
        <v>17</v>
      </c>
      <c r="O2254" t="s">
        <v>1223</v>
      </c>
      <c r="P2254" s="1" t="b">
        <f>NOT(OR(Table1[[#This Row],[State]]="Other Foreign Countries", Table1[[#This Row],[State]]="Unknown", Table1[[#This Row],[State]]="Puerto Rico all counties"))</f>
        <v>1</v>
      </c>
    </row>
    <row r="2255" spans="1:16" x14ac:dyDescent="0.25">
      <c r="A2255">
        <v>39129</v>
      </c>
      <c r="B2255" t="s">
        <v>1343</v>
      </c>
      <c r="C2255" t="s">
        <v>3459</v>
      </c>
      <c r="D2255">
        <v>1332</v>
      </c>
      <c r="E2255">
        <v>291</v>
      </c>
      <c r="F2255">
        <v>168</v>
      </c>
      <c r="G2255">
        <v>167</v>
      </c>
      <c r="H2255">
        <v>409</v>
      </c>
      <c r="I2255">
        <v>297</v>
      </c>
      <c r="J2255">
        <v>436</v>
      </c>
      <c r="K2255">
        <v>402</v>
      </c>
      <c r="L2255">
        <v>494</v>
      </c>
      <c r="M2255" s="1">
        <v>1230</v>
      </c>
      <c r="N2255">
        <v>102</v>
      </c>
      <c r="O2255" t="s">
        <v>3460</v>
      </c>
      <c r="P2255" s="1" t="b">
        <f>NOT(OR(Table1[[#This Row],[State]]="Other Foreign Countries", Table1[[#This Row],[State]]="Unknown", Table1[[#This Row],[State]]="Puerto Rico all counties"))</f>
        <v>1</v>
      </c>
    </row>
    <row r="2256" spans="1:16" x14ac:dyDescent="0.25">
      <c r="A2256">
        <v>1107</v>
      </c>
      <c r="B2256" t="s">
        <v>15</v>
      </c>
      <c r="C2256" t="s">
        <v>122</v>
      </c>
      <c r="D2256">
        <v>409</v>
      </c>
      <c r="E2256">
        <v>53</v>
      </c>
      <c r="F2256">
        <v>30</v>
      </c>
      <c r="G2256">
        <v>44</v>
      </c>
      <c r="H2256">
        <v>144</v>
      </c>
      <c r="I2256">
        <v>138</v>
      </c>
      <c r="J2256">
        <v>81</v>
      </c>
      <c r="K2256">
        <v>155</v>
      </c>
      <c r="L2256">
        <v>173</v>
      </c>
      <c r="M2256">
        <v>360</v>
      </c>
      <c r="N2256">
        <v>49</v>
      </c>
      <c r="O2256" t="s">
        <v>123</v>
      </c>
      <c r="P2256" s="1" t="b">
        <f>NOT(OR(Table1[[#This Row],[State]]="Other Foreign Countries", Table1[[#This Row],[State]]="Unknown", Table1[[#This Row],[State]]="Puerto Rico all counties"))</f>
        <v>1</v>
      </c>
    </row>
    <row r="2257" spans="1:16" x14ac:dyDescent="0.25">
      <c r="A2257">
        <v>13227</v>
      </c>
      <c r="B2257" t="s">
        <v>754</v>
      </c>
      <c r="C2257" t="s">
        <v>122</v>
      </c>
      <c r="D2257">
        <v>777</v>
      </c>
      <c r="E2257">
        <v>172</v>
      </c>
      <c r="F2257">
        <v>104</v>
      </c>
      <c r="G2257">
        <v>88</v>
      </c>
      <c r="H2257">
        <v>217</v>
      </c>
      <c r="I2257">
        <v>196</v>
      </c>
      <c r="J2257">
        <v>175</v>
      </c>
      <c r="K2257">
        <v>242</v>
      </c>
      <c r="L2257">
        <v>360</v>
      </c>
      <c r="M2257">
        <v>731</v>
      </c>
      <c r="N2257">
        <v>46</v>
      </c>
      <c r="O2257" t="s">
        <v>941</v>
      </c>
      <c r="P2257" s="1" t="b">
        <f>NOT(OR(Table1[[#This Row],[State]]="Other Foreign Countries", Table1[[#This Row],[State]]="Unknown", Table1[[#This Row],[State]]="Puerto Rico all counties"))</f>
        <v>1</v>
      </c>
    </row>
    <row r="2258" spans="1:16" x14ac:dyDescent="0.25">
      <c r="A2258">
        <v>45077</v>
      </c>
      <c r="B2258" t="s">
        <v>3772</v>
      </c>
      <c r="C2258" t="s">
        <v>122</v>
      </c>
      <c r="D2258">
        <v>2420</v>
      </c>
      <c r="E2258">
        <v>471</v>
      </c>
      <c r="F2258">
        <v>307</v>
      </c>
      <c r="G2258">
        <v>302</v>
      </c>
      <c r="H2258">
        <v>697</v>
      </c>
      <c r="I2258">
        <v>643</v>
      </c>
      <c r="J2258">
        <v>686</v>
      </c>
      <c r="K2258">
        <v>691</v>
      </c>
      <c r="L2258" s="1">
        <v>1043</v>
      </c>
      <c r="M2258" s="1">
        <v>2199</v>
      </c>
      <c r="N2258">
        <v>221</v>
      </c>
      <c r="O2258" t="s">
        <v>3835</v>
      </c>
      <c r="P2258" s="1" t="b">
        <f>NOT(OR(Table1[[#This Row],[State]]="Other Foreign Countries", Table1[[#This Row],[State]]="Unknown", Table1[[#This Row],[State]]="Puerto Rico all counties"))</f>
        <v>1</v>
      </c>
    </row>
    <row r="2259" spans="1:16" x14ac:dyDescent="0.25">
      <c r="A2259">
        <v>47137</v>
      </c>
      <c r="B2259" t="s">
        <v>3951</v>
      </c>
      <c r="C2259" t="s">
        <v>4039</v>
      </c>
      <c r="D2259">
        <v>149</v>
      </c>
      <c r="E2259">
        <v>31</v>
      </c>
      <c r="F2259">
        <v>13</v>
      </c>
      <c r="G2259">
        <v>20</v>
      </c>
      <c r="H2259">
        <v>34</v>
      </c>
      <c r="I2259">
        <v>51</v>
      </c>
      <c r="J2259">
        <v>21</v>
      </c>
      <c r="K2259">
        <v>43</v>
      </c>
      <c r="L2259">
        <v>85</v>
      </c>
      <c r="O2259" t="s">
        <v>4040</v>
      </c>
      <c r="P2259" s="1" t="b">
        <f>NOT(OR(Table1[[#This Row],[State]]="Other Foreign Countries", Table1[[#This Row],[State]]="Unknown", Table1[[#This Row],[State]]="Puerto Rico all counties"))</f>
        <v>1</v>
      </c>
    </row>
    <row r="2260" spans="1:16" x14ac:dyDescent="0.25">
      <c r="A2260">
        <v>13229</v>
      </c>
      <c r="B2260" t="s">
        <v>754</v>
      </c>
      <c r="C2260" t="s">
        <v>942</v>
      </c>
      <c r="D2260">
        <v>470</v>
      </c>
      <c r="E2260">
        <v>67</v>
      </c>
      <c r="F2260">
        <v>41</v>
      </c>
      <c r="G2260">
        <v>57</v>
      </c>
      <c r="H2260">
        <v>165</v>
      </c>
      <c r="I2260">
        <v>140</v>
      </c>
      <c r="J2260">
        <v>122</v>
      </c>
      <c r="K2260">
        <v>165</v>
      </c>
      <c r="L2260">
        <v>183</v>
      </c>
      <c r="M2260">
        <v>423</v>
      </c>
      <c r="N2260">
        <v>47</v>
      </c>
      <c r="O2260" t="s">
        <v>943</v>
      </c>
      <c r="P2260" s="1" t="b">
        <f>NOT(OR(Table1[[#This Row],[State]]="Other Foreign Countries", Table1[[#This Row],[State]]="Unknown", Table1[[#This Row],[State]]="Puerto Rico all counties"))</f>
        <v>1</v>
      </c>
    </row>
    <row r="2261" spans="1:16" x14ac:dyDescent="0.25">
      <c r="A2261">
        <v>31139</v>
      </c>
      <c r="B2261" t="s">
        <v>2758</v>
      </c>
      <c r="C2261" t="s">
        <v>942</v>
      </c>
      <c r="D2261">
        <v>145</v>
      </c>
      <c r="E2261">
        <v>44</v>
      </c>
      <c r="F2261">
        <v>26</v>
      </c>
      <c r="G2261">
        <v>19</v>
      </c>
      <c r="H2261">
        <v>35</v>
      </c>
      <c r="I2261">
        <v>21</v>
      </c>
      <c r="J2261">
        <v>42</v>
      </c>
      <c r="K2261">
        <v>32</v>
      </c>
      <c r="L2261">
        <v>71</v>
      </c>
      <c r="M2261">
        <v>133</v>
      </c>
      <c r="N2261">
        <v>12</v>
      </c>
      <c r="O2261" t="s">
        <v>2861</v>
      </c>
      <c r="P2261" s="1" t="b">
        <f>NOT(OR(Table1[[#This Row],[State]]="Other Foreign Countries", Table1[[#This Row],[State]]="Unknown", Table1[[#This Row],[State]]="Puerto Rico all counties"))</f>
        <v>1</v>
      </c>
    </row>
    <row r="2262" spans="1:16" x14ac:dyDescent="0.25">
      <c r="A2262">
        <v>38069</v>
      </c>
      <c r="B2262" t="s">
        <v>3286</v>
      </c>
      <c r="C2262" t="s">
        <v>942</v>
      </c>
      <c r="D2262">
        <v>63</v>
      </c>
      <c r="E2262">
        <v>16</v>
      </c>
      <c r="H2262">
        <v>20</v>
      </c>
      <c r="I2262">
        <v>16</v>
      </c>
      <c r="J2262">
        <v>10</v>
      </c>
      <c r="K2262">
        <v>15</v>
      </c>
      <c r="L2262">
        <v>38</v>
      </c>
      <c r="O2262" t="s">
        <v>3342</v>
      </c>
      <c r="P2262" s="1" t="b">
        <f>NOT(OR(Table1[[#This Row],[State]]="Other Foreign Countries", Table1[[#This Row],[State]]="Unknown", Table1[[#This Row],[State]]="Puerto Rico all counties"))</f>
        <v>1</v>
      </c>
    </row>
    <row r="2263" spans="1:16" x14ac:dyDescent="0.25">
      <c r="A2263">
        <v>53053</v>
      </c>
      <c r="B2263" t="s">
        <v>144</v>
      </c>
      <c r="C2263" t="s">
        <v>942</v>
      </c>
      <c r="D2263">
        <v>35747</v>
      </c>
      <c r="E2263" s="1">
        <v>6227</v>
      </c>
      <c r="F2263" s="1">
        <v>4213</v>
      </c>
      <c r="G2263" s="1">
        <v>4262</v>
      </c>
      <c r="H2263" s="1">
        <v>10841</v>
      </c>
      <c r="I2263" s="1">
        <v>10204</v>
      </c>
      <c r="J2263" s="1">
        <v>11920</v>
      </c>
      <c r="K2263" s="1">
        <v>12693</v>
      </c>
      <c r="L2263" s="1">
        <v>11134</v>
      </c>
      <c r="M2263" s="1">
        <v>30338</v>
      </c>
      <c r="N2263" s="1">
        <v>5406</v>
      </c>
      <c r="O2263" t="s">
        <v>4811</v>
      </c>
      <c r="P2263" s="1" t="b">
        <f>NOT(OR(Table1[[#This Row],[State]]="Other Foreign Countries", Table1[[#This Row],[State]]="Unknown", Table1[[#This Row],[State]]="Puerto Rico all counties"))</f>
        <v>1</v>
      </c>
    </row>
    <row r="2264" spans="1:16" x14ac:dyDescent="0.25">
      <c r="A2264">
        <v>55093</v>
      </c>
      <c r="B2264" t="s">
        <v>4906</v>
      </c>
      <c r="C2264" t="s">
        <v>942</v>
      </c>
      <c r="D2264">
        <v>854</v>
      </c>
      <c r="E2264">
        <v>280</v>
      </c>
      <c r="F2264">
        <v>131</v>
      </c>
      <c r="G2264">
        <v>99</v>
      </c>
      <c r="H2264">
        <v>224</v>
      </c>
      <c r="I2264">
        <v>120</v>
      </c>
      <c r="J2264">
        <v>210</v>
      </c>
      <c r="K2264">
        <v>236</v>
      </c>
      <c r="L2264">
        <v>408</v>
      </c>
      <c r="M2264">
        <v>766</v>
      </c>
      <c r="N2264">
        <v>87</v>
      </c>
      <c r="O2264" t="s">
        <v>4975</v>
      </c>
      <c r="P2264" s="1" t="b">
        <f>NOT(OR(Table1[[#This Row],[State]]="Other Foreign Countries", Table1[[#This Row],[State]]="Unknown", Table1[[#This Row],[State]]="Puerto Rico all counties"))</f>
        <v>1</v>
      </c>
    </row>
    <row r="2265" spans="1:16" x14ac:dyDescent="0.25">
      <c r="A2265">
        <v>1109</v>
      </c>
      <c r="B2265" t="s">
        <v>15</v>
      </c>
      <c r="C2265" t="s">
        <v>124</v>
      </c>
      <c r="D2265">
        <v>838</v>
      </c>
      <c r="E2265">
        <v>128</v>
      </c>
      <c r="F2265">
        <v>78</v>
      </c>
      <c r="G2265">
        <v>113</v>
      </c>
      <c r="H2265">
        <v>278</v>
      </c>
      <c r="I2265">
        <v>241</v>
      </c>
      <c r="J2265">
        <v>163</v>
      </c>
      <c r="K2265">
        <v>332</v>
      </c>
      <c r="L2265">
        <v>343</v>
      </c>
      <c r="M2265">
        <v>727</v>
      </c>
      <c r="N2265">
        <v>111</v>
      </c>
      <c r="O2265" t="s">
        <v>125</v>
      </c>
      <c r="P2265" s="1" t="b">
        <f>NOT(OR(Table1[[#This Row],[State]]="Other Foreign Countries", Table1[[#This Row],[State]]="Unknown", Table1[[#This Row],[State]]="Puerto Rico all counties"))</f>
        <v>1</v>
      </c>
    </row>
    <row r="2266" spans="1:16" x14ac:dyDescent="0.25">
      <c r="A2266">
        <v>5109</v>
      </c>
      <c r="B2266" t="s">
        <v>242</v>
      </c>
      <c r="C2266" t="s">
        <v>124</v>
      </c>
      <c r="D2266">
        <v>181</v>
      </c>
      <c r="E2266">
        <v>25</v>
      </c>
      <c r="F2266">
        <v>20</v>
      </c>
      <c r="G2266">
        <v>27</v>
      </c>
      <c r="H2266">
        <v>52</v>
      </c>
      <c r="I2266">
        <v>57</v>
      </c>
      <c r="J2266">
        <v>32</v>
      </c>
      <c r="K2266">
        <v>61</v>
      </c>
      <c r="L2266">
        <v>88</v>
      </c>
      <c r="M2266">
        <v>168</v>
      </c>
      <c r="N2266">
        <v>13</v>
      </c>
      <c r="O2266" t="s">
        <v>335</v>
      </c>
      <c r="P2266" s="1" t="b">
        <f>NOT(OR(Table1[[#This Row],[State]]="Other Foreign Countries", Table1[[#This Row],[State]]="Unknown", Table1[[#This Row],[State]]="Puerto Rico all counties"))</f>
        <v>1</v>
      </c>
    </row>
    <row r="2267" spans="1:16" x14ac:dyDescent="0.25">
      <c r="A2267">
        <v>13231</v>
      </c>
      <c r="B2267" t="s">
        <v>754</v>
      </c>
      <c r="C2267" t="s">
        <v>124</v>
      </c>
      <c r="D2267">
        <v>497</v>
      </c>
      <c r="E2267">
        <v>105</v>
      </c>
      <c r="F2267">
        <v>71</v>
      </c>
      <c r="G2267">
        <v>75</v>
      </c>
      <c r="H2267">
        <v>137</v>
      </c>
      <c r="I2267">
        <v>109</v>
      </c>
      <c r="J2267">
        <v>137</v>
      </c>
      <c r="K2267">
        <v>167</v>
      </c>
      <c r="L2267">
        <v>193</v>
      </c>
      <c r="M2267">
        <v>454</v>
      </c>
      <c r="N2267">
        <v>43</v>
      </c>
      <c r="O2267" t="s">
        <v>944</v>
      </c>
      <c r="P2267" s="1" t="b">
        <f>NOT(OR(Table1[[#This Row],[State]]="Other Foreign Countries", Table1[[#This Row],[State]]="Unknown", Table1[[#This Row],[State]]="Puerto Rico all counties"))</f>
        <v>1</v>
      </c>
    </row>
    <row r="2268" spans="1:16" x14ac:dyDescent="0.25">
      <c r="A2268">
        <v>17149</v>
      </c>
      <c r="B2268" t="s">
        <v>1109</v>
      </c>
      <c r="C2268" t="s">
        <v>124</v>
      </c>
      <c r="D2268">
        <v>275</v>
      </c>
      <c r="E2268">
        <v>61</v>
      </c>
      <c r="F2268">
        <v>34</v>
      </c>
      <c r="G2268">
        <v>26</v>
      </c>
      <c r="H2268">
        <v>94</v>
      </c>
      <c r="I2268">
        <v>60</v>
      </c>
      <c r="J2268">
        <v>76</v>
      </c>
      <c r="K2268">
        <v>75</v>
      </c>
      <c r="L2268">
        <v>124</v>
      </c>
      <c r="M2268">
        <v>252</v>
      </c>
      <c r="N2268">
        <v>23</v>
      </c>
      <c r="O2268" t="s">
        <v>1224</v>
      </c>
      <c r="P2268" s="1" t="b">
        <f>NOT(OR(Table1[[#This Row],[State]]="Other Foreign Countries", Table1[[#This Row],[State]]="Unknown", Table1[[#This Row],[State]]="Puerto Rico all counties"))</f>
        <v>1</v>
      </c>
    </row>
    <row r="2269" spans="1:16" x14ac:dyDescent="0.25">
      <c r="A2269">
        <v>18125</v>
      </c>
      <c r="B2269" t="s">
        <v>1266</v>
      </c>
      <c r="C2269" t="s">
        <v>124</v>
      </c>
      <c r="D2269">
        <v>231</v>
      </c>
      <c r="E2269">
        <v>53</v>
      </c>
      <c r="F2269">
        <v>32</v>
      </c>
      <c r="G2269">
        <v>34</v>
      </c>
      <c r="H2269">
        <v>61</v>
      </c>
      <c r="I2269">
        <v>51</v>
      </c>
      <c r="J2269">
        <v>57</v>
      </c>
      <c r="K2269">
        <v>70</v>
      </c>
      <c r="L2269">
        <v>104</v>
      </c>
      <c r="M2269">
        <v>220</v>
      </c>
      <c r="N2269">
        <v>11</v>
      </c>
      <c r="O2269" t="s">
        <v>1351</v>
      </c>
      <c r="P2269" s="1" t="b">
        <f>NOT(OR(Table1[[#This Row],[State]]="Other Foreign Countries", Table1[[#This Row],[State]]="Unknown", Table1[[#This Row],[State]]="Puerto Rico all counties"))</f>
        <v>1</v>
      </c>
    </row>
    <row r="2270" spans="1:16" x14ac:dyDescent="0.25">
      <c r="A2270">
        <v>21195</v>
      </c>
      <c r="B2270" t="s">
        <v>1716</v>
      </c>
      <c r="C2270" t="s">
        <v>124</v>
      </c>
      <c r="D2270">
        <v>778</v>
      </c>
      <c r="E2270">
        <v>129</v>
      </c>
      <c r="F2270">
        <v>79</v>
      </c>
      <c r="G2270">
        <v>107</v>
      </c>
      <c r="H2270">
        <v>249</v>
      </c>
      <c r="I2270">
        <v>214</v>
      </c>
      <c r="J2270">
        <v>143</v>
      </c>
      <c r="K2270">
        <v>235</v>
      </c>
      <c r="L2270">
        <v>400</v>
      </c>
      <c r="M2270">
        <v>748</v>
      </c>
      <c r="N2270">
        <v>29</v>
      </c>
      <c r="O2270" t="s">
        <v>1860</v>
      </c>
      <c r="P2270" s="1" t="b">
        <f>NOT(OR(Table1[[#This Row],[State]]="Other Foreign Countries", Table1[[#This Row],[State]]="Unknown", Table1[[#This Row],[State]]="Puerto Rico all counties"))</f>
        <v>1</v>
      </c>
    </row>
    <row r="2271" spans="1:16" x14ac:dyDescent="0.25">
      <c r="A2271">
        <v>28113</v>
      </c>
      <c r="B2271" t="s">
        <v>322</v>
      </c>
      <c r="C2271" t="s">
        <v>124</v>
      </c>
      <c r="D2271">
        <v>776</v>
      </c>
      <c r="E2271">
        <v>115</v>
      </c>
      <c r="F2271">
        <v>75</v>
      </c>
      <c r="G2271">
        <v>97</v>
      </c>
      <c r="H2271">
        <v>243</v>
      </c>
      <c r="I2271">
        <v>246</v>
      </c>
      <c r="J2271">
        <v>143</v>
      </c>
      <c r="K2271">
        <v>283</v>
      </c>
      <c r="L2271">
        <v>350</v>
      </c>
      <c r="M2271">
        <v>662</v>
      </c>
      <c r="N2271">
        <v>114</v>
      </c>
      <c r="O2271" t="s">
        <v>2471</v>
      </c>
      <c r="P2271" s="1" t="b">
        <f>NOT(OR(Table1[[#This Row],[State]]="Other Foreign Countries", Table1[[#This Row],[State]]="Unknown", Table1[[#This Row],[State]]="Puerto Rico all counties"))</f>
        <v>1</v>
      </c>
    </row>
    <row r="2272" spans="1:16" x14ac:dyDescent="0.25">
      <c r="A2272">
        <v>29163</v>
      </c>
      <c r="B2272" t="s">
        <v>2510</v>
      </c>
      <c r="C2272" t="s">
        <v>124</v>
      </c>
      <c r="D2272">
        <v>330</v>
      </c>
      <c r="E2272">
        <v>89</v>
      </c>
      <c r="F2272">
        <v>51</v>
      </c>
      <c r="G2272">
        <v>34</v>
      </c>
      <c r="H2272">
        <v>87</v>
      </c>
      <c r="I2272">
        <v>69</v>
      </c>
      <c r="J2272">
        <v>69</v>
      </c>
      <c r="K2272">
        <v>94</v>
      </c>
      <c r="L2272">
        <v>167</v>
      </c>
      <c r="M2272">
        <v>306</v>
      </c>
      <c r="N2272">
        <v>24</v>
      </c>
      <c r="O2272" t="s">
        <v>2619</v>
      </c>
      <c r="P2272" s="1" t="b">
        <f>NOT(OR(Table1[[#This Row],[State]]="Other Foreign Countries", Table1[[#This Row],[State]]="Unknown", Table1[[#This Row],[State]]="Puerto Rico all counties"))</f>
        <v>1</v>
      </c>
    </row>
    <row r="2273" spans="1:16" x14ac:dyDescent="0.25">
      <c r="A2273">
        <v>39131</v>
      </c>
      <c r="B2273" t="s">
        <v>1343</v>
      </c>
      <c r="C2273" t="s">
        <v>124</v>
      </c>
      <c r="D2273">
        <v>736</v>
      </c>
      <c r="E2273">
        <v>198</v>
      </c>
      <c r="F2273">
        <v>87</v>
      </c>
      <c r="G2273">
        <v>88</v>
      </c>
      <c r="H2273">
        <v>209</v>
      </c>
      <c r="I2273">
        <v>154</v>
      </c>
      <c r="J2273">
        <v>164</v>
      </c>
      <c r="K2273">
        <v>206</v>
      </c>
      <c r="L2273">
        <v>366</v>
      </c>
      <c r="M2273">
        <v>686</v>
      </c>
      <c r="N2273">
        <v>50</v>
      </c>
      <c r="O2273" t="s">
        <v>3461</v>
      </c>
      <c r="P2273" s="1" t="b">
        <f>NOT(OR(Table1[[#This Row],[State]]="Other Foreign Countries", Table1[[#This Row],[State]]="Unknown", Table1[[#This Row],[State]]="Puerto Rico all counties"))</f>
        <v>1</v>
      </c>
    </row>
    <row r="2274" spans="1:16" x14ac:dyDescent="0.25">
      <c r="A2274">
        <v>42103</v>
      </c>
      <c r="B2274" t="s">
        <v>3665</v>
      </c>
      <c r="C2274" t="s">
        <v>124</v>
      </c>
      <c r="D2274">
        <v>1207</v>
      </c>
      <c r="E2274">
        <v>229</v>
      </c>
      <c r="F2274">
        <v>119</v>
      </c>
      <c r="G2274">
        <v>123</v>
      </c>
      <c r="H2274">
        <v>376</v>
      </c>
      <c r="I2274">
        <v>360</v>
      </c>
      <c r="J2274">
        <v>349</v>
      </c>
      <c r="K2274">
        <v>348</v>
      </c>
      <c r="L2274">
        <v>510</v>
      </c>
      <c r="M2274" s="1">
        <v>1094</v>
      </c>
      <c r="N2274">
        <v>113</v>
      </c>
      <c r="O2274" t="s">
        <v>3742</v>
      </c>
      <c r="P2274" s="1" t="b">
        <f>NOT(OR(Table1[[#This Row],[State]]="Other Foreign Countries", Table1[[#This Row],[State]]="Unknown", Table1[[#This Row],[State]]="Puerto Rico all counties"))</f>
        <v>1</v>
      </c>
    </row>
    <row r="2275" spans="1:16" x14ac:dyDescent="0.25">
      <c r="A2275">
        <v>4019</v>
      </c>
      <c r="B2275" t="s">
        <v>211</v>
      </c>
      <c r="C2275" t="s">
        <v>232</v>
      </c>
      <c r="D2275">
        <v>28920</v>
      </c>
      <c r="E2275" s="1">
        <v>5792</v>
      </c>
      <c r="F2275" s="1">
        <v>3405</v>
      </c>
      <c r="G2275" s="1">
        <v>3578</v>
      </c>
      <c r="H2275" s="1">
        <v>8450</v>
      </c>
      <c r="I2275" s="1">
        <v>7695</v>
      </c>
      <c r="J2275" s="1">
        <v>7856</v>
      </c>
      <c r="K2275" s="1">
        <v>9761</v>
      </c>
      <c r="L2275" s="1">
        <v>11303</v>
      </c>
      <c r="M2275" s="1">
        <v>24971</v>
      </c>
      <c r="N2275" s="1">
        <v>3942</v>
      </c>
      <c r="O2275" t="s">
        <v>233</v>
      </c>
      <c r="P2275" s="1" t="b">
        <f>NOT(OR(Table1[[#This Row],[State]]="Other Foreign Countries", Table1[[#This Row],[State]]="Unknown", Table1[[#This Row],[State]]="Puerto Rico all counties"))</f>
        <v>1</v>
      </c>
    </row>
    <row r="2276" spans="1:16" x14ac:dyDescent="0.25">
      <c r="A2276">
        <v>4021</v>
      </c>
      <c r="B2276" t="s">
        <v>211</v>
      </c>
      <c r="C2276" t="s">
        <v>234</v>
      </c>
      <c r="D2276">
        <v>12664</v>
      </c>
      <c r="E2276" s="1">
        <v>2510</v>
      </c>
      <c r="F2276" s="1">
        <v>1371</v>
      </c>
      <c r="G2276" s="1">
        <v>1498</v>
      </c>
      <c r="H2276" s="1">
        <v>3904</v>
      </c>
      <c r="I2276" s="1">
        <v>3381</v>
      </c>
      <c r="J2276" s="1">
        <v>3935</v>
      </c>
      <c r="K2276" s="1">
        <v>3638</v>
      </c>
      <c r="L2276" s="1">
        <v>5091</v>
      </c>
      <c r="M2276" s="1">
        <v>11171</v>
      </c>
      <c r="N2276" s="1">
        <v>1491</v>
      </c>
      <c r="O2276" t="s">
        <v>235</v>
      </c>
      <c r="P2276" s="1" t="b">
        <f>NOT(OR(Table1[[#This Row],[State]]="Other Foreign Countries", Table1[[#This Row],[State]]="Unknown", Table1[[#This Row],[State]]="Puerto Rico all counties"))</f>
        <v>1</v>
      </c>
    </row>
    <row r="2277" spans="1:16" x14ac:dyDescent="0.25">
      <c r="A2277">
        <v>27115</v>
      </c>
      <c r="B2277" t="s">
        <v>2245</v>
      </c>
      <c r="C2277" t="s">
        <v>2342</v>
      </c>
      <c r="D2277">
        <v>934</v>
      </c>
      <c r="E2277">
        <v>347</v>
      </c>
      <c r="F2277">
        <v>109</v>
      </c>
      <c r="G2277">
        <v>111</v>
      </c>
      <c r="H2277">
        <v>181</v>
      </c>
      <c r="I2277">
        <v>186</v>
      </c>
      <c r="J2277">
        <v>132</v>
      </c>
      <c r="K2277">
        <v>234</v>
      </c>
      <c r="L2277">
        <v>568</v>
      </c>
      <c r="M2277">
        <v>871</v>
      </c>
      <c r="N2277">
        <v>62</v>
      </c>
      <c r="O2277" t="s">
        <v>2343</v>
      </c>
      <c r="P2277" s="1" t="b">
        <f>NOT(OR(Table1[[#This Row],[State]]="Other Foreign Countries", Table1[[#This Row],[State]]="Unknown", Table1[[#This Row],[State]]="Puerto Rico all counties"))</f>
        <v>1</v>
      </c>
    </row>
    <row r="2278" spans="1:16" x14ac:dyDescent="0.25">
      <c r="A2278">
        <v>12103</v>
      </c>
      <c r="B2278" t="s">
        <v>637</v>
      </c>
      <c r="C2278" t="s">
        <v>726</v>
      </c>
      <c r="D2278">
        <v>22567</v>
      </c>
      <c r="E2278" s="1">
        <v>4501</v>
      </c>
      <c r="F2278" s="1">
        <v>2485</v>
      </c>
      <c r="G2278" s="1">
        <v>2553</v>
      </c>
      <c r="H2278" s="1">
        <v>6662</v>
      </c>
      <c r="I2278" s="1">
        <v>6366</v>
      </c>
      <c r="J2278" s="1">
        <v>5341</v>
      </c>
      <c r="K2278" s="1">
        <v>7363</v>
      </c>
      <c r="L2278" s="1">
        <v>9863</v>
      </c>
      <c r="M2278" s="1">
        <v>19522</v>
      </c>
      <c r="N2278" s="1">
        <v>3045</v>
      </c>
      <c r="O2278" t="s">
        <v>727</v>
      </c>
      <c r="P2278" s="1" t="b">
        <f>NOT(OR(Table1[[#This Row],[State]]="Other Foreign Countries", Table1[[#This Row],[State]]="Unknown", Table1[[#This Row],[State]]="Puerto Rico all counties"))</f>
        <v>1</v>
      </c>
    </row>
    <row r="2279" spans="1:16" x14ac:dyDescent="0.25">
      <c r="A2279">
        <v>27117</v>
      </c>
      <c r="B2279" t="s">
        <v>2245</v>
      </c>
      <c r="C2279" t="s">
        <v>2344</v>
      </c>
      <c r="D2279">
        <v>140</v>
      </c>
      <c r="E2279">
        <v>49</v>
      </c>
      <c r="F2279">
        <v>26</v>
      </c>
      <c r="G2279">
        <v>20</v>
      </c>
      <c r="H2279">
        <v>26</v>
      </c>
      <c r="I2279">
        <v>19</v>
      </c>
      <c r="J2279">
        <v>26</v>
      </c>
      <c r="K2279">
        <v>31</v>
      </c>
      <c r="L2279">
        <v>83</v>
      </c>
      <c r="O2279" t="s">
        <v>2345</v>
      </c>
      <c r="P2279" s="1" t="b">
        <f>NOT(OR(Table1[[#This Row],[State]]="Other Foreign Countries", Table1[[#This Row],[State]]="Unknown", Table1[[#This Row],[State]]="Puerto Rico all counties"))</f>
        <v>1</v>
      </c>
    </row>
    <row r="2280" spans="1:16" x14ac:dyDescent="0.25">
      <c r="A2280">
        <v>23021</v>
      </c>
      <c r="B2280" t="s">
        <v>2004</v>
      </c>
      <c r="C2280" t="s">
        <v>2020</v>
      </c>
      <c r="D2280">
        <v>596</v>
      </c>
      <c r="E2280">
        <v>104</v>
      </c>
      <c r="F2280">
        <v>62</v>
      </c>
      <c r="G2280">
        <v>63</v>
      </c>
      <c r="H2280">
        <v>217</v>
      </c>
      <c r="I2280">
        <v>150</v>
      </c>
      <c r="J2280">
        <v>113</v>
      </c>
      <c r="K2280">
        <v>176</v>
      </c>
      <c r="L2280">
        <v>307</v>
      </c>
      <c r="M2280">
        <v>533</v>
      </c>
      <c r="N2280">
        <v>63</v>
      </c>
      <c r="O2280" t="s">
        <v>2021</v>
      </c>
      <c r="P2280" s="1" t="b">
        <f>NOT(OR(Table1[[#This Row],[State]]="Other Foreign Countries", Table1[[#This Row],[State]]="Unknown", Table1[[#This Row],[State]]="Puerto Rico all counties"))</f>
        <v>1</v>
      </c>
    </row>
    <row r="2281" spans="1:16" x14ac:dyDescent="0.25">
      <c r="A2281">
        <v>8097</v>
      </c>
      <c r="B2281" t="s">
        <v>489</v>
      </c>
      <c r="C2281" t="s">
        <v>581</v>
      </c>
      <c r="D2281">
        <v>83</v>
      </c>
      <c r="E2281">
        <v>32</v>
      </c>
      <c r="H2281">
        <v>17</v>
      </c>
      <c r="I2281">
        <v>15</v>
      </c>
      <c r="J2281">
        <v>19</v>
      </c>
      <c r="K2281">
        <v>24</v>
      </c>
      <c r="L2281">
        <v>40</v>
      </c>
      <c r="O2281" t="s">
        <v>582</v>
      </c>
      <c r="P2281" s="1" t="b">
        <f>NOT(OR(Table1[[#This Row],[State]]="Other Foreign Countries", Table1[[#This Row],[State]]="Unknown", Table1[[#This Row],[State]]="Puerto Rico all counties"))</f>
        <v>1</v>
      </c>
    </row>
    <row r="2282" spans="1:16" x14ac:dyDescent="0.25">
      <c r="A2282">
        <v>37147</v>
      </c>
      <c r="B2282" t="s">
        <v>3121</v>
      </c>
      <c r="C2282" t="s">
        <v>3244</v>
      </c>
      <c r="D2282">
        <v>4357</v>
      </c>
      <c r="E2282">
        <v>624</v>
      </c>
      <c r="F2282">
        <v>419</v>
      </c>
      <c r="G2282">
        <v>494</v>
      </c>
      <c r="H2282" s="1">
        <v>1464</v>
      </c>
      <c r="I2282" s="1">
        <v>1356</v>
      </c>
      <c r="J2282" s="1">
        <v>1288</v>
      </c>
      <c r="K2282" s="1">
        <v>1477</v>
      </c>
      <c r="L2282" s="1">
        <v>1592</v>
      </c>
      <c r="M2282" s="1">
        <v>3679</v>
      </c>
      <c r="N2282">
        <v>678</v>
      </c>
      <c r="O2282" t="s">
        <v>3245</v>
      </c>
      <c r="P2282" s="1" t="b">
        <f>NOT(OR(Table1[[#This Row],[State]]="Other Foreign Countries", Table1[[#This Row],[State]]="Unknown", Table1[[#This Row],[State]]="Puerto Rico all counties"))</f>
        <v>1</v>
      </c>
    </row>
    <row r="2283" spans="1:16" x14ac:dyDescent="0.25">
      <c r="A2283">
        <v>40121</v>
      </c>
      <c r="B2283" t="s">
        <v>3495</v>
      </c>
      <c r="C2283" t="s">
        <v>3585</v>
      </c>
      <c r="D2283">
        <v>1831</v>
      </c>
      <c r="E2283">
        <v>316</v>
      </c>
      <c r="F2283">
        <v>185</v>
      </c>
      <c r="G2283">
        <v>224</v>
      </c>
      <c r="H2283">
        <v>609</v>
      </c>
      <c r="I2283">
        <v>497</v>
      </c>
      <c r="J2283">
        <v>301</v>
      </c>
      <c r="K2283">
        <v>580</v>
      </c>
      <c r="L2283">
        <v>950</v>
      </c>
      <c r="M2283" s="1">
        <v>1711</v>
      </c>
      <c r="N2283">
        <v>120</v>
      </c>
      <c r="O2283" t="s">
        <v>3586</v>
      </c>
      <c r="P2283" s="1" t="b">
        <f>NOT(OR(Table1[[#This Row],[State]]="Other Foreign Countries", Table1[[#This Row],[State]]="Unknown", Table1[[#This Row],[State]]="Puerto Rico all counties"))</f>
        <v>1</v>
      </c>
    </row>
    <row r="2284" spans="1:16" x14ac:dyDescent="0.25">
      <c r="A2284">
        <v>51143</v>
      </c>
      <c r="B2284" t="s">
        <v>4555</v>
      </c>
      <c r="C2284" t="s">
        <v>4656</v>
      </c>
      <c r="D2284">
        <v>1322</v>
      </c>
      <c r="E2284">
        <v>227</v>
      </c>
      <c r="F2284">
        <v>147</v>
      </c>
      <c r="G2284">
        <v>154</v>
      </c>
      <c r="H2284">
        <v>446</v>
      </c>
      <c r="I2284">
        <v>348</v>
      </c>
      <c r="J2284">
        <v>284</v>
      </c>
      <c r="K2284">
        <v>410</v>
      </c>
      <c r="L2284">
        <v>628</v>
      </c>
      <c r="M2284" s="1">
        <v>1195</v>
      </c>
      <c r="N2284">
        <v>127</v>
      </c>
      <c r="O2284" t="s">
        <v>4657</v>
      </c>
      <c r="P2284" s="1" t="b">
        <f>NOT(OR(Table1[[#This Row],[State]]="Other Foreign Countries", Table1[[#This Row],[State]]="Unknown", Table1[[#This Row],[State]]="Puerto Rico all counties"))</f>
        <v>1</v>
      </c>
    </row>
    <row r="2285" spans="1:16" x14ac:dyDescent="0.25">
      <c r="A2285">
        <v>49031</v>
      </c>
      <c r="B2285" t="s">
        <v>4486</v>
      </c>
      <c r="C2285" t="s">
        <v>4509</v>
      </c>
      <c r="D2285">
        <v>37</v>
      </c>
      <c r="H2285">
        <v>12</v>
      </c>
      <c r="O2285" t="s">
        <v>4510</v>
      </c>
      <c r="P2285" s="1" t="b">
        <f>NOT(OR(Table1[[#This Row],[State]]="Other Foreign Countries", Table1[[#This Row],[State]]="Unknown", Table1[[#This Row],[State]]="Puerto Rico all counties"))</f>
        <v>1</v>
      </c>
    </row>
    <row r="2286" spans="1:16" x14ac:dyDescent="0.25">
      <c r="A2286">
        <v>6061</v>
      </c>
      <c r="B2286" t="s">
        <v>374</v>
      </c>
      <c r="C2286" t="s">
        <v>434</v>
      </c>
      <c r="D2286">
        <v>8796</v>
      </c>
      <c r="E2286" s="1">
        <v>2028</v>
      </c>
      <c r="F2286">
        <v>985</v>
      </c>
      <c r="G2286" s="1">
        <v>1005</v>
      </c>
      <c r="H2286" s="1">
        <v>2458</v>
      </c>
      <c r="I2286" s="1">
        <v>2320</v>
      </c>
      <c r="J2286" s="1">
        <v>2508</v>
      </c>
      <c r="K2286" s="1">
        <v>2562</v>
      </c>
      <c r="L2286" s="1">
        <v>3726</v>
      </c>
      <c r="M2286" s="1">
        <v>7946</v>
      </c>
      <c r="N2286">
        <v>847</v>
      </c>
      <c r="O2286" t="s">
        <v>435</v>
      </c>
      <c r="P2286" s="1" t="b">
        <f>NOT(OR(Table1[[#This Row],[State]]="Other Foreign Countries", Table1[[#This Row],[State]]="Unknown", Table1[[#This Row],[State]]="Puerto Rico all counties"))</f>
        <v>1</v>
      </c>
    </row>
    <row r="2287" spans="1:16" x14ac:dyDescent="0.25">
      <c r="A2287">
        <v>22075</v>
      </c>
      <c r="B2287" t="s">
        <v>1892</v>
      </c>
      <c r="C2287" t="s">
        <v>1955</v>
      </c>
      <c r="D2287">
        <v>583</v>
      </c>
      <c r="E2287">
        <v>103</v>
      </c>
      <c r="F2287">
        <v>64</v>
      </c>
      <c r="G2287">
        <v>50</v>
      </c>
      <c r="H2287">
        <v>165</v>
      </c>
      <c r="I2287">
        <v>201</v>
      </c>
      <c r="J2287">
        <v>184</v>
      </c>
      <c r="K2287">
        <v>283</v>
      </c>
      <c r="L2287">
        <v>116</v>
      </c>
      <c r="M2287">
        <v>470</v>
      </c>
      <c r="N2287">
        <v>113</v>
      </c>
      <c r="O2287" t="s">
        <v>1956</v>
      </c>
      <c r="P2287" s="1" t="b">
        <f>NOT(OR(Table1[[#This Row],[State]]="Other Foreign Countries", Table1[[#This Row],[State]]="Unknown", Table1[[#This Row],[State]]="Puerto Rico all counties"))</f>
        <v>1</v>
      </c>
    </row>
    <row r="2288" spans="1:16" x14ac:dyDescent="0.25">
      <c r="A2288">
        <v>29165</v>
      </c>
      <c r="B2288" t="s">
        <v>2510</v>
      </c>
      <c r="C2288" t="s">
        <v>2620</v>
      </c>
      <c r="D2288">
        <v>2695</v>
      </c>
      <c r="E2288">
        <v>509</v>
      </c>
      <c r="F2288">
        <v>273</v>
      </c>
      <c r="G2288">
        <v>299</v>
      </c>
      <c r="H2288">
        <v>837</v>
      </c>
      <c r="I2288">
        <v>777</v>
      </c>
      <c r="J2288">
        <v>742</v>
      </c>
      <c r="K2288" s="1">
        <v>1122</v>
      </c>
      <c r="L2288">
        <v>831</v>
      </c>
      <c r="M2288" s="1">
        <v>2389</v>
      </c>
      <c r="N2288">
        <v>306</v>
      </c>
      <c r="O2288" t="s">
        <v>2621</v>
      </c>
      <c r="P2288" s="1" t="b">
        <f>NOT(OR(Table1[[#This Row],[State]]="Other Foreign Countries", Table1[[#This Row],[State]]="Unknown", Table1[[#This Row],[State]]="Puerto Rico all counties"))</f>
        <v>1</v>
      </c>
    </row>
    <row r="2289" spans="1:16" x14ac:dyDescent="0.25">
      <c r="A2289">
        <v>31141</v>
      </c>
      <c r="B2289" t="s">
        <v>2758</v>
      </c>
      <c r="C2289" t="s">
        <v>2620</v>
      </c>
      <c r="D2289">
        <v>745</v>
      </c>
      <c r="E2289">
        <v>321</v>
      </c>
      <c r="F2289">
        <v>85</v>
      </c>
      <c r="G2289">
        <v>98</v>
      </c>
      <c r="H2289">
        <v>133</v>
      </c>
      <c r="I2289">
        <v>108</v>
      </c>
      <c r="J2289">
        <v>105</v>
      </c>
      <c r="K2289">
        <v>145</v>
      </c>
      <c r="L2289">
        <v>495</v>
      </c>
      <c r="M2289">
        <v>716</v>
      </c>
      <c r="N2289">
        <v>29</v>
      </c>
      <c r="O2289" t="s">
        <v>2862</v>
      </c>
      <c r="P2289" s="1" t="b">
        <f>NOT(OR(Table1[[#This Row],[State]]="Other Foreign Countries", Table1[[#This Row],[State]]="Unknown", Table1[[#This Row],[State]]="Puerto Rico all counties"))</f>
        <v>1</v>
      </c>
    </row>
    <row r="2290" spans="1:16" x14ac:dyDescent="0.25">
      <c r="A2290">
        <v>56031</v>
      </c>
      <c r="B2290" t="s">
        <v>3117</v>
      </c>
      <c r="C2290" t="s">
        <v>2620</v>
      </c>
      <c r="D2290">
        <v>329</v>
      </c>
      <c r="E2290">
        <v>78</v>
      </c>
      <c r="F2290">
        <v>38</v>
      </c>
      <c r="G2290">
        <v>44</v>
      </c>
      <c r="H2290">
        <v>87</v>
      </c>
      <c r="I2290">
        <v>82</v>
      </c>
      <c r="J2290">
        <v>59</v>
      </c>
      <c r="K2290">
        <v>106</v>
      </c>
      <c r="L2290">
        <v>164</v>
      </c>
      <c r="M2290">
        <v>306</v>
      </c>
      <c r="N2290">
        <v>23</v>
      </c>
      <c r="O2290" t="s">
        <v>5034</v>
      </c>
      <c r="P2290" s="1" t="b">
        <f>NOT(OR(Table1[[#This Row],[State]]="Other Foreign Countries", Table1[[#This Row],[State]]="Unknown", Table1[[#This Row],[State]]="Puerto Rico all counties"))</f>
        <v>1</v>
      </c>
    </row>
    <row r="2291" spans="1:16" x14ac:dyDescent="0.25">
      <c r="A2291">
        <v>54073</v>
      </c>
      <c r="B2291" t="s">
        <v>4833</v>
      </c>
      <c r="C2291" t="s">
        <v>4879</v>
      </c>
      <c r="D2291">
        <v>149</v>
      </c>
      <c r="E2291">
        <v>28</v>
      </c>
      <c r="H2291">
        <v>43</v>
      </c>
      <c r="I2291">
        <v>44</v>
      </c>
      <c r="J2291">
        <v>26</v>
      </c>
      <c r="K2291">
        <v>54</v>
      </c>
      <c r="L2291">
        <v>69</v>
      </c>
      <c r="M2291">
        <v>139</v>
      </c>
      <c r="N2291">
        <v>10</v>
      </c>
      <c r="O2291" t="s">
        <v>4880</v>
      </c>
      <c r="P2291" s="1" t="b">
        <f>NOT(OR(Table1[[#This Row],[State]]="Other Foreign Countries", Table1[[#This Row],[State]]="Unknown", Table1[[#This Row],[State]]="Puerto Rico all counties"))</f>
        <v>1</v>
      </c>
    </row>
    <row r="2292" spans="1:16" x14ac:dyDescent="0.25">
      <c r="A2292">
        <v>6063</v>
      </c>
      <c r="B2292" t="s">
        <v>374</v>
      </c>
      <c r="C2292" t="s">
        <v>436</v>
      </c>
      <c r="D2292">
        <v>489</v>
      </c>
      <c r="E2292">
        <v>156</v>
      </c>
      <c r="F2292">
        <v>52</v>
      </c>
      <c r="G2292">
        <v>47</v>
      </c>
      <c r="H2292">
        <v>135</v>
      </c>
      <c r="I2292">
        <v>99</v>
      </c>
      <c r="J2292">
        <v>75</v>
      </c>
      <c r="K2292">
        <v>108</v>
      </c>
      <c r="L2292">
        <v>306</v>
      </c>
      <c r="M2292">
        <v>463</v>
      </c>
      <c r="N2292">
        <v>26</v>
      </c>
      <c r="O2292" t="s">
        <v>437</v>
      </c>
      <c r="P2292" s="1" t="b">
        <f>NOT(OR(Table1[[#This Row],[State]]="Other Foreign Countries", Table1[[#This Row],[State]]="Unknown", Table1[[#This Row],[State]]="Puerto Rico all counties"))</f>
        <v>1</v>
      </c>
    </row>
    <row r="2293" spans="1:16" x14ac:dyDescent="0.25">
      <c r="A2293">
        <v>19149</v>
      </c>
      <c r="B2293" t="s">
        <v>1399</v>
      </c>
      <c r="C2293" t="s">
        <v>1505</v>
      </c>
      <c r="D2293">
        <v>425</v>
      </c>
      <c r="E2293">
        <v>138</v>
      </c>
      <c r="F2293">
        <v>63</v>
      </c>
      <c r="G2293">
        <v>53</v>
      </c>
      <c r="H2293">
        <v>97</v>
      </c>
      <c r="I2293">
        <v>74</v>
      </c>
      <c r="J2293">
        <v>93</v>
      </c>
      <c r="K2293">
        <v>105</v>
      </c>
      <c r="L2293">
        <v>227</v>
      </c>
      <c r="M2293">
        <v>390</v>
      </c>
      <c r="N2293">
        <v>35</v>
      </c>
      <c r="O2293" t="s">
        <v>1506</v>
      </c>
      <c r="P2293" s="1" t="b">
        <f>NOT(OR(Table1[[#This Row],[State]]="Other Foreign Countries", Table1[[#This Row],[State]]="Unknown", Table1[[#This Row],[State]]="Puerto Rico all counties"))</f>
        <v>1</v>
      </c>
    </row>
    <row r="2294" spans="1:16" x14ac:dyDescent="0.25">
      <c r="A2294">
        <v>25023</v>
      </c>
      <c r="B2294" t="s">
        <v>2073</v>
      </c>
      <c r="C2294" t="s">
        <v>1505</v>
      </c>
      <c r="D2294">
        <v>9040</v>
      </c>
      <c r="E2294" s="1">
        <v>2400</v>
      </c>
      <c r="F2294">
        <v>911</v>
      </c>
      <c r="G2294">
        <v>986</v>
      </c>
      <c r="H2294" s="1">
        <v>2482</v>
      </c>
      <c r="I2294" s="1">
        <v>2261</v>
      </c>
      <c r="J2294" s="1">
        <v>2280</v>
      </c>
      <c r="K2294" s="1">
        <v>2241</v>
      </c>
      <c r="L2294" s="1">
        <v>4519</v>
      </c>
      <c r="M2294" s="1">
        <v>8362</v>
      </c>
      <c r="N2294">
        <v>676</v>
      </c>
      <c r="O2294" t="s">
        <v>2095</v>
      </c>
      <c r="P2294" s="1" t="b">
        <f>NOT(OR(Table1[[#This Row],[State]]="Other Foreign Countries", Table1[[#This Row],[State]]="Unknown", Table1[[#This Row],[State]]="Puerto Rico all counties"))</f>
        <v>1</v>
      </c>
    </row>
    <row r="2295" spans="1:16" x14ac:dyDescent="0.25">
      <c r="A2295">
        <v>19151</v>
      </c>
      <c r="B2295" t="s">
        <v>1399</v>
      </c>
      <c r="C2295" t="s">
        <v>1507</v>
      </c>
      <c r="D2295">
        <v>104</v>
      </c>
      <c r="E2295">
        <v>26</v>
      </c>
      <c r="F2295">
        <v>20</v>
      </c>
      <c r="G2295">
        <v>14</v>
      </c>
      <c r="H2295">
        <v>26</v>
      </c>
      <c r="I2295">
        <v>18</v>
      </c>
      <c r="J2295">
        <v>21</v>
      </c>
      <c r="K2295">
        <v>32</v>
      </c>
      <c r="L2295">
        <v>51</v>
      </c>
      <c r="O2295" t="s">
        <v>1508</v>
      </c>
      <c r="P2295" s="1" t="b">
        <f>NOT(OR(Table1[[#This Row],[State]]="Other Foreign Countries", Table1[[#This Row],[State]]="Unknown", Table1[[#This Row],[State]]="Puerto Rico all counties"))</f>
        <v>1</v>
      </c>
    </row>
    <row r="2296" spans="1:16" x14ac:dyDescent="0.25">
      <c r="A2296">
        <v>54075</v>
      </c>
      <c r="B2296" t="s">
        <v>4833</v>
      </c>
      <c r="C2296" t="s">
        <v>1507</v>
      </c>
      <c r="D2296">
        <v>224</v>
      </c>
      <c r="E2296">
        <v>49</v>
      </c>
      <c r="F2296">
        <v>37</v>
      </c>
      <c r="G2296">
        <v>34</v>
      </c>
      <c r="H2296">
        <v>55</v>
      </c>
      <c r="I2296">
        <v>49</v>
      </c>
      <c r="J2296">
        <v>24</v>
      </c>
      <c r="K2296">
        <v>61</v>
      </c>
      <c r="L2296">
        <v>139</v>
      </c>
      <c r="M2296">
        <v>209</v>
      </c>
      <c r="N2296">
        <v>15</v>
      </c>
      <c r="O2296" t="s">
        <v>4881</v>
      </c>
      <c r="P2296" s="1" t="b">
        <f>NOT(OR(Table1[[#This Row],[State]]="Other Foreign Countries", Table1[[#This Row],[State]]="Unknown", Table1[[#This Row],[State]]="Puerto Rico all counties"))</f>
        <v>1</v>
      </c>
    </row>
    <row r="2297" spans="1:16" x14ac:dyDescent="0.25">
      <c r="A2297">
        <v>5111</v>
      </c>
      <c r="B2297" t="s">
        <v>242</v>
      </c>
      <c r="C2297" t="s">
        <v>336</v>
      </c>
      <c r="D2297">
        <v>368</v>
      </c>
      <c r="E2297">
        <v>76</v>
      </c>
      <c r="F2297">
        <v>37</v>
      </c>
      <c r="G2297">
        <v>36</v>
      </c>
      <c r="H2297">
        <v>113</v>
      </c>
      <c r="I2297">
        <v>106</v>
      </c>
      <c r="J2297">
        <v>84</v>
      </c>
      <c r="K2297">
        <v>115</v>
      </c>
      <c r="L2297">
        <v>169</v>
      </c>
      <c r="M2297">
        <v>345</v>
      </c>
      <c r="N2297">
        <v>23</v>
      </c>
      <c r="O2297" t="s">
        <v>337</v>
      </c>
      <c r="P2297" s="1" t="b">
        <f>NOT(OR(Table1[[#This Row],[State]]="Other Foreign Countries", Table1[[#This Row],[State]]="Unknown", Table1[[#This Row],[State]]="Puerto Rico all counties"))</f>
        <v>1</v>
      </c>
    </row>
    <row r="2298" spans="1:16" x14ac:dyDescent="0.25">
      <c r="A2298">
        <v>22077</v>
      </c>
      <c r="B2298" t="s">
        <v>1892</v>
      </c>
      <c r="C2298" t="s">
        <v>1957</v>
      </c>
      <c r="D2298">
        <v>324</v>
      </c>
      <c r="E2298">
        <v>77</v>
      </c>
      <c r="F2298">
        <v>43</v>
      </c>
      <c r="G2298">
        <v>36</v>
      </c>
      <c r="H2298">
        <v>92</v>
      </c>
      <c r="I2298">
        <v>76</v>
      </c>
      <c r="J2298">
        <v>57</v>
      </c>
      <c r="K2298">
        <v>74</v>
      </c>
      <c r="L2298">
        <v>193</v>
      </c>
      <c r="M2298">
        <v>302</v>
      </c>
      <c r="N2298">
        <v>22</v>
      </c>
      <c r="O2298" t="s">
        <v>1958</v>
      </c>
      <c r="P2298" s="1" t="b">
        <f>NOT(OR(Table1[[#This Row],[State]]="Other Foreign Countries", Table1[[#This Row],[State]]="Unknown", Table1[[#This Row],[State]]="Puerto Rico all counties"))</f>
        <v>1</v>
      </c>
    </row>
    <row r="2299" spans="1:16" x14ac:dyDescent="0.25">
      <c r="A2299">
        <v>5113</v>
      </c>
      <c r="B2299" t="s">
        <v>242</v>
      </c>
      <c r="C2299" t="s">
        <v>338</v>
      </c>
      <c r="D2299">
        <v>598</v>
      </c>
      <c r="E2299">
        <v>110</v>
      </c>
      <c r="F2299">
        <v>58</v>
      </c>
      <c r="G2299">
        <v>74</v>
      </c>
      <c r="H2299">
        <v>197</v>
      </c>
      <c r="I2299">
        <v>159</v>
      </c>
      <c r="J2299">
        <v>132</v>
      </c>
      <c r="K2299">
        <v>183</v>
      </c>
      <c r="L2299">
        <v>283</v>
      </c>
      <c r="M2299">
        <v>542</v>
      </c>
      <c r="N2299">
        <v>56</v>
      </c>
      <c r="O2299" t="s">
        <v>339</v>
      </c>
      <c r="P2299" s="1" t="b">
        <f>NOT(OR(Table1[[#This Row],[State]]="Other Foreign Countries", Table1[[#This Row],[State]]="Unknown", Table1[[#This Row],[State]]="Puerto Rico all counties"))</f>
        <v>1</v>
      </c>
    </row>
    <row r="2300" spans="1:16" x14ac:dyDescent="0.25">
      <c r="A2300">
        <v>12105</v>
      </c>
      <c r="B2300" t="s">
        <v>637</v>
      </c>
      <c r="C2300" t="s">
        <v>338</v>
      </c>
      <c r="D2300">
        <v>18998</v>
      </c>
      <c r="E2300" s="1">
        <v>3594</v>
      </c>
      <c r="F2300" s="1">
        <v>1881</v>
      </c>
      <c r="G2300" s="1">
        <v>2078</v>
      </c>
      <c r="H2300" s="1">
        <v>5605</v>
      </c>
      <c r="I2300" s="1">
        <v>5840</v>
      </c>
      <c r="J2300" s="1">
        <v>5046</v>
      </c>
      <c r="K2300" s="1">
        <v>6145</v>
      </c>
      <c r="L2300" s="1">
        <v>7807</v>
      </c>
      <c r="M2300" s="1">
        <v>16541</v>
      </c>
      <c r="N2300" s="1">
        <v>2454</v>
      </c>
      <c r="O2300" t="s">
        <v>728</v>
      </c>
      <c r="P2300" s="1" t="b">
        <f>NOT(OR(Table1[[#This Row],[State]]="Other Foreign Countries", Table1[[#This Row],[State]]="Unknown", Table1[[#This Row],[State]]="Puerto Rico all counties"))</f>
        <v>1</v>
      </c>
    </row>
    <row r="2301" spans="1:16" x14ac:dyDescent="0.25">
      <c r="A2301">
        <v>13233</v>
      </c>
      <c r="B2301" t="s">
        <v>754</v>
      </c>
      <c r="C2301" t="s">
        <v>338</v>
      </c>
      <c r="D2301">
        <v>750</v>
      </c>
      <c r="E2301">
        <v>170</v>
      </c>
      <c r="F2301">
        <v>64</v>
      </c>
      <c r="G2301">
        <v>88</v>
      </c>
      <c r="H2301">
        <v>240</v>
      </c>
      <c r="I2301">
        <v>188</v>
      </c>
      <c r="J2301">
        <v>182</v>
      </c>
      <c r="K2301">
        <v>222</v>
      </c>
      <c r="L2301">
        <v>346</v>
      </c>
      <c r="M2301">
        <v>702</v>
      </c>
      <c r="N2301">
        <v>48</v>
      </c>
      <c r="O2301" t="s">
        <v>945</v>
      </c>
      <c r="P2301" s="1" t="b">
        <f>NOT(OR(Table1[[#This Row],[State]]="Other Foreign Countries", Table1[[#This Row],[State]]="Unknown", Table1[[#This Row],[State]]="Puerto Rico all counties"))</f>
        <v>1</v>
      </c>
    </row>
    <row r="2302" spans="1:16" x14ac:dyDescent="0.25">
      <c r="A2302">
        <v>19153</v>
      </c>
      <c r="B2302" t="s">
        <v>1399</v>
      </c>
      <c r="C2302" t="s">
        <v>338</v>
      </c>
      <c r="D2302">
        <v>7965</v>
      </c>
      <c r="E2302" s="1">
        <v>2131</v>
      </c>
      <c r="F2302" s="1">
        <v>1057</v>
      </c>
      <c r="G2302" s="1">
        <v>1037</v>
      </c>
      <c r="H2302" s="1">
        <v>1958</v>
      </c>
      <c r="I2302" s="1">
        <v>1782</v>
      </c>
      <c r="J2302" s="1">
        <v>2212</v>
      </c>
      <c r="K2302" s="1">
        <v>2475</v>
      </c>
      <c r="L2302" s="1">
        <v>3278</v>
      </c>
      <c r="M2302" s="1">
        <v>7175</v>
      </c>
      <c r="N2302">
        <v>788</v>
      </c>
      <c r="O2302" t="s">
        <v>1509</v>
      </c>
      <c r="P2302" s="1" t="b">
        <f>NOT(OR(Table1[[#This Row],[State]]="Other Foreign Countries", Table1[[#This Row],[State]]="Unknown", Table1[[#This Row],[State]]="Puerto Rico all counties"))</f>
        <v>1</v>
      </c>
    </row>
    <row r="2303" spans="1:16" x14ac:dyDescent="0.25">
      <c r="A2303">
        <v>27119</v>
      </c>
      <c r="B2303" t="s">
        <v>2245</v>
      </c>
      <c r="C2303" t="s">
        <v>338</v>
      </c>
      <c r="D2303">
        <v>708</v>
      </c>
      <c r="E2303">
        <v>192</v>
      </c>
      <c r="F2303">
        <v>89</v>
      </c>
      <c r="G2303">
        <v>83</v>
      </c>
      <c r="H2303">
        <v>181</v>
      </c>
      <c r="I2303">
        <v>163</v>
      </c>
      <c r="J2303">
        <v>129</v>
      </c>
      <c r="K2303">
        <v>186</v>
      </c>
      <c r="L2303">
        <v>393</v>
      </c>
      <c r="M2303">
        <v>654</v>
      </c>
      <c r="N2303">
        <v>54</v>
      </c>
      <c r="O2303" t="s">
        <v>2346</v>
      </c>
      <c r="P2303" s="1" t="b">
        <f>NOT(OR(Table1[[#This Row],[State]]="Other Foreign Countries", Table1[[#This Row],[State]]="Unknown", Table1[[#This Row],[State]]="Puerto Rico all counties"))</f>
        <v>1</v>
      </c>
    </row>
    <row r="2304" spans="1:16" x14ac:dyDescent="0.25">
      <c r="A2304">
        <v>29167</v>
      </c>
      <c r="B2304" t="s">
        <v>2510</v>
      </c>
      <c r="C2304" t="s">
        <v>338</v>
      </c>
      <c r="D2304">
        <v>714</v>
      </c>
      <c r="E2304">
        <v>169</v>
      </c>
      <c r="F2304">
        <v>79</v>
      </c>
      <c r="G2304">
        <v>79</v>
      </c>
      <c r="H2304">
        <v>231</v>
      </c>
      <c r="I2304">
        <v>156</v>
      </c>
      <c r="J2304">
        <v>162</v>
      </c>
      <c r="K2304">
        <v>211</v>
      </c>
      <c r="L2304">
        <v>341</v>
      </c>
      <c r="M2304">
        <v>653</v>
      </c>
      <c r="N2304">
        <v>61</v>
      </c>
      <c r="O2304" t="s">
        <v>2622</v>
      </c>
      <c r="P2304" s="1" t="b">
        <f>NOT(OR(Table1[[#This Row],[State]]="Other Foreign Countries", Table1[[#This Row],[State]]="Unknown", Table1[[#This Row],[State]]="Puerto Rico all counties"))</f>
        <v>1</v>
      </c>
    </row>
    <row r="2305" spans="1:16" x14ac:dyDescent="0.25">
      <c r="A2305">
        <v>31143</v>
      </c>
      <c r="B2305" t="s">
        <v>2758</v>
      </c>
      <c r="C2305" t="s">
        <v>338</v>
      </c>
      <c r="D2305">
        <v>156</v>
      </c>
      <c r="E2305">
        <v>77</v>
      </c>
      <c r="F2305">
        <v>20</v>
      </c>
      <c r="G2305">
        <v>16</v>
      </c>
      <c r="H2305">
        <v>28</v>
      </c>
      <c r="I2305">
        <v>15</v>
      </c>
      <c r="J2305">
        <v>19</v>
      </c>
      <c r="K2305">
        <v>27</v>
      </c>
      <c r="L2305">
        <v>110</v>
      </c>
      <c r="M2305">
        <v>146</v>
      </c>
      <c r="N2305">
        <v>10</v>
      </c>
      <c r="O2305" t="s">
        <v>2863</v>
      </c>
      <c r="P2305" s="1" t="b">
        <f>NOT(OR(Table1[[#This Row],[State]]="Other Foreign Countries", Table1[[#This Row],[State]]="Unknown", Table1[[#This Row],[State]]="Puerto Rico all counties"))</f>
        <v>1</v>
      </c>
    </row>
    <row r="2306" spans="1:16" x14ac:dyDescent="0.25">
      <c r="A2306">
        <v>37149</v>
      </c>
      <c r="B2306" t="s">
        <v>3121</v>
      </c>
      <c r="C2306" t="s">
        <v>338</v>
      </c>
      <c r="D2306">
        <v>468</v>
      </c>
      <c r="E2306">
        <v>97</v>
      </c>
      <c r="F2306">
        <v>53</v>
      </c>
      <c r="G2306">
        <v>61</v>
      </c>
      <c r="H2306">
        <v>150</v>
      </c>
      <c r="I2306">
        <v>107</v>
      </c>
      <c r="J2306">
        <v>93</v>
      </c>
      <c r="K2306">
        <v>128</v>
      </c>
      <c r="L2306">
        <v>247</v>
      </c>
      <c r="M2306">
        <v>427</v>
      </c>
      <c r="N2306">
        <v>41</v>
      </c>
      <c r="O2306" t="s">
        <v>3246</v>
      </c>
      <c r="P2306" s="1" t="b">
        <f>NOT(OR(Table1[[#This Row],[State]]="Other Foreign Countries", Table1[[#This Row],[State]]="Unknown", Table1[[#This Row],[State]]="Puerto Rico all counties"))</f>
        <v>1</v>
      </c>
    </row>
    <row r="2307" spans="1:16" x14ac:dyDescent="0.25">
      <c r="A2307">
        <v>41053</v>
      </c>
      <c r="B2307" t="s">
        <v>2607</v>
      </c>
      <c r="C2307" t="s">
        <v>338</v>
      </c>
      <c r="D2307">
        <v>2063</v>
      </c>
      <c r="E2307">
        <v>449</v>
      </c>
      <c r="F2307">
        <v>246</v>
      </c>
      <c r="G2307">
        <v>283</v>
      </c>
      <c r="H2307">
        <v>631</v>
      </c>
      <c r="I2307">
        <v>454</v>
      </c>
      <c r="J2307">
        <v>562</v>
      </c>
      <c r="K2307">
        <v>605</v>
      </c>
      <c r="L2307">
        <v>896</v>
      </c>
      <c r="M2307" s="1">
        <v>1841</v>
      </c>
      <c r="N2307">
        <v>222</v>
      </c>
      <c r="O2307" t="s">
        <v>3650</v>
      </c>
      <c r="P2307" s="1" t="b">
        <f>NOT(OR(Table1[[#This Row],[State]]="Other Foreign Countries", Table1[[#This Row],[State]]="Unknown", Table1[[#This Row],[State]]="Puerto Rico all counties"))</f>
        <v>1</v>
      </c>
    </row>
    <row r="2308" spans="1:16" x14ac:dyDescent="0.25">
      <c r="A2308">
        <v>47139</v>
      </c>
      <c r="B2308" t="s">
        <v>3951</v>
      </c>
      <c r="C2308" t="s">
        <v>338</v>
      </c>
      <c r="D2308">
        <v>435</v>
      </c>
      <c r="E2308">
        <v>89</v>
      </c>
      <c r="F2308">
        <v>50</v>
      </c>
      <c r="G2308">
        <v>54</v>
      </c>
      <c r="H2308">
        <v>123</v>
      </c>
      <c r="I2308">
        <v>119</v>
      </c>
      <c r="J2308">
        <v>84</v>
      </c>
      <c r="K2308">
        <v>149</v>
      </c>
      <c r="L2308">
        <v>202</v>
      </c>
      <c r="M2308">
        <v>404</v>
      </c>
      <c r="N2308">
        <v>31</v>
      </c>
      <c r="O2308" t="s">
        <v>4041</v>
      </c>
      <c r="P2308" s="1" t="b">
        <f>NOT(OR(Table1[[#This Row],[State]]="Other Foreign Countries", Table1[[#This Row],[State]]="Unknown", Table1[[#This Row],[State]]="Puerto Rico all counties"))</f>
        <v>1</v>
      </c>
    </row>
    <row r="2309" spans="1:16" x14ac:dyDescent="0.25">
      <c r="A2309">
        <v>48373</v>
      </c>
      <c r="B2309" t="s">
        <v>2654</v>
      </c>
      <c r="C2309" t="s">
        <v>338</v>
      </c>
      <c r="D2309">
        <v>1768</v>
      </c>
      <c r="E2309">
        <v>385</v>
      </c>
      <c r="F2309">
        <v>192</v>
      </c>
      <c r="G2309">
        <v>224</v>
      </c>
      <c r="H2309">
        <v>498</v>
      </c>
      <c r="I2309">
        <v>469</v>
      </c>
      <c r="J2309">
        <v>335</v>
      </c>
      <c r="K2309">
        <v>589</v>
      </c>
      <c r="L2309">
        <v>844</v>
      </c>
      <c r="M2309" s="1">
        <v>1575</v>
      </c>
      <c r="N2309">
        <v>193</v>
      </c>
      <c r="O2309" t="s">
        <v>4371</v>
      </c>
      <c r="P2309" s="1" t="b">
        <f>NOT(OR(Table1[[#This Row],[State]]="Other Foreign Countries", Table1[[#This Row],[State]]="Unknown", Table1[[#This Row],[State]]="Puerto Rico all counties"))</f>
        <v>1</v>
      </c>
    </row>
    <row r="2310" spans="1:16" x14ac:dyDescent="0.25">
      <c r="A2310">
        <v>55095</v>
      </c>
      <c r="B2310" t="s">
        <v>4906</v>
      </c>
      <c r="C2310" t="s">
        <v>338</v>
      </c>
      <c r="D2310">
        <v>1217</v>
      </c>
      <c r="E2310">
        <v>435</v>
      </c>
      <c r="F2310">
        <v>187</v>
      </c>
      <c r="G2310">
        <v>135</v>
      </c>
      <c r="H2310">
        <v>259</v>
      </c>
      <c r="I2310">
        <v>201</v>
      </c>
      <c r="J2310">
        <v>238</v>
      </c>
      <c r="K2310">
        <v>299</v>
      </c>
      <c r="L2310">
        <v>680</v>
      </c>
      <c r="M2310" s="1">
        <v>1120</v>
      </c>
      <c r="N2310">
        <v>97</v>
      </c>
      <c r="O2310" t="s">
        <v>4976</v>
      </c>
      <c r="P2310" s="1" t="b">
        <f>NOT(OR(Table1[[#This Row],[State]]="Other Foreign Countries", Table1[[#This Row],[State]]="Unknown", Table1[[#This Row],[State]]="Puerto Rico all counties"))</f>
        <v>1</v>
      </c>
    </row>
    <row r="2311" spans="1:16" x14ac:dyDescent="0.25">
      <c r="A2311">
        <v>30073</v>
      </c>
      <c r="B2311" t="s">
        <v>2665</v>
      </c>
      <c r="C2311" t="s">
        <v>2724</v>
      </c>
      <c r="D2311">
        <v>128</v>
      </c>
      <c r="E2311">
        <v>21</v>
      </c>
      <c r="F2311">
        <v>24</v>
      </c>
      <c r="G2311">
        <v>21</v>
      </c>
      <c r="H2311">
        <v>33</v>
      </c>
      <c r="I2311">
        <v>29</v>
      </c>
      <c r="J2311">
        <v>29</v>
      </c>
      <c r="K2311">
        <v>28</v>
      </c>
      <c r="L2311">
        <v>71</v>
      </c>
      <c r="O2311" t="s">
        <v>2725</v>
      </c>
      <c r="P2311" s="1" t="b">
        <f>NOT(OR(Table1[[#This Row],[State]]="Other Foreign Countries", Table1[[#This Row],[State]]="Unknown", Table1[[#This Row],[State]]="Puerto Rico all counties"))</f>
        <v>1</v>
      </c>
    </row>
    <row r="2312" spans="1:16" x14ac:dyDescent="0.25">
      <c r="A2312">
        <v>28115</v>
      </c>
      <c r="B2312" t="s">
        <v>322</v>
      </c>
      <c r="C2312" t="s">
        <v>2472</v>
      </c>
      <c r="D2312">
        <v>520</v>
      </c>
      <c r="E2312">
        <v>99</v>
      </c>
      <c r="F2312">
        <v>54</v>
      </c>
      <c r="G2312">
        <v>56</v>
      </c>
      <c r="H2312">
        <v>164</v>
      </c>
      <c r="I2312">
        <v>147</v>
      </c>
      <c r="J2312">
        <v>144</v>
      </c>
      <c r="K2312">
        <v>148</v>
      </c>
      <c r="L2312">
        <v>228</v>
      </c>
      <c r="M2312">
        <v>492</v>
      </c>
      <c r="N2312">
        <v>28</v>
      </c>
      <c r="O2312" t="s">
        <v>2473</v>
      </c>
      <c r="P2312" s="1" t="b">
        <f>NOT(OR(Table1[[#This Row],[State]]="Other Foreign Countries", Table1[[#This Row],[State]]="Unknown", Table1[[#This Row],[State]]="Puerto Rico all counties"))</f>
        <v>1</v>
      </c>
    </row>
    <row r="2313" spans="1:16" x14ac:dyDescent="0.25">
      <c r="A2313">
        <v>40123</v>
      </c>
      <c r="B2313" t="s">
        <v>3495</v>
      </c>
      <c r="C2313" t="s">
        <v>2472</v>
      </c>
      <c r="D2313">
        <v>894</v>
      </c>
      <c r="E2313">
        <v>138</v>
      </c>
      <c r="F2313">
        <v>87</v>
      </c>
      <c r="G2313">
        <v>89</v>
      </c>
      <c r="H2313">
        <v>329</v>
      </c>
      <c r="I2313">
        <v>251</v>
      </c>
      <c r="J2313">
        <v>203</v>
      </c>
      <c r="K2313">
        <v>260</v>
      </c>
      <c r="L2313">
        <v>431</v>
      </c>
      <c r="M2313">
        <v>814</v>
      </c>
      <c r="N2313">
        <v>80</v>
      </c>
      <c r="O2313" t="s">
        <v>3587</v>
      </c>
      <c r="P2313" s="1" t="b">
        <f>NOT(OR(Table1[[#This Row],[State]]="Other Foreign Countries", Table1[[#This Row],[State]]="Unknown", Table1[[#This Row],[State]]="Puerto Rico all counties"))</f>
        <v>1</v>
      </c>
    </row>
    <row r="2314" spans="1:16" x14ac:dyDescent="0.25">
      <c r="A2314">
        <v>5115</v>
      </c>
      <c r="B2314" t="s">
        <v>242</v>
      </c>
      <c r="C2314" t="s">
        <v>340</v>
      </c>
      <c r="D2314">
        <v>1305</v>
      </c>
      <c r="E2314">
        <v>227</v>
      </c>
      <c r="F2314">
        <v>158</v>
      </c>
      <c r="G2314">
        <v>173</v>
      </c>
      <c r="H2314">
        <v>398</v>
      </c>
      <c r="I2314">
        <v>349</v>
      </c>
      <c r="J2314">
        <v>356</v>
      </c>
      <c r="K2314">
        <v>413</v>
      </c>
      <c r="L2314">
        <v>536</v>
      </c>
      <c r="M2314" s="1">
        <v>1183</v>
      </c>
      <c r="N2314">
        <v>122</v>
      </c>
      <c r="O2314" t="s">
        <v>341</v>
      </c>
      <c r="P2314" s="1" t="b">
        <f>NOT(OR(Table1[[#This Row],[State]]="Other Foreign Countries", Table1[[#This Row],[State]]="Unknown", Table1[[#This Row],[State]]="Puerto Rico all counties"))</f>
        <v>1</v>
      </c>
    </row>
    <row r="2315" spans="1:16" x14ac:dyDescent="0.25">
      <c r="A2315">
        <v>17151</v>
      </c>
      <c r="B2315" t="s">
        <v>1109</v>
      </c>
      <c r="C2315" t="s">
        <v>340</v>
      </c>
      <c r="D2315">
        <v>114</v>
      </c>
      <c r="E2315">
        <v>34</v>
      </c>
      <c r="F2315">
        <v>13</v>
      </c>
      <c r="G2315">
        <v>11</v>
      </c>
      <c r="H2315">
        <v>31</v>
      </c>
      <c r="I2315">
        <v>25</v>
      </c>
      <c r="J2315">
        <v>22</v>
      </c>
      <c r="K2315">
        <v>38</v>
      </c>
      <c r="L2315">
        <v>54</v>
      </c>
      <c r="O2315" t="s">
        <v>1225</v>
      </c>
      <c r="P2315" s="1" t="b">
        <f>NOT(OR(Table1[[#This Row],[State]]="Other Foreign Countries", Table1[[#This Row],[State]]="Unknown", Table1[[#This Row],[State]]="Puerto Rico all counties"))</f>
        <v>1</v>
      </c>
    </row>
    <row r="2316" spans="1:16" x14ac:dyDescent="0.25">
      <c r="A2316">
        <v>27121</v>
      </c>
      <c r="B2316" t="s">
        <v>2245</v>
      </c>
      <c r="C2316" t="s">
        <v>340</v>
      </c>
      <c r="D2316">
        <v>318</v>
      </c>
      <c r="E2316">
        <v>143</v>
      </c>
      <c r="F2316">
        <v>47</v>
      </c>
      <c r="G2316">
        <v>37</v>
      </c>
      <c r="H2316">
        <v>57</v>
      </c>
      <c r="I2316">
        <v>34</v>
      </c>
      <c r="J2316">
        <v>39</v>
      </c>
      <c r="K2316">
        <v>60</v>
      </c>
      <c r="L2316">
        <v>219</v>
      </c>
      <c r="M2316">
        <v>298</v>
      </c>
      <c r="N2316">
        <v>20</v>
      </c>
      <c r="O2316" t="s">
        <v>2347</v>
      </c>
      <c r="P2316" s="1" t="b">
        <f>NOT(OR(Table1[[#This Row],[State]]="Other Foreign Countries", Table1[[#This Row],[State]]="Unknown", Table1[[#This Row],[State]]="Puerto Rico all counties"))</f>
        <v>1</v>
      </c>
    </row>
    <row r="2317" spans="1:16" x14ac:dyDescent="0.25">
      <c r="A2317">
        <v>51735</v>
      </c>
      <c r="B2317" t="s">
        <v>4555</v>
      </c>
      <c r="C2317" t="s">
        <v>4748</v>
      </c>
      <c r="D2317">
        <v>802</v>
      </c>
      <c r="E2317">
        <v>122</v>
      </c>
      <c r="F2317">
        <v>89</v>
      </c>
      <c r="G2317">
        <v>100</v>
      </c>
      <c r="H2317">
        <v>211</v>
      </c>
      <c r="I2317">
        <v>280</v>
      </c>
      <c r="J2317">
        <v>233</v>
      </c>
      <c r="K2317">
        <v>338</v>
      </c>
      <c r="L2317">
        <v>231</v>
      </c>
      <c r="M2317">
        <v>638</v>
      </c>
      <c r="N2317">
        <v>164</v>
      </c>
      <c r="O2317" t="s">
        <v>4749</v>
      </c>
      <c r="P2317" s="1" t="b">
        <f>NOT(OR(Table1[[#This Row],[State]]="Other Foreign Countries", Table1[[#This Row],[State]]="Unknown", Table1[[#This Row],[State]]="Puerto Rico all counties"))</f>
        <v>1</v>
      </c>
    </row>
    <row r="2318" spans="1:16" x14ac:dyDescent="0.25">
      <c r="A2318">
        <v>39133</v>
      </c>
      <c r="B2318" t="s">
        <v>1343</v>
      </c>
      <c r="C2318" t="s">
        <v>3462</v>
      </c>
      <c r="D2318">
        <v>2618</v>
      </c>
      <c r="E2318">
        <v>658</v>
      </c>
      <c r="F2318">
        <v>323</v>
      </c>
      <c r="G2318">
        <v>330</v>
      </c>
      <c r="H2318">
        <v>733</v>
      </c>
      <c r="I2318">
        <v>574</v>
      </c>
      <c r="J2318">
        <v>718</v>
      </c>
      <c r="K2318">
        <v>799</v>
      </c>
      <c r="L2318" s="1">
        <v>1101</v>
      </c>
      <c r="M2318" s="1">
        <v>2377</v>
      </c>
      <c r="N2318">
        <v>241</v>
      </c>
      <c r="O2318" t="s">
        <v>3463</v>
      </c>
      <c r="P2318" s="1" t="b">
        <f>NOT(OR(Table1[[#This Row],[State]]="Other Foreign Countries", Table1[[#This Row],[State]]="Unknown", Table1[[#This Row],[State]]="Puerto Rico all counties"))</f>
        <v>1</v>
      </c>
    </row>
    <row r="2319" spans="1:16" x14ac:dyDescent="0.25">
      <c r="A2319">
        <v>55097</v>
      </c>
      <c r="B2319" t="s">
        <v>4906</v>
      </c>
      <c r="C2319" t="s">
        <v>3462</v>
      </c>
      <c r="D2319">
        <v>1352</v>
      </c>
      <c r="E2319">
        <v>452</v>
      </c>
      <c r="F2319">
        <v>171</v>
      </c>
      <c r="G2319">
        <v>159</v>
      </c>
      <c r="H2319">
        <v>348</v>
      </c>
      <c r="I2319">
        <v>222</v>
      </c>
      <c r="J2319">
        <v>327</v>
      </c>
      <c r="K2319">
        <v>369</v>
      </c>
      <c r="L2319">
        <v>656</v>
      </c>
      <c r="M2319" s="1">
        <v>1241</v>
      </c>
      <c r="N2319">
        <v>111</v>
      </c>
      <c r="O2319" t="s">
        <v>4977</v>
      </c>
      <c r="P2319" s="1" t="b">
        <f>NOT(OR(Table1[[#This Row],[State]]="Other Foreign Countries", Table1[[#This Row],[State]]="Unknown", Table1[[#This Row],[State]]="Puerto Rico all counties"))</f>
        <v>1</v>
      </c>
    </row>
    <row r="2320" spans="1:16" x14ac:dyDescent="0.25">
      <c r="A2320">
        <v>18127</v>
      </c>
      <c r="B2320" t="s">
        <v>1266</v>
      </c>
      <c r="C2320" t="s">
        <v>1352</v>
      </c>
      <c r="D2320">
        <v>2781</v>
      </c>
      <c r="E2320">
        <v>627</v>
      </c>
      <c r="F2320">
        <v>292</v>
      </c>
      <c r="G2320">
        <v>302</v>
      </c>
      <c r="H2320">
        <v>874</v>
      </c>
      <c r="I2320">
        <v>686</v>
      </c>
      <c r="J2320">
        <v>836</v>
      </c>
      <c r="K2320">
        <v>899</v>
      </c>
      <c r="L2320" s="1">
        <v>1046</v>
      </c>
      <c r="M2320" s="1">
        <v>2553</v>
      </c>
      <c r="N2320">
        <v>228</v>
      </c>
      <c r="O2320" t="s">
        <v>1353</v>
      </c>
      <c r="P2320" s="1" t="b">
        <f>NOT(OR(Table1[[#This Row],[State]]="Other Foreign Countries", Table1[[#This Row],[State]]="Unknown", Table1[[#This Row],[State]]="Puerto Rico all counties"))</f>
        <v>1</v>
      </c>
    </row>
    <row r="2321" spans="1:16" x14ac:dyDescent="0.25">
      <c r="A2321">
        <v>51740</v>
      </c>
      <c r="B2321" t="s">
        <v>4555</v>
      </c>
      <c r="C2321" t="s">
        <v>4750</v>
      </c>
      <c r="D2321">
        <v>4704</v>
      </c>
      <c r="E2321">
        <v>581</v>
      </c>
      <c r="F2321">
        <v>444</v>
      </c>
      <c r="G2321">
        <v>601</v>
      </c>
      <c r="H2321" s="1">
        <v>1576</v>
      </c>
      <c r="I2321" s="1">
        <v>1502</v>
      </c>
      <c r="J2321" s="1">
        <v>1738</v>
      </c>
      <c r="K2321" s="1">
        <v>1755</v>
      </c>
      <c r="L2321" s="1">
        <v>1211</v>
      </c>
      <c r="M2321" s="1">
        <v>3562</v>
      </c>
      <c r="N2321" s="1">
        <v>1141</v>
      </c>
      <c r="O2321" t="s">
        <v>4751</v>
      </c>
      <c r="P2321" s="1" t="b">
        <f>NOT(OR(Table1[[#This Row],[State]]="Other Foreign Countries", Table1[[#This Row],[State]]="Unknown", Table1[[#This Row],[State]]="Puerto Rico all counties"))</f>
        <v>1</v>
      </c>
    </row>
    <row r="2322" spans="1:16" x14ac:dyDescent="0.25">
      <c r="A2322">
        <v>18129</v>
      </c>
      <c r="B2322" t="s">
        <v>1266</v>
      </c>
      <c r="C2322" t="s">
        <v>1354</v>
      </c>
      <c r="D2322">
        <v>453</v>
      </c>
      <c r="E2322">
        <v>94</v>
      </c>
      <c r="F2322">
        <v>49</v>
      </c>
      <c r="G2322">
        <v>44</v>
      </c>
      <c r="H2322">
        <v>156</v>
      </c>
      <c r="I2322">
        <v>110</v>
      </c>
      <c r="J2322">
        <v>111</v>
      </c>
      <c r="K2322">
        <v>136</v>
      </c>
      <c r="L2322">
        <v>206</v>
      </c>
      <c r="M2322">
        <v>429</v>
      </c>
      <c r="N2322">
        <v>24</v>
      </c>
      <c r="O2322" t="s">
        <v>1355</v>
      </c>
      <c r="P2322" s="1" t="b">
        <f>NOT(OR(Table1[[#This Row],[State]]="Other Foreign Countries", Table1[[#This Row],[State]]="Unknown", Table1[[#This Row],[State]]="Puerto Rico all counties"))</f>
        <v>1</v>
      </c>
    </row>
    <row r="2323" spans="1:16" x14ac:dyDescent="0.25">
      <c r="A2323">
        <v>20149</v>
      </c>
      <c r="B2323" t="s">
        <v>1543</v>
      </c>
      <c r="C2323" t="s">
        <v>1661</v>
      </c>
      <c r="D2323">
        <v>897</v>
      </c>
      <c r="E2323">
        <v>109</v>
      </c>
      <c r="F2323">
        <v>101</v>
      </c>
      <c r="G2323">
        <v>94</v>
      </c>
      <c r="H2323">
        <v>315</v>
      </c>
      <c r="I2323">
        <v>278</v>
      </c>
      <c r="J2323">
        <v>295</v>
      </c>
      <c r="K2323">
        <v>371</v>
      </c>
      <c r="L2323">
        <v>231</v>
      </c>
      <c r="M2323">
        <v>771</v>
      </c>
      <c r="N2323">
        <v>126</v>
      </c>
      <c r="O2323" t="s">
        <v>1662</v>
      </c>
      <c r="P2323" s="1" t="b">
        <f>NOT(OR(Table1[[#This Row],[State]]="Other Foreign Countries", Table1[[#This Row],[State]]="Unknown", Table1[[#This Row],[State]]="Puerto Rico all counties"))</f>
        <v>1</v>
      </c>
    </row>
    <row r="2324" spans="1:16" x14ac:dyDescent="0.25">
      <c r="A2324">
        <v>40125</v>
      </c>
      <c r="B2324" t="s">
        <v>3495</v>
      </c>
      <c r="C2324" t="s">
        <v>1661</v>
      </c>
      <c r="D2324">
        <v>2516</v>
      </c>
      <c r="E2324">
        <v>423</v>
      </c>
      <c r="F2324">
        <v>197</v>
      </c>
      <c r="G2324">
        <v>268</v>
      </c>
      <c r="H2324">
        <v>861</v>
      </c>
      <c r="I2324">
        <v>767</v>
      </c>
      <c r="J2324">
        <v>670</v>
      </c>
      <c r="K2324">
        <v>811</v>
      </c>
      <c r="L2324" s="1">
        <v>1035</v>
      </c>
      <c r="M2324" s="1">
        <v>2275</v>
      </c>
      <c r="N2324">
        <v>239</v>
      </c>
      <c r="O2324" t="s">
        <v>3588</v>
      </c>
      <c r="P2324" s="1" t="b">
        <f>NOT(OR(Table1[[#This Row],[State]]="Other Foreign Countries", Table1[[#This Row],[State]]="Unknown", Table1[[#This Row],[State]]="Puerto Rico all counties"))</f>
        <v>1</v>
      </c>
    </row>
    <row r="2325" spans="1:16" x14ac:dyDescent="0.25">
      <c r="A2325">
        <v>19155</v>
      </c>
      <c r="B2325" t="s">
        <v>1399</v>
      </c>
      <c r="C2325" t="s">
        <v>1510</v>
      </c>
      <c r="D2325">
        <v>2274</v>
      </c>
      <c r="E2325">
        <v>697</v>
      </c>
      <c r="F2325">
        <v>298</v>
      </c>
      <c r="G2325">
        <v>341</v>
      </c>
      <c r="H2325">
        <v>535</v>
      </c>
      <c r="I2325">
        <v>403</v>
      </c>
      <c r="J2325">
        <v>510</v>
      </c>
      <c r="K2325">
        <v>629</v>
      </c>
      <c r="L2325" s="1">
        <v>1135</v>
      </c>
      <c r="M2325" s="1">
        <v>2097</v>
      </c>
      <c r="N2325">
        <v>177</v>
      </c>
      <c r="O2325" t="s">
        <v>1511</v>
      </c>
      <c r="P2325" s="1" t="b">
        <f>NOT(OR(Table1[[#This Row],[State]]="Other Foreign Countries", Table1[[#This Row],[State]]="Unknown", Table1[[#This Row],[State]]="Puerto Rico all counties"))</f>
        <v>1</v>
      </c>
    </row>
    <row r="2326" spans="1:16" x14ac:dyDescent="0.25">
      <c r="A2326">
        <v>42105</v>
      </c>
      <c r="B2326" t="s">
        <v>3665</v>
      </c>
      <c r="C2326" t="s">
        <v>3743</v>
      </c>
      <c r="D2326">
        <v>436</v>
      </c>
      <c r="E2326">
        <v>111</v>
      </c>
      <c r="F2326">
        <v>42</v>
      </c>
      <c r="G2326">
        <v>58</v>
      </c>
      <c r="H2326">
        <v>122</v>
      </c>
      <c r="I2326">
        <v>103</v>
      </c>
      <c r="J2326">
        <v>67</v>
      </c>
      <c r="K2326">
        <v>125</v>
      </c>
      <c r="L2326">
        <v>244</v>
      </c>
      <c r="M2326">
        <v>410</v>
      </c>
      <c r="N2326">
        <v>26</v>
      </c>
      <c r="O2326" t="s">
        <v>3744</v>
      </c>
      <c r="P2326" s="1" t="b">
        <f>NOT(OR(Table1[[#This Row],[State]]="Other Foreign Countries", Table1[[#This Row],[State]]="Unknown", Table1[[#This Row],[State]]="Puerto Rico all counties"))</f>
        <v>1</v>
      </c>
    </row>
    <row r="2327" spans="1:16" x14ac:dyDescent="0.25">
      <c r="A2327">
        <v>46107</v>
      </c>
      <c r="B2327" t="s">
        <v>3846</v>
      </c>
      <c r="C2327" t="s">
        <v>3743</v>
      </c>
      <c r="D2327">
        <v>41</v>
      </c>
      <c r="E2327">
        <v>12</v>
      </c>
      <c r="F2327">
        <v>11</v>
      </c>
      <c r="L2327">
        <v>30</v>
      </c>
      <c r="O2327" t="s">
        <v>3929</v>
      </c>
      <c r="P2327" s="1" t="b">
        <f>NOT(OR(Table1[[#This Row],[State]]="Other Foreign Countries", Table1[[#This Row],[State]]="Unknown", Table1[[#This Row],[State]]="Puerto Rico all counties"))</f>
        <v>1</v>
      </c>
    </row>
    <row r="2328" spans="1:16" x14ac:dyDescent="0.25">
      <c r="A2328">
        <v>48375</v>
      </c>
      <c r="B2328" t="s">
        <v>2654</v>
      </c>
      <c r="C2328" t="s">
        <v>3743</v>
      </c>
      <c r="D2328">
        <v>1972</v>
      </c>
      <c r="E2328">
        <v>422</v>
      </c>
      <c r="F2328">
        <v>199</v>
      </c>
      <c r="G2328">
        <v>248</v>
      </c>
      <c r="H2328">
        <v>556</v>
      </c>
      <c r="I2328">
        <v>547</v>
      </c>
      <c r="J2328">
        <v>522</v>
      </c>
      <c r="K2328">
        <v>627</v>
      </c>
      <c r="L2328">
        <v>823</v>
      </c>
      <c r="M2328" s="1">
        <v>1804</v>
      </c>
      <c r="N2328">
        <v>168</v>
      </c>
      <c r="O2328" t="s">
        <v>4372</v>
      </c>
      <c r="P2328" s="1" t="b">
        <f>NOT(OR(Table1[[#This Row],[State]]="Other Foreign Countries", Table1[[#This Row],[State]]="Unknown", Table1[[#This Row],[State]]="Puerto Rico all counties"))</f>
        <v>1</v>
      </c>
    </row>
    <row r="2329" spans="1:16" x14ac:dyDescent="0.25">
      <c r="A2329">
        <v>30075</v>
      </c>
      <c r="B2329" t="s">
        <v>2665</v>
      </c>
      <c r="C2329" t="s">
        <v>2726</v>
      </c>
      <c r="D2329">
        <v>31</v>
      </c>
      <c r="H2329">
        <v>13</v>
      </c>
      <c r="L2329">
        <v>14</v>
      </c>
      <c r="O2329" t="s">
        <v>2727</v>
      </c>
      <c r="P2329" s="1" t="b">
        <f>NOT(OR(Table1[[#This Row],[State]]="Other Foreign Countries", Table1[[#This Row],[State]]="Unknown", Table1[[#This Row],[State]]="Puerto Rico all counties"))</f>
        <v>1</v>
      </c>
    </row>
    <row r="2330" spans="1:16" x14ac:dyDescent="0.25">
      <c r="A2330">
        <v>21197</v>
      </c>
      <c r="B2330" t="s">
        <v>1716</v>
      </c>
      <c r="C2330" t="s">
        <v>1861</v>
      </c>
      <c r="D2330">
        <v>241</v>
      </c>
      <c r="E2330">
        <v>48</v>
      </c>
      <c r="F2330">
        <v>26</v>
      </c>
      <c r="G2330">
        <v>27</v>
      </c>
      <c r="H2330">
        <v>77</v>
      </c>
      <c r="I2330">
        <v>63</v>
      </c>
      <c r="J2330">
        <v>58</v>
      </c>
      <c r="K2330">
        <v>77</v>
      </c>
      <c r="L2330">
        <v>106</v>
      </c>
      <c r="M2330">
        <v>229</v>
      </c>
      <c r="N2330">
        <v>12</v>
      </c>
      <c r="O2330" t="s">
        <v>1862</v>
      </c>
      <c r="P2330" s="1" t="b">
        <f>NOT(OR(Table1[[#This Row],[State]]="Other Foreign Countries", Table1[[#This Row],[State]]="Unknown", Table1[[#This Row],[State]]="Puerto Rico all counties"))</f>
        <v>1</v>
      </c>
    </row>
    <row r="2331" spans="1:16" x14ac:dyDescent="0.25">
      <c r="A2331">
        <v>30077</v>
      </c>
      <c r="B2331" t="s">
        <v>2665</v>
      </c>
      <c r="C2331" t="s">
        <v>1861</v>
      </c>
      <c r="D2331">
        <v>224</v>
      </c>
      <c r="E2331">
        <v>53</v>
      </c>
      <c r="F2331">
        <v>29</v>
      </c>
      <c r="G2331">
        <v>33</v>
      </c>
      <c r="H2331">
        <v>59</v>
      </c>
      <c r="I2331">
        <v>50</v>
      </c>
      <c r="J2331">
        <v>45</v>
      </c>
      <c r="K2331">
        <v>82</v>
      </c>
      <c r="L2331">
        <v>97</v>
      </c>
      <c r="M2331">
        <v>200</v>
      </c>
      <c r="N2331">
        <v>24</v>
      </c>
      <c r="O2331" t="s">
        <v>2728</v>
      </c>
      <c r="P2331" s="1" t="b">
        <f>NOT(OR(Table1[[#This Row],[State]]="Other Foreign Countries", Table1[[#This Row],[State]]="Unknown", Table1[[#This Row],[State]]="Puerto Rico all counties"))</f>
        <v>1</v>
      </c>
    </row>
    <row r="2332" spans="1:16" x14ac:dyDescent="0.25">
      <c r="A2332">
        <v>16077</v>
      </c>
      <c r="B2332" t="s">
        <v>1032</v>
      </c>
      <c r="C2332" t="s">
        <v>1098</v>
      </c>
      <c r="D2332">
        <v>113</v>
      </c>
      <c r="E2332">
        <v>36</v>
      </c>
      <c r="H2332">
        <v>29</v>
      </c>
      <c r="I2332">
        <v>27</v>
      </c>
      <c r="J2332">
        <v>28</v>
      </c>
      <c r="K2332">
        <v>29</v>
      </c>
      <c r="L2332">
        <v>56</v>
      </c>
      <c r="M2332">
        <v>97</v>
      </c>
      <c r="N2332">
        <v>16</v>
      </c>
      <c r="O2332" t="s">
        <v>1099</v>
      </c>
      <c r="P2332" s="1" t="b">
        <f>NOT(OR(Table1[[#This Row],[State]]="Other Foreign Countries", Table1[[#This Row],[State]]="Unknown", Table1[[#This Row],[State]]="Puerto Rico all counties"))</f>
        <v>1</v>
      </c>
    </row>
    <row r="2333" spans="1:16" x14ac:dyDescent="0.25">
      <c r="A2333">
        <v>19157</v>
      </c>
      <c r="B2333" t="s">
        <v>1399</v>
      </c>
      <c r="C2333" t="s">
        <v>1512</v>
      </c>
      <c r="D2333">
        <v>291</v>
      </c>
      <c r="E2333">
        <v>80</v>
      </c>
      <c r="F2333">
        <v>35</v>
      </c>
      <c r="G2333">
        <v>45</v>
      </c>
      <c r="H2333">
        <v>80</v>
      </c>
      <c r="I2333">
        <v>51</v>
      </c>
      <c r="J2333">
        <v>48</v>
      </c>
      <c r="K2333">
        <v>78</v>
      </c>
      <c r="L2333">
        <v>165</v>
      </c>
      <c r="M2333">
        <v>275</v>
      </c>
      <c r="N2333">
        <v>16</v>
      </c>
      <c r="O2333" t="s">
        <v>1513</v>
      </c>
      <c r="P2333" s="1" t="b">
        <f>NOT(OR(Table1[[#This Row],[State]]="Other Foreign Countries", Table1[[#This Row],[State]]="Unknown", Table1[[#This Row],[State]]="Puerto Rico all counties"))</f>
        <v>1</v>
      </c>
    </row>
    <row r="2334" spans="1:16" x14ac:dyDescent="0.25">
      <c r="A2334">
        <v>51145</v>
      </c>
      <c r="B2334" t="s">
        <v>4555</v>
      </c>
      <c r="C2334" t="s">
        <v>4658</v>
      </c>
      <c r="D2334">
        <v>708</v>
      </c>
      <c r="E2334">
        <v>111</v>
      </c>
      <c r="F2334">
        <v>77</v>
      </c>
      <c r="G2334">
        <v>76</v>
      </c>
      <c r="H2334">
        <v>218</v>
      </c>
      <c r="I2334">
        <v>226</v>
      </c>
      <c r="J2334">
        <v>192</v>
      </c>
      <c r="K2334">
        <v>268</v>
      </c>
      <c r="L2334">
        <v>248</v>
      </c>
      <c r="M2334">
        <v>638</v>
      </c>
      <c r="N2334">
        <v>70</v>
      </c>
      <c r="O2334" t="s">
        <v>4659</v>
      </c>
      <c r="P2334" s="1" t="b">
        <f>NOT(OR(Table1[[#This Row],[State]]="Other Foreign Countries", Table1[[#This Row],[State]]="Unknown", Table1[[#This Row],[State]]="Puerto Rico all counties"))</f>
        <v>1</v>
      </c>
    </row>
    <row r="2335" spans="1:16" x14ac:dyDescent="0.25">
      <c r="A2335">
        <v>5117</v>
      </c>
      <c r="B2335" t="s">
        <v>242</v>
      </c>
      <c r="C2335" t="s">
        <v>342</v>
      </c>
      <c r="D2335">
        <v>161</v>
      </c>
      <c r="E2335">
        <v>31</v>
      </c>
      <c r="F2335">
        <v>15</v>
      </c>
      <c r="G2335">
        <v>15</v>
      </c>
      <c r="H2335">
        <v>53</v>
      </c>
      <c r="I2335">
        <v>47</v>
      </c>
      <c r="J2335">
        <v>24</v>
      </c>
      <c r="K2335">
        <v>56</v>
      </c>
      <c r="L2335">
        <v>81</v>
      </c>
      <c r="M2335">
        <v>150</v>
      </c>
      <c r="N2335">
        <v>11</v>
      </c>
      <c r="O2335" t="s">
        <v>343</v>
      </c>
      <c r="P2335" s="1" t="b">
        <f>NOT(OR(Table1[[#This Row],[State]]="Other Foreign Countries", Table1[[#This Row],[State]]="Unknown", Table1[[#This Row],[State]]="Puerto Rico all counties"))</f>
        <v>1</v>
      </c>
    </row>
    <row r="2336" spans="1:16" x14ac:dyDescent="0.25">
      <c r="A2336">
        <v>30079</v>
      </c>
      <c r="B2336" t="s">
        <v>2665</v>
      </c>
      <c r="C2336" t="s">
        <v>342</v>
      </c>
      <c r="D2336">
        <v>48</v>
      </c>
      <c r="E2336">
        <v>14</v>
      </c>
      <c r="H2336">
        <v>12</v>
      </c>
      <c r="I2336">
        <v>10</v>
      </c>
      <c r="L2336">
        <v>26</v>
      </c>
      <c r="O2336" t="s">
        <v>2729</v>
      </c>
      <c r="P2336" s="1" t="b">
        <f>NOT(OR(Table1[[#This Row],[State]]="Other Foreign Countries", Table1[[#This Row],[State]]="Unknown", Table1[[#This Row],[State]]="Puerto Rico all counties"))</f>
        <v>1</v>
      </c>
    </row>
    <row r="2337" spans="1:16" x14ac:dyDescent="0.25">
      <c r="A2337">
        <v>20151</v>
      </c>
      <c r="B2337" t="s">
        <v>1543</v>
      </c>
      <c r="C2337" t="s">
        <v>1663</v>
      </c>
      <c r="D2337">
        <v>117</v>
      </c>
      <c r="E2337">
        <v>23</v>
      </c>
      <c r="F2337">
        <v>17</v>
      </c>
      <c r="G2337">
        <v>19</v>
      </c>
      <c r="H2337">
        <v>39</v>
      </c>
      <c r="I2337">
        <v>19</v>
      </c>
      <c r="J2337">
        <v>37</v>
      </c>
      <c r="K2337">
        <v>36</v>
      </c>
      <c r="L2337">
        <v>44</v>
      </c>
      <c r="M2337">
        <v>103</v>
      </c>
      <c r="N2337">
        <v>14</v>
      </c>
      <c r="O2337" t="s">
        <v>1664</v>
      </c>
      <c r="P2337" s="1" t="b">
        <f>NOT(OR(Table1[[#This Row],[State]]="Other Foreign Countries", Table1[[#This Row],[State]]="Unknown", Table1[[#This Row],[State]]="Puerto Rico all counties"))</f>
        <v>1</v>
      </c>
    </row>
    <row r="2338" spans="1:16" x14ac:dyDescent="0.25">
      <c r="A2338">
        <v>39135</v>
      </c>
      <c r="B2338" t="s">
        <v>1343</v>
      </c>
      <c r="C2338" t="s">
        <v>3464</v>
      </c>
      <c r="D2338">
        <v>818</v>
      </c>
      <c r="E2338">
        <v>196</v>
      </c>
      <c r="F2338">
        <v>94</v>
      </c>
      <c r="G2338">
        <v>105</v>
      </c>
      <c r="H2338">
        <v>247</v>
      </c>
      <c r="I2338">
        <v>176</v>
      </c>
      <c r="J2338">
        <v>212</v>
      </c>
      <c r="K2338">
        <v>206</v>
      </c>
      <c r="L2338">
        <v>400</v>
      </c>
      <c r="M2338">
        <v>754</v>
      </c>
      <c r="N2338">
        <v>64</v>
      </c>
      <c r="O2338" t="s">
        <v>3465</v>
      </c>
      <c r="P2338" s="1" t="b">
        <f>NOT(OR(Table1[[#This Row],[State]]="Other Foreign Countries", Table1[[#This Row],[State]]="Unknown", Table1[[#This Row],[State]]="Puerto Rico all counties"))</f>
        <v>1</v>
      </c>
    </row>
    <row r="2339" spans="1:16" x14ac:dyDescent="0.25">
      <c r="A2339">
        <v>28117</v>
      </c>
      <c r="B2339" t="s">
        <v>322</v>
      </c>
      <c r="C2339" t="s">
        <v>2474</v>
      </c>
      <c r="D2339">
        <v>350</v>
      </c>
      <c r="E2339">
        <v>57</v>
      </c>
      <c r="F2339">
        <v>39</v>
      </c>
      <c r="G2339">
        <v>36</v>
      </c>
      <c r="H2339">
        <v>125</v>
      </c>
      <c r="I2339">
        <v>93</v>
      </c>
      <c r="J2339">
        <v>96</v>
      </c>
      <c r="K2339">
        <v>114</v>
      </c>
      <c r="L2339">
        <v>140</v>
      </c>
      <c r="M2339">
        <v>322</v>
      </c>
      <c r="N2339">
        <v>28</v>
      </c>
      <c r="O2339" t="s">
        <v>2475</v>
      </c>
      <c r="P2339" s="1" t="b">
        <f>NOT(OR(Table1[[#This Row],[State]]="Other Foreign Countries", Table1[[#This Row],[State]]="Unknown", Table1[[#This Row],[State]]="Puerto Rico all counties"))</f>
        <v>1</v>
      </c>
    </row>
    <row r="2340" spans="1:16" x14ac:dyDescent="0.25">
      <c r="A2340">
        <v>48377</v>
      </c>
      <c r="B2340" t="s">
        <v>2654</v>
      </c>
      <c r="C2340" t="s">
        <v>4373</v>
      </c>
      <c r="D2340">
        <v>52</v>
      </c>
      <c r="E2340">
        <v>13</v>
      </c>
      <c r="H2340">
        <v>19</v>
      </c>
      <c r="J2340">
        <v>14</v>
      </c>
      <c r="K2340">
        <v>19</v>
      </c>
      <c r="L2340">
        <v>19</v>
      </c>
      <c r="O2340" t="s">
        <v>4374</v>
      </c>
      <c r="P2340" s="1" t="b">
        <f>NOT(OR(Table1[[#This Row],[State]]="Other Foreign Countries", Table1[[#This Row],[State]]="Unknown", Table1[[#This Row],[State]]="Puerto Rico all counties"))</f>
        <v>1</v>
      </c>
    </row>
    <row r="2341" spans="1:16" x14ac:dyDescent="0.25">
      <c r="A2341">
        <v>26141</v>
      </c>
      <c r="B2341" t="s">
        <v>2099</v>
      </c>
      <c r="C2341" t="s">
        <v>2223</v>
      </c>
      <c r="D2341">
        <v>425</v>
      </c>
      <c r="E2341">
        <v>128</v>
      </c>
      <c r="F2341">
        <v>53</v>
      </c>
      <c r="G2341">
        <v>54</v>
      </c>
      <c r="H2341">
        <v>96</v>
      </c>
      <c r="I2341">
        <v>94</v>
      </c>
      <c r="J2341">
        <v>51</v>
      </c>
      <c r="K2341">
        <v>102</v>
      </c>
      <c r="L2341">
        <v>272</v>
      </c>
      <c r="M2341">
        <v>394</v>
      </c>
      <c r="N2341">
        <v>31</v>
      </c>
      <c r="O2341" t="s">
        <v>2224</v>
      </c>
      <c r="P2341" s="1" t="b">
        <f>NOT(OR(Table1[[#This Row],[State]]="Other Foreign Countries", Table1[[#This Row],[State]]="Unknown", Table1[[#This Row],[State]]="Puerto Rico all counties"))</f>
        <v>1</v>
      </c>
    </row>
    <row r="2342" spans="1:16" x14ac:dyDescent="0.25">
      <c r="A2342">
        <v>54077</v>
      </c>
      <c r="B2342" t="s">
        <v>4833</v>
      </c>
      <c r="C2342" t="s">
        <v>4882</v>
      </c>
      <c r="D2342">
        <v>787</v>
      </c>
      <c r="E2342">
        <v>134</v>
      </c>
      <c r="F2342">
        <v>80</v>
      </c>
      <c r="G2342">
        <v>97</v>
      </c>
      <c r="H2342">
        <v>263</v>
      </c>
      <c r="I2342">
        <v>213</v>
      </c>
      <c r="J2342">
        <v>156</v>
      </c>
      <c r="K2342">
        <v>292</v>
      </c>
      <c r="L2342">
        <v>339</v>
      </c>
      <c r="M2342">
        <v>726</v>
      </c>
      <c r="N2342">
        <v>61</v>
      </c>
      <c r="O2342" t="s">
        <v>4883</v>
      </c>
      <c r="P2342" s="1" t="b">
        <f>NOT(OR(Table1[[#This Row],[State]]="Other Foreign Countries", Table1[[#This Row],[State]]="Unknown", Table1[[#This Row],[State]]="Puerto Rico all counties"))</f>
        <v>1</v>
      </c>
    </row>
    <row r="2343" spans="1:16" x14ac:dyDescent="0.25">
      <c r="A2343">
        <v>55099</v>
      </c>
      <c r="B2343" t="s">
        <v>4906</v>
      </c>
      <c r="C2343" t="s">
        <v>4978</v>
      </c>
      <c r="D2343">
        <v>486</v>
      </c>
      <c r="E2343">
        <v>153</v>
      </c>
      <c r="F2343">
        <v>58</v>
      </c>
      <c r="G2343">
        <v>65</v>
      </c>
      <c r="H2343">
        <v>116</v>
      </c>
      <c r="I2343">
        <v>94</v>
      </c>
      <c r="J2343">
        <v>67</v>
      </c>
      <c r="K2343">
        <v>162</v>
      </c>
      <c r="L2343">
        <v>257</v>
      </c>
      <c r="M2343">
        <v>451</v>
      </c>
      <c r="N2343">
        <v>35</v>
      </c>
      <c r="O2343" t="s">
        <v>4979</v>
      </c>
      <c r="P2343" s="1" t="b">
        <f>NOT(OR(Table1[[#This Row],[State]]="Other Foreign Countries", Table1[[#This Row],[State]]="Unknown", Table1[[#This Row],[State]]="Puerto Rico all counties"))</f>
        <v>1</v>
      </c>
    </row>
    <row r="2344" spans="1:16" x14ac:dyDescent="0.25">
      <c r="A2344">
        <v>51147</v>
      </c>
      <c r="B2344" t="s">
        <v>4555</v>
      </c>
      <c r="C2344" t="s">
        <v>4660</v>
      </c>
      <c r="D2344">
        <v>521</v>
      </c>
      <c r="E2344">
        <v>111</v>
      </c>
      <c r="F2344">
        <v>69</v>
      </c>
      <c r="G2344">
        <v>54</v>
      </c>
      <c r="H2344">
        <v>150</v>
      </c>
      <c r="I2344">
        <v>137</v>
      </c>
      <c r="J2344">
        <v>112</v>
      </c>
      <c r="K2344">
        <v>158</v>
      </c>
      <c r="L2344">
        <v>251</v>
      </c>
      <c r="M2344">
        <v>468</v>
      </c>
      <c r="N2344">
        <v>53</v>
      </c>
      <c r="O2344" t="s">
        <v>4661</v>
      </c>
      <c r="P2344" s="1" t="b">
        <f>NOT(OR(Table1[[#This Row],[State]]="Other Foreign Countries", Table1[[#This Row],[State]]="Unknown", Table1[[#This Row],[State]]="Puerto Rico all counties"))</f>
        <v>1</v>
      </c>
    </row>
    <row r="2345" spans="1:16" x14ac:dyDescent="0.25">
      <c r="A2345">
        <v>51149</v>
      </c>
      <c r="B2345" t="s">
        <v>4555</v>
      </c>
      <c r="C2345" t="s">
        <v>4662</v>
      </c>
      <c r="D2345">
        <v>2108</v>
      </c>
      <c r="E2345">
        <v>265</v>
      </c>
      <c r="F2345">
        <v>168</v>
      </c>
      <c r="G2345">
        <v>224</v>
      </c>
      <c r="H2345">
        <v>602</v>
      </c>
      <c r="I2345">
        <v>849</v>
      </c>
      <c r="J2345">
        <v>533</v>
      </c>
      <c r="K2345">
        <v>879</v>
      </c>
      <c r="L2345">
        <v>696</v>
      </c>
      <c r="M2345" s="1">
        <v>1637</v>
      </c>
      <c r="N2345">
        <v>471</v>
      </c>
      <c r="O2345" t="s">
        <v>4663</v>
      </c>
      <c r="P2345" s="1" t="b">
        <f>NOT(OR(Table1[[#This Row],[State]]="Other Foreign Countries", Table1[[#This Row],[State]]="Unknown", Table1[[#This Row],[State]]="Puerto Rico all counties"))</f>
        <v>1</v>
      </c>
    </row>
    <row r="2346" spans="1:16" x14ac:dyDescent="0.25">
      <c r="A2346">
        <v>24033</v>
      </c>
      <c r="B2346" t="s">
        <v>2031</v>
      </c>
      <c r="C2346" t="s">
        <v>2058</v>
      </c>
      <c r="D2346">
        <v>22973</v>
      </c>
      <c r="E2346" s="1">
        <v>3058</v>
      </c>
      <c r="F2346" s="1">
        <v>2000</v>
      </c>
      <c r="G2346" s="1">
        <v>2345</v>
      </c>
      <c r="H2346" s="1">
        <v>6389</v>
      </c>
      <c r="I2346" s="1">
        <v>9181</v>
      </c>
      <c r="J2346" s="1">
        <v>5427</v>
      </c>
      <c r="K2346" s="1">
        <v>9903</v>
      </c>
      <c r="L2346" s="1">
        <v>7643</v>
      </c>
      <c r="M2346" s="1">
        <v>17414</v>
      </c>
      <c r="N2346" s="1">
        <v>5555</v>
      </c>
      <c r="O2346" t="s">
        <v>2059</v>
      </c>
      <c r="P2346" s="1" t="b">
        <f>NOT(OR(Table1[[#This Row],[State]]="Other Foreign Countries", Table1[[#This Row],[State]]="Unknown", Table1[[#This Row],[State]]="Puerto Rico all counties"))</f>
        <v>1</v>
      </c>
    </row>
    <row r="2347" spans="1:16" x14ac:dyDescent="0.25">
      <c r="A2347">
        <v>2198</v>
      </c>
      <c r="B2347" t="s">
        <v>150</v>
      </c>
      <c r="C2347" t="s">
        <v>197</v>
      </c>
      <c r="D2347">
        <v>145</v>
      </c>
      <c r="E2347">
        <v>48</v>
      </c>
      <c r="F2347">
        <v>17</v>
      </c>
      <c r="G2347">
        <v>13</v>
      </c>
      <c r="H2347">
        <v>37</v>
      </c>
      <c r="I2347">
        <v>30</v>
      </c>
      <c r="J2347">
        <v>30</v>
      </c>
      <c r="K2347">
        <v>41</v>
      </c>
      <c r="L2347">
        <v>74</v>
      </c>
      <c r="M2347">
        <v>135</v>
      </c>
      <c r="N2347">
        <v>10</v>
      </c>
      <c r="O2347" t="s">
        <v>198</v>
      </c>
      <c r="P2347" s="1" t="b">
        <f>NOT(OR(Table1[[#This Row],[State]]="Other Foreign Countries", Table1[[#This Row],[State]]="Unknown", Table1[[#This Row],[State]]="Puerto Rico all counties"))</f>
        <v>1</v>
      </c>
    </row>
    <row r="2348" spans="1:16" x14ac:dyDescent="0.25">
      <c r="A2348">
        <v>51153</v>
      </c>
      <c r="B2348" t="s">
        <v>4555</v>
      </c>
      <c r="C2348" t="s">
        <v>4664</v>
      </c>
      <c r="D2348">
        <v>19016</v>
      </c>
      <c r="E2348" s="1">
        <v>2536</v>
      </c>
      <c r="F2348" s="1">
        <v>1911</v>
      </c>
      <c r="G2348" s="1">
        <v>1994</v>
      </c>
      <c r="H2348" s="1">
        <v>5088</v>
      </c>
      <c r="I2348" s="1">
        <v>7487</v>
      </c>
      <c r="J2348" s="1">
        <v>5162</v>
      </c>
      <c r="K2348" s="1">
        <v>9600</v>
      </c>
      <c r="L2348" s="1">
        <v>4254</v>
      </c>
      <c r="M2348" s="1">
        <v>14959</v>
      </c>
      <c r="N2348" s="1">
        <v>4056</v>
      </c>
      <c r="O2348" t="s">
        <v>4665</v>
      </c>
      <c r="P2348" s="1" t="b">
        <f>NOT(OR(Table1[[#This Row],[State]]="Other Foreign Countries", Table1[[#This Row],[State]]="Unknown", Table1[[#This Row],[State]]="Puerto Rico all counties"))</f>
        <v>1</v>
      </c>
    </row>
    <row r="2349" spans="1:16" x14ac:dyDescent="0.25">
      <c r="A2349">
        <v>44007</v>
      </c>
      <c r="B2349" t="s">
        <v>3764</v>
      </c>
      <c r="C2349" t="s">
        <v>3769</v>
      </c>
      <c r="D2349">
        <v>7775</v>
      </c>
      <c r="E2349" s="1">
        <v>1909</v>
      </c>
      <c r="F2349">
        <v>937</v>
      </c>
      <c r="G2349" s="1">
        <v>1046</v>
      </c>
      <c r="H2349" s="1">
        <v>2224</v>
      </c>
      <c r="I2349" s="1">
        <v>1659</v>
      </c>
      <c r="J2349" s="1">
        <v>2281</v>
      </c>
      <c r="K2349" s="1">
        <v>1973</v>
      </c>
      <c r="L2349" s="1">
        <v>3521</v>
      </c>
      <c r="M2349" s="1">
        <v>7110</v>
      </c>
      <c r="N2349">
        <v>665</v>
      </c>
      <c r="O2349" t="s">
        <v>3770</v>
      </c>
      <c r="P2349" s="1" t="b">
        <f>NOT(OR(Table1[[#This Row],[State]]="Other Foreign Countries", Table1[[#This Row],[State]]="Unknown", Table1[[#This Row],[State]]="Puerto Rico all counties"))</f>
        <v>1</v>
      </c>
    </row>
    <row r="2350" spans="1:16" x14ac:dyDescent="0.25">
      <c r="A2350">
        <v>8099</v>
      </c>
      <c r="B2350" t="s">
        <v>489</v>
      </c>
      <c r="C2350" t="s">
        <v>583</v>
      </c>
      <c r="D2350">
        <v>220</v>
      </c>
      <c r="E2350">
        <v>73</v>
      </c>
      <c r="F2350">
        <v>20</v>
      </c>
      <c r="G2350">
        <v>22</v>
      </c>
      <c r="H2350">
        <v>55</v>
      </c>
      <c r="I2350">
        <v>50</v>
      </c>
      <c r="J2350">
        <v>37</v>
      </c>
      <c r="K2350">
        <v>54</v>
      </c>
      <c r="L2350">
        <v>129</v>
      </c>
      <c r="O2350" t="s">
        <v>584</v>
      </c>
      <c r="P2350" s="1" t="b">
        <f>NOT(OR(Table1[[#This Row],[State]]="Other Foreign Countries", Table1[[#This Row],[State]]="Unknown", Table1[[#This Row],[State]]="Puerto Rico all counties"))</f>
        <v>1</v>
      </c>
    </row>
    <row r="2351" spans="1:16" x14ac:dyDescent="0.25">
      <c r="A2351">
        <v>8101</v>
      </c>
      <c r="B2351" t="s">
        <v>489</v>
      </c>
      <c r="C2351" t="s">
        <v>585</v>
      </c>
      <c r="D2351">
        <v>5446</v>
      </c>
      <c r="E2351">
        <v>881</v>
      </c>
      <c r="F2351">
        <v>522</v>
      </c>
      <c r="G2351">
        <v>624</v>
      </c>
      <c r="H2351" s="1">
        <v>1735</v>
      </c>
      <c r="I2351" s="1">
        <v>1684</v>
      </c>
      <c r="J2351" s="1">
        <v>1627</v>
      </c>
      <c r="K2351" s="1">
        <v>1638</v>
      </c>
      <c r="L2351" s="1">
        <v>2181</v>
      </c>
      <c r="M2351" s="1">
        <v>4798</v>
      </c>
      <c r="N2351">
        <v>648</v>
      </c>
      <c r="O2351" t="s">
        <v>586</v>
      </c>
      <c r="P2351" s="1" t="b">
        <f>NOT(OR(Table1[[#This Row],[State]]="Other Foreign Countries", Table1[[#This Row],[State]]="Unknown", Table1[[#This Row],[State]]="Puerto Rico all counties"))</f>
        <v>1</v>
      </c>
    </row>
    <row r="2352" spans="1:16" x14ac:dyDescent="0.25">
      <c r="A2352">
        <v>72000</v>
      </c>
      <c r="B2352" t="s">
        <v>5047</v>
      </c>
      <c r="C2352" t="s">
        <v>5048</v>
      </c>
      <c r="D2352">
        <v>36399</v>
      </c>
      <c r="E2352" s="1">
        <v>4167</v>
      </c>
      <c r="F2352" s="1">
        <v>2334</v>
      </c>
      <c r="G2352" s="1">
        <v>3129</v>
      </c>
      <c r="H2352" s="1">
        <v>11619</v>
      </c>
      <c r="I2352" s="1">
        <v>15150</v>
      </c>
      <c r="J2352" s="1">
        <v>8176</v>
      </c>
      <c r="K2352" s="1">
        <v>10893</v>
      </c>
      <c r="L2352" s="1">
        <v>17330</v>
      </c>
      <c r="M2352" s="1">
        <v>33612</v>
      </c>
      <c r="N2352" s="1">
        <v>2781</v>
      </c>
      <c r="O2352" t="s">
        <v>5049</v>
      </c>
      <c r="P2352" s="1" t="b">
        <f>NOT(OR(Table1[[#This Row],[State]]="Other Foreign Countries", Table1[[#This Row],[State]]="Unknown", Table1[[#This Row],[State]]="Puerto Rico all counties"))</f>
        <v>1</v>
      </c>
    </row>
    <row r="2353" spans="1:16" x14ac:dyDescent="0.25">
      <c r="A2353">
        <v>5119</v>
      </c>
      <c r="B2353" t="s">
        <v>242</v>
      </c>
      <c r="C2353" t="s">
        <v>344</v>
      </c>
      <c r="D2353">
        <v>11096</v>
      </c>
      <c r="E2353" s="1">
        <v>1646</v>
      </c>
      <c r="F2353" s="1">
        <v>1130</v>
      </c>
      <c r="G2353" s="1">
        <v>1252</v>
      </c>
      <c r="H2353" s="1">
        <v>3632</v>
      </c>
      <c r="I2353" s="1">
        <v>3436</v>
      </c>
      <c r="J2353" s="1">
        <v>2591</v>
      </c>
      <c r="K2353" s="1">
        <v>4069</v>
      </c>
      <c r="L2353" s="1">
        <v>4436</v>
      </c>
      <c r="M2353" s="1">
        <v>9247</v>
      </c>
      <c r="N2353" s="1">
        <v>1846</v>
      </c>
      <c r="O2353" t="s">
        <v>345</v>
      </c>
      <c r="P2353" s="1" t="b">
        <f>NOT(OR(Table1[[#This Row],[State]]="Other Foreign Countries", Table1[[#This Row],[State]]="Unknown", Table1[[#This Row],[State]]="Puerto Rico all counties"))</f>
        <v>1</v>
      </c>
    </row>
    <row r="2354" spans="1:16" x14ac:dyDescent="0.25">
      <c r="A2354">
        <v>13235</v>
      </c>
      <c r="B2354" t="s">
        <v>754</v>
      </c>
      <c r="C2354" t="s">
        <v>344</v>
      </c>
      <c r="D2354">
        <v>286</v>
      </c>
      <c r="E2354">
        <v>46</v>
      </c>
      <c r="F2354">
        <v>25</v>
      </c>
      <c r="G2354">
        <v>29</v>
      </c>
      <c r="H2354">
        <v>92</v>
      </c>
      <c r="I2354">
        <v>94</v>
      </c>
      <c r="J2354">
        <v>63</v>
      </c>
      <c r="K2354">
        <v>113</v>
      </c>
      <c r="L2354">
        <v>110</v>
      </c>
      <c r="M2354">
        <v>247</v>
      </c>
      <c r="N2354">
        <v>39</v>
      </c>
      <c r="O2354" t="s">
        <v>946</v>
      </c>
      <c r="P2354" s="1" t="b">
        <f>NOT(OR(Table1[[#This Row],[State]]="Other Foreign Countries", Table1[[#This Row],[State]]="Unknown", Table1[[#This Row],[State]]="Puerto Rico all counties"))</f>
        <v>1</v>
      </c>
    </row>
    <row r="2355" spans="1:16" x14ac:dyDescent="0.25">
      <c r="A2355">
        <v>17153</v>
      </c>
      <c r="B2355" t="s">
        <v>1109</v>
      </c>
      <c r="C2355" t="s">
        <v>344</v>
      </c>
      <c r="D2355">
        <v>117</v>
      </c>
      <c r="E2355">
        <v>26</v>
      </c>
      <c r="H2355">
        <v>31</v>
      </c>
      <c r="I2355">
        <v>31</v>
      </c>
      <c r="J2355">
        <v>14</v>
      </c>
      <c r="K2355">
        <v>32</v>
      </c>
      <c r="L2355">
        <v>71</v>
      </c>
      <c r="O2355" t="s">
        <v>1226</v>
      </c>
      <c r="P2355" s="1" t="b">
        <f>NOT(OR(Table1[[#This Row],[State]]="Other Foreign Countries", Table1[[#This Row],[State]]="Unknown", Table1[[#This Row],[State]]="Puerto Rico all counties"))</f>
        <v>1</v>
      </c>
    </row>
    <row r="2356" spans="1:16" x14ac:dyDescent="0.25">
      <c r="A2356">
        <v>18131</v>
      </c>
      <c r="B2356" t="s">
        <v>1266</v>
      </c>
      <c r="C2356" t="s">
        <v>344</v>
      </c>
      <c r="D2356">
        <v>212</v>
      </c>
      <c r="E2356">
        <v>54</v>
      </c>
      <c r="F2356">
        <v>35</v>
      </c>
      <c r="G2356">
        <v>26</v>
      </c>
      <c r="H2356">
        <v>51</v>
      </c>
      <c r="I2356">
        <v>46</v>
      </c>
      <c r="J2356">
        <v>41</v>
      </c>
      <c r="K2356">
        <v>59</v>
      </c>
      <c r="L2356">
        <v>112</v>
      </c>
      <c r="M2356">
        <v>201</v>
      </c>
      <c r="N2356">
        <v>11</v>
      </c>
      <c r="O2356" t="s">
        <v>1356</v>
      </c>
      <c r="P2356" s="1" t="b">
        <f>NOT(OR(Table1[[#This Row],[State]]="Other Foreign Countries", Table1[[#This Row],[State]]="Unknown", Table1[[#This Row],[State]]="Puerto Rico all counties"))</f>
        <v>1</v>
      </c>
    </row>
    <row r="2357" spans="1:16" x14ac:dyDescent="0.25">
      <c r="A2357">
        <v>21199</v>
      </c>
      <c r="B2357" t="s">
        <v>1716</v>
      </c>
      <c r="C2357" t="s">
        <v>344</v>
      </c>
      <c r="D2357">
        <v>1565</v>
      </c>
      <c r="E2357">
        <v>287</v>
      </c>
      <c r="F2357">
        <v>164</v>
      </c>
      <c r="G2357">
        <v>193</v>
      </c>
      <c r="H2357">
        <v>513</v>
      </c>
      <c r="I2357">
        <v>408</v>
      </c>
      <c r="J2357">
        <v>364</v>
      </c>
      <c r="K2357">
        <v>499</v>
      </c>
      <c r="L2357">
        <v>702</v>
      </c>
      <c r="M2357" s="1">
        <v>1450</v>
      </c>
      <c r="N2357">
        <v>115</v>
      </c>
      <c r="O2357" t="s">
        <v>1863</v>
      </c>
      <c r="P2357" s="1" t="b">
        <f>NOT(OR(Table1[[#This Row],[State]]="Other Foreign Countries", Table1[[#This Row],[State]]="Unknown", Table1[[#This Row],[State]]="Puerto Rico all counties"))</f>
        <v>1</v>
      </c>
    </row>
    <row r="2358" spans="1:16" x14ac:dyDescent="0.25">
      <c r="A2358">
        <v>29169</v>
      </c>
      <c r="B2358" t="s">
        <v>2510</v>
      </c>
      <c r="C2358" t="s">
        <v>344</v>
      </c>
      <c r="D2358">
        <v>4979</v>
      </c>
      <c r="E2358">
        <v>514</v>
      </c>
      <c r="F2358">
        <v>375</v>
      </c>
      <c r="G2358">
        <v>456</v>
      </c>
      <c r="H2358" s="1">
        <v>1606</v>
      </c>
      <c r="I2358" s="1">
        <v>2028</v>
      </c>
      <c r="J2358" s="1">
        <v>1649</v>
      </c>
      <c r="K2358" s="1">
        <v>2140</v>
      </c>
      <c r="L2358" s="1">
        <v>1190</v>
      </c>
      <c r="M2358" s="1">
        <v>4073</v>
      </c>
      <c r="N2358">
        <v>905</v>
      </c>
      <c r="O2358" t="s">
        <v>2623</v>
      </c>
      <c r="P2358" s="1" t="b">
        <f>NOT(OR(Table1[[#This Row],[State]]="Other Foreign Countries", Table1[[#This Row],[State]]="Unknown", Table1[[#This Row],[State]]="Puerto Rico all counties"))</f>
        <v>1</v>
      </c>
    </row>
    <row r="2359" spans="1:16" x14ac:dyDescent="0.25">
      <c r="A2359">
        <v>51155</v>
      </c>
      <c r="B2359" t="s">
        <v>4555</v>
      </c>
      <c r="C2359" t="s">
        <v>344</v>
      </c>
      <c r="D2359">
        <v>667</v>
      </c>
      <c r="E2359">
        <v>133</v>
      </c>
      <c r="F2359">
        <v>87</v>
      </c>
      <c r="G2359">
        <v>97</v>
      </c>
      <c r="H2359">
        <v>202</v>
      </c>
      <c r="I2359">
        <v>148</v>
      </c>
      <c r="J2359">
        <v>138</v>
      </c>
      <c r="K2359">
        <v>202</v>
      </c>
      <c r="L2359">
        <v>327</v>
      </c>
      <c r="M2359">
        <v>613</v>
      </c>
      <c r="N2359">
        <v>54</v>
      </c>
      <c r="O2359" t="s">
        <v>4666</v>
      </c>
      <c r="P2359" s="1" t="b">
        <f>NOT(OR(Table1[[#This Row],[State]]="Other Foreign Countries", Table1[[#This Row],[State]]="Unknown", Table1[[#This Row],[State]]="Puerto Rico all counties"))</f>
        <v>1</v>
      </c>
    </row>
    <row r="2360" spans="1:16" x14ac:dyDescent="0.25">
      <c r="A2360">
        <v>40127</v>
      </c>
      <c r="B2360" t="s">
        <v>3495</v>
      </c>
      <c r="C2360" t="s">
        <v>3589</v>
      </c>
      <c r="D2360">
        <v>391</v>
      </c>
      <c r="E2360">
        <v>61</v>
      </c>
      <c r="F2360">
        <v>31</v>
      </c>
      <c r="G2360">
        <v>50</v>
      </c>
      <c r="H2360">
        <v>138</v>
      </c>
      <c r="I2360">
        <v>111</v>
      </c>
      <c r="J2360">
        <v>60</v>
      </c>
      <c r="K2360">
        <v>105</v>
      </c>
      <c r="L2360">
        <v>226</v>
      </c>
      <c r="M2360">
        <v>358</v>
      </c>
      <c r="N2360">
        <v>33</v>
      </c>
      <c r="O2360" t="s">
        <v>3590</v>
      </c>
      <c r="P2360" s="1" t="b">
        <f>NOT(OR(Table1[[#This Row],[State]]="Other Foreign Countries", Table1[[#This Row],[State]]="Unknown", Table1[[#This Row],[State]]="Puerto Rico all counties"))</f>
        <v>1</v>
      </c>
    </row>
    <row r="2361" spans="1:16" x14ac:dyDescent="0.25">
      <c r="A2361">
        <v>12107</v>
      </c>
      <c r="B2361" t="s">
        <v>637</v>
      </c>
      <c r="C2361" t="s">
        <v>729</v>
      </c>
      <c r="D2361">
        <v>2551</v>
      </c>
      <c r="E2361">
        <v>477</v>
      </c>
      <c r="F2361">
        <v>261</v>
      </c>
      <c r="G2361">
        <v>297</v>
      </c>
      <c r="H2361">
        <v>755</v>
      </c>
      <c r="I2361">
        <v>761</v>
      </c>
      <c r="J2361">
        <v>430</v>
      </c>
      <c r="K2361">
        <v>776</v>
      </c>
      <c r="L2361" s="1">
        <v>1345</v>
      </c>
      <c r="M2361" s="1">
        <v>2275</v>
      </c>
      <c r="N2361">
        <v>276</v>
      </c>
      <c r="O2361" t="s">
        <v>730</v>
      </c>
      <c r="P2361" s="1" t="b">
        <f>NOT(OR(Table1[[#This Row],[State]]="Other Foreign Countries", Table1[[#This Row],[State]]="Unknown", Table1[[#This Row],[State]]="Puerto Rico all counties"))</f>
        <v>1</v>
      </c>
    </row>
    <row r="2362" spans="1:16" x14ac:dyDescent="0.25">
      <c r="A2362">
        <v>13237</v>
      </c>
      <c r="B2362" t="s">
        <v>754</v>
      </c>
      <c r="C2362" t="s">
        <v>729</v>
      </c>
      <c r="D2362">
        <v>507</v>
      </c>
      <c r="E2362">
        <v>106</v>
      </c>
      <c r="F2362">
        <v>45</v>
      </c>
      <c r="G2362">
        <v>57</v>
      </c>
      <c r="H2362">
        <v>150</v>
      </c>
      <c r="I2362">
        <v>149</v>
      </c>
      <c r="J2362">
        <v>96</v>
      </c>
      <c r="K2362">
        <v>154</v>
      </c>
      <c r="L2362">
        <v>257</v>
      </c>
      <c r="M2362">
        <v>447</v>
      </c>
      <c r="N2362">
        <v>60</v>
      </c>
      <c r="O2362" t="s">
        <v>947</v>
      </c>
      <c r="P2362" s="1" t="b">
        <f>NOT(OR(Table1[[#This Row],[State]]="Other Foreign Countries", Table1[[#This Row],[State]]="Unknown", Table1[[#This Row],[State]]="Puerto Rico all counties"))</f>
        <v>1</v>
      </c>
    </row>
    <row r="2363" spans="1:16" x14ac:dyDescent="0.25">
      <c r="A2363">
        <v>17155</v>
      </c>
      <c r="B2363" t="s">
        <v>1109</v>
      </c>
      <c r="C2363" t="s">
        <v>729</v>
      </c>
      <c r="D2363">
        <v>80</v>
      </c>
      <c r="E2363">
        <v>17</v>
      </c>
      <c r="H2363">
        <v>26</v>
      </c>
      <c r="I2363">
        <v>17</v>
      </c>
      <c r="J2363">
        <v>22</v>
      </c>
      <c r="K2363">
        <v>19</v>
      </c>
      <c r="L2363">
        <v>39</v>
      </c>
      <c r="O2363" t="s">
        <v>1227</v>
      </c>
      <c r="P2363" s="1" t="b">
        <f>NOT(OR(Table1[[#This Row],[State]]="Other Foreign Countries", Table1[[#This Row],[State]]="Unknown", Table1[[#This Row],[State]]="Puerto Rico all counties"))</f>
        <v>1</v>
      </c>
    </row>
    <row r="2364" spans="1:16" x14ac:dyDescent="0.25">
      <c r="A2364">
        <v>18133</v>
      </c>
      <c r="B2364" t="s">
        <v>1266</v>
      </c>
      <c r="C2364" t="s">
        <v>729</v>
      </c>
      <c r="D2364">
        <v>775</v>
      </c>
      <c r="E2364">
        <v>226</v>
      </c>
      <c r="F2364">
        <v>94</v>
      </c>
      <c r="G2364">
        <v>94</v>
      </c>
      <c r="H2364">
        <v>200</v>
      </c>
      <c r="I2364">
        <v>161</v>
      </c>
      <c r="J2364">
        <v>209</v>
      </c>
      <c r="K2364">
        <v>230</v>
      </c>
      <c r="L2364">
        <v>336</v>
      </c>
      <c r="M2364">
        <v>708</v>
      </c>
      <c r="N2364">
        <v>67</v>
      </c>
      <c r="O2364" t="s">
        <v>1357</v>
      </c>
      <c r="P2364" s="1" t="b">
        <f>NOT(OR(Table1[[#This Row],[State]]="Other Foreign Countries", Table1[[#This Row],[State]]="Unknown", Table1[[#This Row],[State]]="Puerto Rico all counties"))</f>
        <v>1</v>
      </c>
    </row>
    <row r="2365" spans="1:16" x14ac:dyDescent="0.25">
      <c r="A2365">
        <v>29171</v>
      </c>
      <c r="B2365" t="s">
        <v>2510</v>
      </c>
      <c r="C2365" t="s">
        <v>729</v>
      </c>
      <c r="D2365">
        <v>85</v>
      </c>
      <c r="E2365">
        <v>21</v>
      </c>
      <c r="F2365">
        <v>11</v>
      </c>
      <c r="G2365">
        <v>16</v>
      </c>
      <c r="H2365">
        <v>24</v>
      </c>
      <c r="I2365">
        <v>13</v>
      </c>
      <c r="J2365">
        <v>14</v>
      </c>
      <c r="K2365">
        <v>23</v>
      </c>
      <c r="L2365">
        <v>48</v>
      </c>
      <c r="M2365">
        <v>75</v>
      </c>
      <c r="N2365">
        <v>10</v>
      </c>
      <c r="O2365" t="s">
        <v>2624</v>
      </c>
      <c r="P2365" s="1" t="b">
        <f>NOT(OR(Table1[[#This Row],[State]]="Other Foreign Countries", Table1[[#This Row],[State]]="Unknown", Table1[[#This Row],[State]]="Puerto Rico all counties"))</f>
        <v>1</v>
      </c>
    </row>
    <row r="2366" spans="1:16" x14ac:dyDescent="0.25">
      <c r="A2366">
        <v>36079</v>
      </c>
      <c r="B2366" t="s">
        <v>3029</v>
      </c>
      <c r="C2366" t="s">
        <v>729</v>
      </c>
      <c r="D2366">
        <v>1001</v>
      </c>
      <c r="E2366">
        <v>259</v>
      </c>
      <c r="F2366">
        <v>117</v>
      </c>
      <c r="G2366">
        <v>126</v>
      </c>
      <c r="H2366">
        <v>261</v>
      </c>
      <c r="I2366">
        <v>238</v>
      </c>
      <c r="J2366">
        <v>297</v>
      </c>
      <c r="K2366">
        <v>228</v>
      </c>
      <c r="L2366">
        <v>476</v>
      </c>
      <c r="M2366">
        <v>942</v>
      </c>
      <c r="N2366">
        <v>59</v>
      </c>
      <c r="O2366" t="s">
        <v>3084</v>
      </c>
      <c r="P2366" s="1" t="b">
        <f>NOT(OR(Table1[[#This Row],[State]]="Other Foreign Countries", Table1[[#This Row],[State]]="Unknown", Table1[[#This Row],[State]]="Puerto Rico all counties"))</f>
        <v>1</v>
      </c>
    </row>
    <row r="2367" spans="1:16" x14ac:dyDescent="0.25">
      <c r="A2367">
        <v>39137</v>
      </c>
      <c r="B2367" t="s">
        <v>1343</v>
      </c>
      <c r="C2367" t="s">
        <v>729</v>
      </c>
      <c r="D2367">
        <v>421</v>
      </c>
      <c r="E2367">
        <v>134</v>
      </c>
      <c r="F2367">
        <v>69</v>
      </c>
      <c r="G2367">
        <v>56</v>
      </c>
      <c r="H2367">
        <v>94</v>
      </c>
      <c r="I2367">
        <v>68</v>
      </c>
      <c r="J2367">
        <v>112</v>
      </c>
      <c r="K2367">
        <v>108</v>
      </c>
      <c r="L2367">
        <v>201</v>
      </c>
      <c r="M2367">
        <v>405</v>
      </c>
      <c r="N2367">
        <v>16</v>
      </c>
      <c r="O2367" t="s">
        <v>3466</v>
      </c>
      <c r="P2367" s="1" t="b">
        <f>NOT(OR(Table1[[#This Row],[State]]="Other Foreign Countries", Table1[[#This Row],[State]]="Unknown", Table1[[#This Row],[State]]="Puerto Rico all counties"))</f>
        <v>1</v>
      </c>
    </row>
    <row r="2368" spans="1:16" x14ac:dyDescent="0.25">
      <c r="A2368">
        <v>47141</v>
      </c>
      <c r="B2368" t="s">
        <v>3951</v>
      </c>
      <c r="C2368" t="s">
        <v>729</v>
      </c>
      <c r="D2368">
        <v>1829</v>
      </c>
      <c r="E2368">
        <v>404</v>
      </c>
      <c r="F2368">
        <v>160</v>
      </c>
      <c r="G2368">
        <v>203</v>
      </c>
      <c r="H2368">
        <v>533</v>
      </c>
      <c r="I2368">
        <v>529</v>
      </c>
      <c r="J2368">
        <v>485</v>
      </c>
      <c r="K2368">
        <v>596</v>
      </c>
      <c r="L2368">
        <v>748</v>
      </c>
      <c r="M2368" s="1">
        <v>1653</v>
      </c>
      <c r="N2368">
        <v>176</v>
      </c>
      <c r="O2368" t="s">
        <v>4042</v>
      </c>
      <c r="P2368" s="1" t="b">
        <f>NOT(OR(Table1[[#This Row],[State]]="Other Foreign Countries", Table1[[#This Row],[State]]="Unknown", Table1[[#This Row],[State]]="Puerto Rico all counties"))</f>
        <v>1</v>
      </c>
    </row>
    <row r="2369" spans="1:16" x14ac:dyDescent="0.25">
      <c r="A2369">
        <v>54079</v>
      </c>
      <c r="B2369" t="s">
        <v>4833</v>
      </c>
      <c r="C2369" t="s">
        <v>729</v>
      </c>
      <c r="D2369">
        <v>1319</v>
      </c>
      <c r="E2369">
        <v>240</v>
      </c>
      <c r="F2369">
        <v>130</v>
      </c>
      <c r="G2369">
        <v>156</v>
      </c>
      <c r="H2369">
        <v>397</v>
      </c>
      <c r="I2369">
        <v>396</v>
      </c>
      <c r="J2369">
        <v>303</v>
      </c>
      <c r="K2369">
        <v>486</v>
      </c>
      <c r="L2369">
        <v>530</v>
      </c>
      <c r="M2369" s="1">
        <v>1213</v>
      </c>
      <c r="N2369">
        <v>106</v>
      </c>
      <c r="O2369" t="s">
        <v>4884</v>
      </c>
      <c r="P2369" s="1" t="b">
        <f>NOT(OR(Table1[[#This Row],[State]]="Other Foreign Countries", Table1[[#This Row],[State]]="Unknown", Table1[[#This Row],[State]]="Puerto Rico all counties"))</f>
        <v>1</v>
      </c>
    </row>
    <row r="2370" spans="1:16" x14ac:dyDescent="0.25">
      <c r="A2370">
        <v>35037</v>
      </c>
      <c r="B2370" t="s">
        <v>2971</v>
      </c>
      <c r="C2370" t="s">
        <v>3008</v>
      </c>
      <c r="D2370">
        <v>219</v>
      </c>
      <c r="E2370">
        <v>40</v>
      </c>
      <c r="F2370">
        <v>17</v>
      </c>
      <c r="G2370">
        <v>27</v>
      </c>
      <c r="H2370">
        <v>75</v>
      </c>
      <c r="I2370">
        <v>60</v>
      </c>
      <c r="J2370">
        <v>32</v>
      </c>
      <c r="K2370">
        <v>67</v>
      </c>
      <c r="L2370">
        <v>120</v>
      </c>
      <c r="M2370">
        <v>205</v>
      </c>
      <c r="N2370">
        <v>14</v>
      </c>
      <c r="O2370" t="s">
        <v>3009</v>
      </c>
      <c r="P2370" s="1" t="b">
        <f>NOT(OR(Table1[[#This Row],[State]]="Other Foreign Countries", Table1[[#This Row],[State]]="Unknown", Table1[[#This Row],[State]]="Puerto Rico all counties"))</f>
        <v>1</v>
      </c>
    </row>
    <row r="2371" spans="1:16" x14ac:dyDescent="0.25">
      <c r="A2371">
        <v>24035</v>
      </c>
      <c r="B2371" t="s">
        <v>2031</v>
      </c>
      <c r="C2371" t="s">
        <v>2060</v>
      </c>
      <c r="D2371">
        <v>1031</v>
      </c>
      <c r="E2371">
        <v>185</v>
      </c>
      <c r="F2371">
        <v>116</v>
      </c>
      <c r="G2371">
        <v>143</v>
      </c>
      <c r="H2371">
        <v>293</v>
      </c>
      <c r="I2371">
        <v>294</v>
      </c>
      <c r="J2371">
        <v>318</v>
      </c>
      <c r="K2371">
        <v>397</v>
      </c>
      <c r="L2371">
        <v>316</v>
      </c>
      <c r="M2371">
        <v>905</v>
      </c>
      <c r="N2371">
        <v>126</v>
      </c>
      <c r="O2371" t="s">
        <v>2061</v>
      </c>
      <c r="P2371" s="1" t="b">
        <f>NOT(OR(Table1[[#This Row],[State]]="Other Foreign Countries", Table1[[#This Row],[State]]="Unknown", Table1[[#This Row],[State]]="Puerto Rico all counties"))</f>
        <v>1</v>
      </c>
    </row>
    <row r="2372" spans="1:16" x14ac:dyDescent="0.25">
      <c r="A2372">
        <v>36081</v>
      </c>
      <c r="B2372" t="s">
        <v>3029</v>
      </c>
      <c r="C2372" t="s">
        <v>3085</v>
      </c>
      <c r="D2372">
        <v>8267</v>
      </c>
      <c r="E2372" s="1">
        <v>1557</v>
      </c>
      <c r="F2372">
        <v>900</v>
      </c>
      <c r="G2372">
        <v>911</v>
      </c>
      <c r="H2372" s="1">
        <v>2551</v>
      </c>
      <c r="I2372" s="1">
        <v>2348</v>
      </c>
      <c r="J2372" s="1">
        <v>3620</v>
      </c>
      <c r="K2372" s="1">
        <v>2087</v>
      </c>
      <c r="L2372" s="1">
        <v>2560</v>
      </c>
      <c r="M2372" s="1">
        <v>7223</v>
      </c>
      <c r="N2372" s="1">
        <v>1044</v>
      </c>
      <c r="O2372" t="s">
        <v>3086</v>
      </c>
      <c r="P2372" s="1" t="b">
        <f>NOT(OR(Table1[[#This Row],[State]]="Other Foreign Countries", Table1[[#This Row],[State]]="Unknown", Table1[[#This Row],[State]]="Puerto Rico all counties"))</f>
        <v>1</v>
      </c>
    </row>
    <row r="2373" spans="1:16" x14ac:dyDescent="0.25">
      <c r="A2373">
        <v>13239</v>
      </c>
      <c r="B2373" t="s">
        <v>754</v>
      </c>
      <c r="C2373" t="s">
        <v>948</v>
      </c>
      <c r="D2373">
        <v>76</v>
      </c>
      <c r="E2373">
        <v>17</v>
      </c>
      <c r="H2373">
        <v>21</v>
      </c>
      <c r="I2373">
        <v>20</v>
      </c>
      <c r="J2373">
        <v>16</v>
      </c>
      <c r="K2373">
        <v>17</v>
      </c>
      <c r="L2373">
        <v>43</v>
      </c>
      <c r="O2373" t="s">
        <v>949</v>
      </c>
      <c r="P2373" s="1" t="b">
        <f>NOT(OR(Table1[[#This Row],[State]]="Other Foreign Countries", Table1[[#This Row],[State]]="Unknown", Table1[[#This Row],[State]]="Puerto Rico all counties"))</f>
        <v>1</v>
      </c>
    </row>
    <row r="2374" spans="1:16" x14ac:dyDescent="0.25">
      <c r="A2374">
        <v>28119</v>
      </c>
      <c r="B2374" t="s">
        <v>322</v>
      </c>
      <c r="C2374" t="s">
        <v>948</v>
      </c>
      <c r="D2374">
        <v>104</v>
      </c>
      <c r="E2374">
        <v>17</v>
      </c>
      <c r="F2374">
        <v>12</v>
      </c>
      <c r="G2374">
        <v>13</v>
      </c>
      <c r="H2374">
        <v>38</v>
      </c>
      <c r="I2374">
        <v>24</v>
      </c>
      <c r="J2374">
        <v>20</v>
      </c>
      <c r="K2374">
        <v>39</v>
      </c>
      <c r="L2374">
        <v>45</v>
      </c>
      <c r="M2374">
        <v>90</v>
      </c>
      <c r="N2374">
        <v>14</v>
      </c>
      <c r="O2374" t="s">
        <v>2476</v>
      </c>
      <c r="P2374" s="1" t="b">
        <f>NOT(OR(Table1[[#This Row],[State]]="Other Foreign Countries", Table1[[#This Row],[State]]="Unknown", Table1[[#This Row],[State]]="Puerto Rico all counties"))</f>
        <v>1</v>
      </c>
    </row>
    <row r="2375" spans="1:16" x14ac:dyDescent="0.25">
      <c r="A2375">
        <v>13241</v>
      </c>
      <c r="B2375" t="s">
        <v>754</v>
      </c>
      <c r="C2375" t="s">
        <v>950</v>
      </c>
      <c r="D2375">
        <v>353</v>
      </c>
      <c r="E2375">
        <v>78</v>
      </c>
      <c r="F2375">
        <v>34</v>
      </c>
      <c r="G2375">
        <v>36</v>
      </c>
      <c r="H2375">
        <v>113</v>
      </c>
      <c r="I2375">
        <v>92</v>
      </c>
      <c r="J2375">
        <v>57</v>
      </c>
      <c r="K2375">
        <v>83</v>
      </c>
      <c r="L2375">
        <v>213</v>
      </c>
      <c r="M2375">
        <v>331</v>
      </c>
      <c r="N2375">
        <v>22</v>
      </c>
      <c r="O2375" t="s">
        <v>951</v>
      </c>
      <c r="P2375" s="1" t="b">
        <f>NOT(OR(Table1[[#This Row],[State]]="Other Foreign Countries", Table1[[#This Row],[State]]="Unknown", Table1[[#This Row],[State]]="Puerto Rico all counties"))</f>
        <v>1</v>
      </c>
    </row>
    <row r="2376" spans="1:16" x14ac:dyDescent="0.25">
      <c r="A2376">
        <v>55101</v>
      </c>
      <c r="B2376" t="s">
        <v>4906</v>
      </c>
      <c r="C2376" t="s">
        <v>4980</v>
      </c>
      <c r="D2376">
        <v>3190</v>
      </c>
      <c r="E2376">
        <v>752</v>
      </c>
      <c r="F2376">
        <v>406</v>
      </c>
      <c r="G2376">
        <v>430</v>
      </c>
      <c r="H2376">
        <v>970</v>
      </c>
      <c r="I2376">
        <v>632</v>
      </c>
      <c r="J2376">
        <v>926</v>
      </c>
      <c r="K2376">
        <v>996</v>
      </c>
      <c r="L2376" s="1">
        <v>1268</v>
      </c>
      <c r="M2376" s="1">
        <v>2844</v>
      </c>
      <c r="N2376">
        <v>345</v>
      </c>
      <c r="O2376" t="s">
        <v>4981</v>
      </c>
      <c r="P2376" s="1" t="b">
        <f>NOT(OR(Table1[[#This Row],[State]]="Other Foreign Countries", Table1[[#This Row],[State]]="Unknown", Table1[[#This Row],[State]]="Puerto Rico all counties"))</f>
        <v>1</v>
      </c>
    </row>
    <row r="2377" spans="1:16" x14ac:dyDescent="0.25">
      <c r="A2377">
        <v>51750</v>
      </c>
      <c r="B2377" t="s">
        <v>4555</v>
      </c>
      <c r="C2377" t="s">
        <v>4752</v>
      </c>
      <c r="D2377">
        <v>176</v>
      </c>
      <c r="E2377">
        <v>44</v>
      </c>
      <c r="F2377">
        <v>21</v>
      </c>
      <c r="G2377">
        <v>23</v>
      </c>
      <c r="H2377">
        <v>60</v>
      </c>
      <c r="I2377">
        <v>28</v>
      </c>
      <c r="J2377">
        <v>70</v>
      </c>
      <c r="K2377">
        <v>60</v>
      </c>
      <c r="L2377">
        <v>46</v>
      </c>
      <c r="M2377">
        <v>150</v>
      </c>
      <c r="N2377">
        <v>26</v>
      </c>
      <c r="O2377" t="s">
        <v>4753</v>
      </c>
      <c r="P2377" s="1" t="b">
        <f>NOT(OR(Table1[[#This Row],[State]]="Other Foreign Countries", Table1[[#This Row],[State]]="Unknown", Table1[[#This Row],[State]]="Puerto Rico all counties"))</f>
        <v>1</v>
      </c>
    </row>
    <row r="2378" spans="1:16" x14ac:dyDescent="0.25">
      <c r="A2378">
        <v>48379</v>
      </c>
      <c r="B2378" t="s">
        <v>2654</v>
      </c>
      <c r="C2378" t="s">
        <v>4375</v>
      </c>
      <c r="D2378">
        <v>403</v>
      </c>
      <c r="E2378">
        <v>56</v>
      </c>
      <c r="F2378">
        <v>39</v>
      </c>
      <c r="G2378">
        <v>49</v>
      </c>
      <c r="H2378">
        <v>132</v>
      </c>
      <c r="I2378">
        <v>127</v>
      </c>
      <c r="J2378">
        <v>93</v>
      </c>
      <c r="K2378">
        <v>126</v>
      </c>
      <c r="L2378">
        <v>184</v>
      </c>
      <c r="M2378">
        <v>365</v>
      </c>
      <c r="N2378">
        <v>38</v>
      </c>
      <c r="O2378" t="s">
        <v>4376</v>
      </c>
      <c r="P2378" s="1" t="b">
        <f>NOT(OR(Table1[[#This Row],[State]]="Other Foreign Countries", Table1[[#This Row],[State]]="Unknown", Table1[[#This Row],[State]]="Puerto Rico all counties"))</f>
        <v>1</v>
      </c>
    </row>
    <row r="2379" spans="1:16" x14ac:dyDescent="0.25">
      <c r="A2379">
        <v>54081</v>
      </c>
      <c r="B2379" t="s">
        <v>4833</v>
      </c>
      <c r="C2379" t="s">
        <v>4885</v>
      </c>
      <c r="D2379">
        <v>2516</v>
      </c>
      <c r="E2379">
        <v>516</v>
      </c>
      <c r="F2379">
        <v>234</v>
      </c>
      <c r="G2379">
        <v>251</v>
      </c>
      <c r="H2379">
        <v>801</v>
      </c>
      <c r="I2379">
        <v>714</v>
      </c>
      <c r="J2379">
        <v>428</v>
      </c>
      <c r="K2379">
        <v>857</v>
      </c>
      <c r="L2379" s="1">
        <v>1231</v>
      </c>
      <c r="M2379" s="1">
        <v>2362</v>
      </c>
      <c r="N2379">
        <v>154</v>
      </c>
      <c r="O2379" t="s">
        <v>4886</v>
      </c>
      <c r="P2379" s="1" t="b">
        <f>NOT(OR(Table1[[#This Row],[State]]="Other Foreign Countries", Table1[[#This Row],[State]]="Unknown", Table1[[#This Row],[State]]="Puerto Rico all counties"))</f>
        <v>1</v>
      </c>
    </row>
    <row r="2380" spans="1:16" x14ac:dyDescent="0.25">
      <c r="A2380">
        <v>29173</v>
      </c>
      <c r="B2380" t="s">
        <v>2510</v>
      </c>
      <c r="C2380" t="s">
        <v>2625</v>
      </c>
      <c r="D2380">
        <v>305</v>
      </c>
      <c r="E2380">
        <v>91</v>
      </c>
      <c r="F2380">
        <v>28</v>
      </c>
      <c r="G2380">
        <v>29</v>
      </c>
      <c r="H2380">
        <v>97</v>
      </c>
      <c r="I2380">
        <v>60</v>
      </c>
      <c r="J2380">
        <v>55</v>
      </c>
      <c r="K2380">
        <v>92</v>
      </c>
      <c r="L2380">
        <v>158</v>
      </c>
      <c r="M2380">
        <v>294</v>
      </c>
      <c r="N2380">
        <v>11</v>
      </c>
      <c r="O2380" t="s">
        <v>2626</v>
      </c>
      <c r="P2380" s="1" t="b">
        <f>NOT(OR(Table1[[#This Row],[State]]="Other Foreign Countries", Table1[[#This Row],[State]]="Unknown", Table1[[#This Row],[State]]="Puerto Rico all counties"))</f>
        <v>1</v>
      </c>
    </row>
    <row r="2381" spans="1:16" x14ac:dyDescent="0.25">
      <c r="A2381">
        <v>27123</v>
      </c>
      <c r="B2381" t="s">
        <v>2245</v>
      </c>
      <c r="C2381" t="s">
        <v>2348</v>
      </c>
      <c r="D2381">
        <v>5727</v>
      </c>
      <c r="E2381" s="1">
        <v>2110</v>
      </c>
      <c r="F2381">
        <v>768</v>
      </c>
      <c r="G2381">
        <v>680</v>
      </c>
      <c r="H2381" s="1">
        <v>1245</v>
      </c>
      <c r="I2381">
        <v>924</v>
      </c>
      <c r="J2381" s="1">
        <v>1403</v>
      </c>
      <c r="K2381" s="1">
        <v>1270</v>
      </c>
      <c r="L2381" s="1">
        <v>3054</v>
      </c>
      <c r="M2381" s="1">
        <v>5171</v>
      </c>
      <c r="N2381">
        <v>547</v>
      </c>
      <c r="O2381" t="s">
        <v>2349</v>
      </c>
      <c r="P2381" s="1" t="b">
        <f>NOT(OR(Table1[[#This Row],[State]]="Other Foreign Countries", Table1[[#This Row],[State]]="Unknown", Table1[[#This Row],[State]]="Puerto Rico all counties"))</f>
        <v>1</v>
      </c>
    </row>
    <row r="2382" spans="1:16" x14ac:dyDescent="0.25">
      <c r="A2382">
        <v>38071</v>
      </c>
      <c r="B2382" t="s">
        <v>3286</v>
      </c>
      <c r="C2382" t="s">
        <v>2348</v>
      </c>
      <c r="D2382">
        <v>244</v>
      </c>
      <c r="E2382">
        <v>60</v>
      </c>
      <c r="F2382">
        <v>23</v>
      </c>
      <c r="G2382">
        <v>39</v>
      </c>
      <c r="H2382">
        <v>70</v>
      </c>
      <c r="I2382">
        <v>52</v>
      </c>
      <c r="J2382">
        <v>33</v>
      </c>
      <c r="K2382">
        <v>94</v>
      </c>
      <c r="L2382">
        <v>117</v>
      </c>
      <c r="M2382">
        <v>221</v>
      </c>
      <c r="N2382">
        <v>23</v>
      </c>
      <c r="O2382" t="s">
        <v>3343</v>
      </c>
      <c r="P2382" s="1" t="b">
        <f>NOT(OR(Table1[[#This Row],[State]]="Other Foreign Countries", Table1[[#This Row],[State]]="Unknown", Table1[[#This Row],[State]]="Puerto Rico all counties"))</f>
        <v>1</v>
      </c>
    </row>
    <row r="2383" spans="1:16" x14ac:dyDescent="0.25">
      <c r="A2383">
        <v>48381</v>
      </c>
      <c r="B2383" t="s">
        <v>2654</v>
      </c>
      <c r="C2383" t="s">
        <v>4377</v>
      </c>
      <c r="D2383">
        <v>3603</v>
      </c>
      <c r="E2383">
        <v>631</v>
      </c>
      <c r="F2383">
        <v>348</v>
      </c>
      <c r="G2383">
        <v>422</v>
      </c>
      <c r="H2383" s="1">
        <v>1058</v>
      </c>
      <c r="I2383" s="1">
        <v>1144</v>
      </c>
      <c r="J2383" s="1">
        <v>1325</v>
      </c>
      <c r="K2383" s="1">
        <v>1166</v>
      </c>
      <c r="L2383" s="1">
        <v>1112</v>
      </c>
      <c r="M2383" s="1">
        <v>3238</v>
      </c>
      <c r="N2383">
        <v>365</v>
      </c>
      <c r="O2383" t="s">
        <v>4378</v>
      </c>
      <c r="P2383" s="1" t="b">
        <f>NOT(OR(Table1[[#This Row],[State]]="Other Foreign Countries", Table1[[#This Row],[State]]="Unknown", Table1[[#This Row],[State]]="Puerto Rico all counties"))</f>
        <v>1</v>
      </c>
    </row>
    <row r="2384" spans="1:16" x14ac:dyDescent="0.25">
      <c r="A2384">
        <v>1111</v>
      </c>
      <c r="B2384" t="s">
        <v>15</v>
      </c>
      <c r="C2384" t="s">
        <v>126</v>
      </c>
      <c r="D2384">
        <v>507</v>
      </c>
      <c r="E2384">
        <v>107</v>
      </c>
      <c r="F2384">
        <v>56</v>
      </c>
      <c r="G2384">
        <v>61</v>
      </c>
      <c r="H2384">
        <v>143</v>
      </c>
      <c r="I2384">
        <v>140</v>
      </c>
      <c r="J2384">
        <v>87</v>
      </c>
      <c r="K2384">
        <v>153</v>
      </c>
      <c r="L2384">
        <v>267</v>
      </c>
      <c r="M2384">
        <v>456</v>
      </c>
      <c r="N2384">
        <v>51</v>
      </c>
      <c r="O2384" t="s">
        <v>127</v>
      </c>
      <c r="P2384" s="1" t="b">
        <f>NOT(OR(Table1[[#This Row],[State]]="Other Foreign Countries", Table1[[#This Row],[State]]="Unknown", Table1[[#This Row],[State]]="Puerto Rico all counties"))</f>
        <v>1</v>
      </c>
    </row>
    <row r="2385" spans="1:16" x14ac:dyDescent="0.25">
      <c r="A2385">
        <v>5121</v>
      </c>
      <c r="B2385" t="s">
        <v>242</v>
      </c>
      <c r="C2385" t="s">
        <v>126</v>
      </c>
      <c r="D2385">
        <v>439</v>
      </c>
      <c r="E2385">
        <v>70</v>
      </c>
      <c r="F2385">
        <v>43</v>
      </c>
      <c r="G2385">
        <v>56</v>
      </c>
      <c r="H2385">
        <v>127</v>
      </c>
      <c r="I2385">
        <v>143</v>
      </c>
      <c r="J2385">
        <v>82</v>
      </c>
      <c r="K2385">
        <v>146</v>
      </c>
      <c r="L2385">
        <v>211</v>
      </c>
      <c r="M2385">
        <v>408</v>
      </c>
      <c r="N2385">
        <v>31</v>
      </c>
      <c r="O2385" t="s">
        <v>346</v>
      </c>
      <c r="P2385" s="1" t="b">
        <f>NOT(OR(Table1[[#This Row],[State]]="Other Foreign Countries", Table1[[#This Row],[State]]="Unknown", Table1[[#This Row],[State]]="Puerto Rico all counties"))</f>
        <v>1</v>
      </c>
    </row>
    <row r="2386" spans="1:16" x14ac:dyDescent="0.25">
      <c r="A2386">
        <v>13243</v>
      </c>
      <c r="B2386" t="s">
        <v>754</v>
      </c>
      <c r="C2386" t="s">
        <v>126</v>
      </c>
      <c r="D2386">
        <v>129</v>
      </c>
      <c r="E2386">
        <v>20</v>
      </c>
      <c r="F2386">
        <v>10</v>
      </c>
      <c r="G2386">
        <v>14</v>
      </c>
      <c r="H2386">
        <v>42</v>
      </c>
      <c r="I2386">
        <v>43</v>
      </c>
      <c r="J2386">
        <v>30</v>
      </c>
      <c r="K2386">
        <v>42</v>
      </c>
      <c r="L2386">
        <v>57</v>
      </c>
      <c r="M2386">
        <v>111</v>
      </c>
      <c r="N2386">
        <v>18</v>
      </c>
      <c r="O2386" t="s">
        <v>952</v>
      </c>
      <c r="P2386" s="1" t="b">
        <f>NOT(OR(Table1[[#This Row],[State]]="Other Foreign Countries", Table1[[#This Row],[State]]="Unknown", Table1[[#This Row],[State]]="Puerto Rico all counties"))</f>
        <v>1</v>
      </c>
    </row>
    <row r="2387" spans="1:16" x14ac:dyDescent="0.25">
      <c r="A2387">
        <v>17157</v>
      </c>
      <c r="B2387" t="s">
        <v>1109</v>
      </c>
      <c r="C2387" t="s">
        <v>126</v>
      </c>
      <c r="D2387">
        <v>478</v>
      </c>
      <c r="E2387">
        <v>93</v>
      </c>
      <c r="F2387">
        <v>56</v>
      </c>
      <c r="G2387">
        <v>64</v>
      </c>
      <c r="H2387">
        <v>149</v>
      </c>
      <c r="I2387">
        <v>116</v>
      </c>
      <c r="J2387">
        <v>127</v>
      </c>
      <c r="K2387">
        <v>146</v>
      </c>
      <c r="L2387">
        <v>205</v>
      </c>
      <c r="M2387">
        <v>441</v>
      </c>
      <c r="N2387">
        <v>37</v>
      </c>
      <c r="O2387" t="s">
        <v>1228</v>
      </c>
      <c r="P2387" s="1" t="b">
        <f>NOT(OR(Table1[[#This Row],[State]]="Other Foreign Countries", Table1[[#This Row],[State]]="Unknown", Table1[[#This Row],[State]]="Puerto Rico all counties"))</f>
        <v>1</v>
      </c>
    </row>
    <row r="2388" spans="1:16" x14ac:dyDescent="0.25">
      <c r="A2388">
        <v>18135</v>
      </c>
      <c r="B2388" t="s">
        <v>1266</v>
      </c>
      <c r="C2388" t="s">
        <v>126</v>
      </c>
      <c r="D2388">
        <v>412</v>
      </c>
      <c r="E2388">
        <v>118</v>
      </c>
      <c r="F2388">
        <v>60</v>
      </c>
      <c r="G2388">
        <v>59</v>
      </c>
      <c r="H2388">
        <v>109</v>
      </c>
      <c r="I2388">
        <v>66</v>
      </c>
      <c r="J2388">
        <v>82</v>
      </c>
      <c r="K2388">
        <v>126</v>
      </c>
      <c r="L2388">
        <v>204</v>
      </c>
      <c r="M2388">
        <v>385</v>
      </c>
      <c r="N2388">
        <v>27</v>
      </c>
      <c r="O2388" t="s">
        <v>1358</v>
      </c>
      <c r="P2388" s="1" t="b">
        <f>NOT(OR(Table1[[#This Row],[State]]="Other Foreign Countries", Table1[[#This Row],[State]]="Unknown", Table1[[#This Row],[State]]="Puerto Rico all counties"))</f>
        <v>1</v>
      </c>
    </row>
    <row r="2389" spans="1:16" x14ac:dyDescent="0.25">
      <c r="A2389">
        <v>29175</v>
      </c>
      <c r="B2389" t="s">
        <v>2510</v>
      </c>
      <c r="C2389" t="s">
        <v>126</v>
      </c>
      <c r="D2389">
        <v>616</v>
      </c>
      <c r="E2389">
        <v>175</v>
      </c>
      <c r="F2389">
        <v>86</v>
      </c>
      <c r="G2389">
        <v>75</v>
      </c>
      <c r="H2389">
        <v>178</v>
      </c>
      <c r="I2389">
        <v>102</v>
      </c>
      <c r="J2389">
        <v>158</v>
      </c>
      <c r="K2389">
        <v>209</v>
      </c>
      <c r="L2389">
        <v>249</v>
      </c>
      <c r="M2389">
        <v>569</v>
      </c>
      <c r="N2389">
        <v>46</v>
      </c>
      <c r="O2389" t="s">
        <v>2627</v>
      </c>
      <c r="P2389" s="1" t="b">
        <f>NOT(OR(Table1[[#This Row],[State]]="Other Foreign Countries", Table1[[#This Row],[State]]="Unknown", Table1[[#This Row],[State]]="Puerto Rico all counties"))</f>
        <v>1</v>
      </c>
    </row>
    <row r="2390" spans="1:16" x14ac:dyDescent="0.25">
      <c r="A2390">
        <v>37151</v>
      </c>
      <c r="B2390" t="s">
        <v>3121</v>
      </c>
      <c r="C2390" t="s">
        <v>126</v>
      </c>
      <c r="D2390">
        <v>2719</v>
      </c>
      <c r="E2390">
        <v>428</v>
      </c>
      <c r="F2390">
        <v>298</v>
      </c>
      <c r="G2390">
        <v>278</v>
      </c>
      <c r="H2390">
        <v>928</v>
      </c>
      <c r="I2390">
        <v>787</v>
      </c>
      <c r="J2390">
        <v>747</v>
      </c>
      <c r="K2390">
        <v>806</v>
      </c>
      <c r="L2390" s="1">
        <v>1166</v>
      </c>
      <c r="M2390" s="1">
        <v>2466</v>
      </c>
      <c r="N2390">
        <v>253</v>
      </c>
      <c r="O2390" t="s">
        <v>3247</v>
      </c>
      <c r="P2390" s="1" t="b">
        <f>NOT(OR(Table1[[#This Row],[State]]="Other Foreign Countries", Table1[[#This Row],[State]]="Unknown", Table1[[#This Row],[State]]="Puerto Rico all counties"))</f>
        <v>1</v>
      </c>
    </row>
    <row r="2391" spans="1:16" x14ac:dyDescent="0.25">
      <c r="A2391">
        <v>54083</v>
      </c>
      <c r="B2391" t="s">
        <v>4833</v>
      </c>
      <c r="C2391" t="s">
        <v>126</v>
      </c>
      <c r="D2391">
        <v>609</v>
      </c>
      <c r="E2391">
        <v>117</v>
      </c>
      <c r="F2391">
        <v>62</v>
      </c>
      <c r="G2391">
        <v>61</v>
      </c>
      <c r="H2391">
        <v>198</v>
      </c>
      <c r="I2391">
        <v>171</v>
      </c>
      <c r="J2391">
        <v>102</v>
      </c>
      <c r="K2391">
        <v>207</v>
      </c>
      <c r="L2391">
        <v>300</v>
      </c>
      <c r="M2391">
        <v>563</v>
      </c>
      <c r="N2391">
        <v>46</v>
      </c>
      <c r="O2391" t="s">
        <v>4887</v>
      </c>
      <c r="P2391" s="1" t="b">
        <f>NOT(OR(Table1[[#This Row],[State]]="Other Foreign Countries", Table1[[#This Row],[State]]="Unknown", Table1[[#This Row],[State]]="Puerto Rico all counties"))</f>
        <v>1</v>
      </c>
    </row>
    <row r="2392" spans="1:16" x14ac:dyDescent="0.25">
      <c r="A2392">
        <v>28121</v>
      </c>
      <c r="B2392" t="s">
        <v>322</v>
      </c>
      <c r="C2392" t="s">
        <v>2477</v>
      </c>
      <c r="D2392">
        <v>3114</v>
      </c>
      <c r="E2392">
        <v>508</v>
      </c>
      <c r="F2392">
        <v>337</v>
      </c>
      <c r="G2392">
        <v>353</v>
      </c>
      <c r="H2392">
        <v>993</v>
      </c>
      <c r="I2392">
        <v>923</v>
      </c>
      <c r="J2392">
        <v>861</v>
      </c>
      <c r="K2392" s="1">
        <v>1218</v>
      </c>
      <c r="L2392" s="1">
        <v>1035</v>
      </c>
      <c r="M2392" s="1">
        <v>2678</v>
      </c>
      <c r="N2392">
        <v>436</v>
      </c>
      <c r="O2392" t="s">
        <v>2478</v>
      </c>
      <c r="P2392" s="1" t="b">
        <f>NOT(OR(Table1[[#This Row],[State]]="Other Foreign Countries", Table1[[#This Row],[State]]="Unknown", Table1[[#This Row],[State]]="Puerto Rico all counties"))</f>
        <v>1</v>
      </c>
    </row>
    <row r="2393" spans="1:16" x14ac:dyDescent="0.25">
      <c r="A2393">
        <v>38073</v>
      </c>
      <c r="B2393" t="s">
        <v>3286</v>
      </c>
      <c r="C2393" t="s">
        <v>3344</v>
      </c>
      <c r="D2393">
        <v>167</v>
      </c>
      <c r="E2393">
        <v>29</v>
      </c>
      <c r="F2393">
        <v>12</v>
      </c>
      <c r="G2393">
        <v>25</v>
      </c>
      <c r="H2393">
        <v>61</v>
      </c>
      <c r="I2393">
        <v>40</v>
      </c>
      <c r="J2393">
        <v>19</v>
      </c>
      <c r="K2393">
        <v>31</v>
      </c>
      <c r="L2393">
        <v>117</v>
      </c>
      <c r="O2393" t="s">
        <v>3345</v>
      </c>
      <c r="P2393" s="1" t="b">
        <f>NOT(OR(Table1[[#This Row],[State]]="Other Foreign Countries", Table1[[#This Row],[State]]="Unknown", Table1[[#This Row],[State]]="Puerto Rico all counties"))</f>
        <v>1</v>
      </c>
    </row>
    <row r="2394" spans="1:16" x14ac:dyDescent="0.25">
      <c r="A2394">
        <v>22079</v>
      </c>
      <c r="B2394" t="s">
        <v>1892</v>
      </c>
      <c r="C2394" t="s">
        <v>1959</v>
      </c>
      <c r="D2394">
        <v>3983</v>
      </c>
      <c r="E2394">
        <v>548</v>
      </c>
      <c r="F2394">
        <v>308</v>
      </c>
      <c r="G2394">
        <v>407</v>
      </c>
      <c r="H2394" s="1">
        <v>1283</v>
      </c>
      <c r="I2394" s="1">
        <v>1437</v>
      </c>
      <c r="J2394">
        <v>940</v>
      </c>
      <c r="K2394" s="1">
        <v>1422</v>
      </c>
      <c r="L2394" s="1">
        <v>1621</v>
      </c>
      <c r="M2394" s="1">
        <v>3472</v>
      </c>
      <c r="N2394">
        <v>511</v>
      </c>
      <c r="O2394" t="s">
        <v>1960</v>
      </c>
      <c r="P2394" s="1" t="b">
        <f>NOT(OR(Table1[[#This Row],[State]]="Other Foreign Countries", Table1[[#This Row],[State]]="Unknown", Table1[[#This Row],[State]]="Puerto Rico all counties"))</f>
        <v>1</v>
      </c>
    </row>
    <row r="2395" spans="1:16" x14ac:dyDescent="0.25">
      <c r="A2395">
        <v>51157</v>
      </c>
      <c r="B2395" t="s">
        <v>4555</v>
      </c>
      <c r="C2395" t="s">
        <v>4667</v>
      </c>
      <c r="D2395">
        <v>136</v>
      </c>
      <c r="E2395">
        <v>31</v>
      </c>
      <c r="F2395">
        <v>16</v>
      </c>
      <c r="G2395">
        <v>17</v>
      </c>
      <c r="H2395">
        <v>39</v>
      </c>
      <c r="I2395">
        <v>33</v>
      </c>
      <c r="J2395">
        <v>39</v>
      </c>
      <c r="K2395">
        <v>46</v>
      </c>
      <c r="L2395">
        <v>51</v>
      </c>
      <c r="M2395">
        <v>122</v>
      </c>
      <c r="N2395">
        <v>14</v>
      </c>
      <c r="O2395" t="s">
        <v>4668</v>
      </c>
      <c r="P2395" s="1" t="b">
        <f>NOT(OR(Table1[[#This Row],[State]]="Other Foreign Countries", Table1[[#This Row],[State]]="Unknown", Table1[[#This Row],[State]]="Puerto Rico all counties"))</f>
        <v>1</v>
      </c>
    </row>
    <row r="2396" spans="1:16" x14ac:dyDescent="0.25">
      <c r="A2396">
        <v>30081</v>
      </c>
      <c r="B2396" t="s">
        <v>2665</v>
      </c>
      <c r="C2396" t="s">
        <v>2730</v>
      </c>
      <c r="D2396">
        <v>1817</v>
      </c>
      <c r="E2396">
        <v>336</v>
      </c>
      <c r="F2396">
        <v>202</v>
      </c>
      <c r="G2396">
        <v>219</v>
      </c>
      <c r="H2396">
        <v>521</v>
      </c>
      <c r="I2396">
        <v>539</v>
      </c>
      <c r="J2396">
        <v>387</v>
      </c>
      <c r="K2396">
        <v>602</v>
      </c>
      <c r="L2396">
        <v>828</v>
      </c>
      <c r="M2396" s="1">
        <v>1630</v>
      </c>
      <c r="N2396">
        <v>187</v>
      </c>
      <c r="O2396" t="s">
        <v>2731</v>
      </c>
      <c r="P2396" s="1" t="b">
        <f>NOT(OR(Table1[[#This Row],[State]]="Other Foreign Countries", Table1[[#This Row],[State]]="Unknown", Table1[[#This Row],[State]]="Puerto Rico all counties"))</f>
        <v>1</v>
      </c>
    </row>
    <row r="2397" spans="1:16" x14ac:dyDescent="0.25">
      <c r="A2397">
        <v>20153</v>
      </c>
      <c r="B2397" t="s">
        <v>1543</v>
      </c>
      <c r="C2397" t="s">
        <v>1665</v>
      </c>
      <c r="D2397">
        <v>34</v>
      </c>
      <c r="G2397">
        <v>10</v>
      </c>
      <c r="L2397">
        <v>18</v>
      </c>
      <c r="O2397" t="s">
        <v>1666</v>
      </c>
      <c r="P2397" s="1" t="b">
        <f>NOT(OR(Table1[[#This Row],[State]]="Other Foreign Countries", Table1[[#This Row],[State]]="Unknown", Table1[[#This Row],[State]]="Puerto Rico all counties"))</f>
        <v>1</v>
      </c>
    </row>
    <row r="2398" spans="1:16" x14ac:dyDescent="0.25">
      <c r="A2398">
        <v>29177</v>
      </c>
      <c r="B2398" t="s">
        <v>2510</v>
      </c>
      <c r="C2398" t="s">
        <v>2628</v>
      </c>
      <c r="D2398">
        <v>478</v>
      </c>
      <c r="E2398">
        <v>122</v>
      </c>
      <c r="F2398">
        <v>60</v>
      </c>
      <c r="G2398">
        <v>65</v>
      </c>
      <c r="H2398">
        <v>140</v>
      </c>
      <c r="I2398">
        <v>91</v>
      </c>
      <c r="J2398">
        <v>99</v>
      </c>
      <c r="K2398">
        <v>128</v>
      </c>
      <c r="L2398">
        <v>251</v>
      </c>
      <c r="M2398">
        <v>445</v>
      </c>
      <c r="N2398">
        <v>33</v>
      </c>
      <c r="O2398" t="s">
        <v>2629</v>
      </c>
      <c r="P2398" s="1" t="b">
        <f>NOT(OR(Table1[[#This Row],[State]]="Other Foreign Countries", Table1[[#This Row],[State]]="Unknown", Table1[[#This Row],[State]]="Puerto Rico all counties"))</f>
        <v>1</v>
      </c>
    </row>
    <row r="2399" spans="1:16" x14ac:dyDescent="0.25">
      <c r="A2399">
        <v>48383</v>
      </c>
      <c r="B2399" t="s">
        <v>2654</v>
      </c>
      <c r="C2399" t="s">
        <v>4379</v>
      </c>
      <c r="D2399">
        <v>26</v>
      </c>
      <c r="J2399">
        <v>11</v>
      </c>
      <c r="O2399" t="s">
        <v>4380</v>
      </c>
      <c r="P2399" s="1" t="b">
        <f>NOT(OR(Table1[[#This Row],[State]]="Other Foreign Countries", Table1[[#This Row],[State]]="Unknown", Table1[[#This Row],[State]]="Puerto Rico all counties"))</f>
        <v>1</v>
      </c>
    </row>
    <row r="2400" spans="1:16" x14ac:dyDescent="0.25">
      <c r="A2400">
        <v>48385</v>
      </c>
      <c r="B2400" t="s">
        <v>2654</v>
      </c>
      <c r="C2400" t="s">
        <v>4381</v>
      </c>
      <c r="D2400">
        <v>104</v>
      </c>
      <c r="E2400">
        <v>28</v>
      </c>
      <c r="H2400">
        <v>25</v>
      </c>
      <c r="I2400">
        <v>31</v>
      </c>
      <c r="J2400">
        <v>21</v>
      </c>
      <c r="K2400">
        <v>28</v>
      </c>
      <c r="L2400">
        <v>55</v>
      </c>
      <c r="M2400">
        <v>92</v>
      </c>
      <c r="N2400">
        <v>12</v>
      </c>
      <c r="O2400" t="s">
        <v>4382</v>
      </c>
      <c r="P2400" s="1" t="b">
        <f>NOT(OR(Table1[[#This Row],[State]]="Other Foreign Countries", Table1[[#This Row],[State]]="Unknown", Table1[[#This Row],[State]]="Puerto Rico all counties"))</f>
        <v>1</v>
      </c>
    </row>
    <row r="2401" spans="1:16" x14ac:dyDescent="0.25">
      <c r="A2401">
        <v>27125</v>
      </c>
      <c r="B2401" t="s">
        <v>2245</v>
      </c>
      <c r="C2401" t="s">
        <v>2350</v>
      </c>
      <c r="D2401">
        <v>90</v>
      </c>
      <c r="E2401">
        <v>28</v>
      </c>
      <c r="H2401">
        <v>28</v>
      </c>
      <c r="I2401">
        <v>21</v>
      </c>
      <c r="J2401">
        <v>15</v>
      </c>
      <c r="K2401">
        <v>18</v>
      </c>
      <c r="L2401">
        <v>57</v>
      </c>
      <c r="O2401" t="s">
        <v>2351</v>
      </c>
      <c r="P2401" s="1" t="b">
        <f>NOT(OR(Table1[[#This Row],[State]]="Other Foreign Countries", Table1[[#This Row],[State]]="Unknown", Table1[[#This Row],[State]]="Puerto Rico all counties"))</f>
        <v>1</v>
      </c>
    </row>
    <row r="2402" spans="1:16" x14ac:dyDescent="0.25">
      <c r="A2402">
        <v>22081</v>
      </c>
      <c r="B2402" t="s">
        <v>1892</v>
      </c>
      <c r="C2402" t="s">
        <v>1961</v>
      </c>
      <c r="D2402">
        <v>103</v>
      </c>
      <c r="H2402">
        <v>36</v>
      </c>
      <c r="I2402">
        <v>43</v>
      </c>
      <c r="J2402">
        <v>16</v>
      </c>
      <c r="K2402">
        <v>42</v>
      </c>
      <c r="L2402">
        <v>45</v>
      </c>
      <c r="O2402" t="s">
        <v>1962</v>
      </c>
      <c r="P2402" s="1" t="b">
        <f>NOT(OR(Table1[[#This Row],[State]]="Other Foreign Countries", Table1[[#This Row],[State]]="Unknown", Table1[[#This Row],[State]]="Puerto Rico all counties"))</f>
        <v>1</v>
      </c>
    </row>
    <row r="2403" spans="1:16" x14ac:dyDescent="0.25">
      <c r="A2403">
        <v>48387</v>
      </c>
      <c r="B2403" t="s">
        <v>2654</v>
      </c>
      <c r="C2403" t="s">
        <v>1961</v>
      </c>
      <c r="D2403">
        <v>331</v>
      </c>
      <c r="E2403">
        <v>61</v>
      </c>
      <c r="F2403">
        <v>32</v>
      </c>
      <c r="G2403">
        <v>32</v>
      </c>
      <c r="H2403">
        <v>95</v>
      </c>
      <c r="I2403">
        <v>111</v>
      </c>
      <c r="J2403">
        <v>68</v>
      </c>
      <c r="K2403">
        <v>107</v>
      </c>
      <c r="L2403">
        <v>156</v>
      </c>
      <c r="M2403">
        <v>293</v>
      </c>
      <c r="N2403">
        <v>38</v>
      </c>
      <c r="O2403" t="s">
        <v>4383</v>
      </c>
      <c r="P2403" s="1" t="b">
        <f>NOT(OR(Table1[[#This Row],[State]]="Other Foreign Countries", Table1[[#This Row],[State]]="Unknown", Table1[[#This Row],[State]]="Puerto Rico all counties"))</f>
        <v>1</v>
      </c>
    </row>
    <row r="2404" spans="1:16" x14ac:dyDescent="0.25">
      <c r="A2404">
        <v>31145</v>
      </c>
      <c r="B2404" t="s">
        <v>2758</v>
      </c>
      <c r="C2404" t="s">
        <v>2864</v>
      </c>
      <c r="D2404">
        <v>331</v>
      </c>
      <c r="E2404">
        <v>139</v>
      </c>
      <c r="F2404">
        <v>36</v>
      </c>
      <c r="G2404">
        <v>28</v>
      </c>
      <c r="H2404">
        <v>77</v>
      </c>
      <c r="I2404">
        <v>51</v>
      </c>
      <c r="J2404">
        <v>57</v>
      </c>
      <c r="K2404">
        <v>89</v>
      </c>
      <c r="L2404">
        <v>185</v>
      </c>
      <c r="M2404">
        <v>309</v>
      </c>
      <c r="N2404">
        <v>22</v>
      </c>
      <c r="O2404" t="s">
        <v>2865</v>
      </c>
      <c r="P2404" s="1" t="b">
        <f>NOT(OR(Table1[[#This Row],[State]]="Other Foreign Countries", Table1[[#This Row],[State]]="Unknown", Table1[[#This Row],[State]]="Puerto Rico all counties"))</f>
        <v>1</v>
      </c>
    </row>
    <row r="2405" spans="1:16" x14ac:dyDescent="0.25">
      <c r="A2405">
        <v>27127</v>
      </c>
      <c r="B2405" t="s">
        <v>2245</v>
      </c>
      <c r="C2405" t="s">
        <v>2352</v>
      </c>
      <c r="D2405">
        <v>330</v>
      </c>
      <c r="E2405">
        <v>149</v>
      </c>
      <c r="F2405">
        <v>28</v>
      </c>
      <c r="G2405">
        <v>31</v>
      </c>
      <c r="H2405">
        <v>63</v>
      </c>
      <c r="I2405">
        <v>59</v>
      </c>
      <c r="J2405">
        <v>48</v>
      </c>
      <c r="K2405">
        <v>69</v>
      </c>
      <c r="L2405">
        <v>213</v>
      </c>
      <c r="M2405">
        <v>315</v>
      </c>
      <c r="N2405">
        <v>15</v>
      </c>
      <c r="O2405" t="s">
        <v>2353</v>
      </c>
      <c r="P2405" s="1" t="b">
        <f>NOT(OR(Table1[[#This Row],[State]]="Other Foreign Countries", Table1[[#This Row],[State]]="Unknown", Table1[[#This Row],[State]]="Puerto Rico all counties"))</f>
        <v>1</v>
      </c>
    </row>
    <row r="2406" spans="1:16" x14ac:dyDescent="0.25">
      <c r="A2406">
        <v>48389</v>
      </c>
      <c r="B2406" t="s">
        <v>2654</v>
      </c>
      <c r="C2406" t="s">
        <v>4384</v>
      </c>
      <c r="D2406">
        <v>114</v>
      </c>
      <c r="E2406">
        <v>23</v>
      </c>
      <c r="F2406">
        <v>20</v>
      </c>
      <c r="G2406">
        <v>19</v>
      </c>
      <c r="H2406">
        <v>32</v>
      </c>
      <c r="I2406">
        <v>20</v>
      </c>
      <c r="J2406">
        <v>30</v>
      </c>
      <c r="K2406">
        <v>45</v>
      </c>
      <c r="L2406">
        <v>39</v>
      </c>
      <c r="M2406">
        <v>104</v>
      </c>
      <c r="N2406">
        <v>10</v>
      </c>
      <c r="O2406" t="s">
        <v>4385</v>
      </c>
      <c r="P2406" s="1" t="b">
        <f>NOT(OR(Table1[[#This Row],[State]]="Other Foreign Countries", Table1[[#This Row],[State]]="Unknown", Table1[[#This Row],[State]]="Puerto Rico all counties"))</f>
        <v>1</v>
      </c>
    </row>
    <row r="2407" spans="1:16" x14ac:dyDescent="0.25">
      <c r="A2407">
        <v>48391</v>
      </c>
      <c r="B2407" t="s">
        <v>2654</v>
      </c>
      <c r="C2407" t="s">
        <v>4386</v>
      </c>
      <c r="D2407">
        <v>219</v>
      </c>
      <c r="E2407">
        <v>59</v>
      </c>
      <c r="F2407">
        <v>15</v>
      </c>
      <c r="G2407">
        <v>20</v>
      </c>
      <c r="H2407">
        <v>60</v>
      </c>
      <c r="I2407">
        <v>65</v>
      </c>
      <c r="J2407">
        <v>38</v>
      </c>
      <c r="K2407">
        <v>68</v>
      </c>
      <c r="L2407">
        <v>113</v>
      </c>
      <c r="M2407">
        <v>205</v>
      </c>
      <c r="N2407">
        <v>14</v>
      </c>
      <c r="O2407" t="s">
        <v>4387</v>
      </c>
      <c r="P2407" s="1" t="b">
        <f>NOT(OR(Table1[[#This Row],[State]]="Other Foreign Countries", Table1[[#This Row],[State]]="Unknown", Table1[[#This Row],[State]]="Puerto Rico all counties"))</f>
        <v>1</v>
      </c>
    </row>
    <row r="2408" spans="1:16" x14ac:dyDescent="0.25">
      <c r="A2408">
        <v>20155</v>
      </c>
      <c r="B2408" t="s">
        <v>1543</v>
      </c>
      <c r="C2408" t="s">
        <v>1667</v>
      </c>
      <c r="D2408">
        <v>951</v>
      </c>
      <c r="E2408">
        <v>178</v>
      </c>
      <c r="F2408">
        <v>133</v>
      </c>
      <c r="G2408">
        <v>132</v>
      </c>
      <c r="H2408">
        <v>262</v>
      </c>
      <c r="I2408">
        <v>246</v>
      </c>
      <c r="J2408">
        <v>231</v>
      </c>
      <c r="K2408">
        <v>287</v>
      </c>
      <c r="L2408">
        <v>433</v>
      </c>
      <c r="M2408">
        <v>872</v>
      </c>
      <c r="N2408">
        <v>79</v>
      </c>
      <c r="O2408" t="s">
        <v>1668</v>
      </c>
      <c r="P2408" s="1" t="b">
        <f>NOT(OR(Table1[[#This Row],[State]]="Other Foreign Countries", Table1[[#This Row],[State]]="Unknown", Table1[[#This Row],[State]]="Puerto Rico all counties"))</f>
        <v>1</v>
      </c>
    </row>
    <row r="2409" spans="1:16" x14ac:dyDescent="0.25">
      <c r="A2409">
        <v>36083</v>
      </c>
      <c r="B2409" t="s">
        <v>3029</v>
      </c>
      <c r="C2409" t="s">
        <v>3087</v>
      </c>
      <c r="D2409">
        <v>1946</v>
      </c>
      <c r="E2409">
        <v>456</v>
      </c>
      <c r="F2409">
        <v>232</v>
      </c>
      <c r="G2409">
        <v>271</v>
      </c>
      <c r="H2409">
        <v>581</v>
      </c>
      <c r="I2409">
        <v>406</v>
      </c>
      <c r="J2409">
        <v>519</v>
      </c>
      <c r="K2409">
        <v>585</v>
      </c>
      <c r="L2409">
        <v>842</v>
      </c>
      <c r="M2409" s="1">
        <v>1727</v>
      </c>
      <c r="N2409">
        <v>219</v>
      </c>
      <c r="O2409" t="s">
        <v>3088</v>
      </c>
      <c r="P2409" s="1" t="b">
        <f>NOT(OR(Table1[[#This Row],[State]]="Other Foreign Countries", Table1[[#This Row],[State]]="Unknown", Table1[[#This Row],[State]]="Puerto Rico all counties"))</f>
        <v>1</v>
      </c>
    </row>
    <row r="2410" spans="1:16" x14ac:dyDescent="0.25">
      <c r="A2410">
        <v>27129</v>
      </c>
      <c r="B2410" t="s">
        <v>2245</v>
      </c>
      <c r="C2410" t="s">
        <v>2354</v>
      </c>
      <c r="D2410">
        <v>361</v>
      </c>
      <c r="E2410">
        <v>148</v>
      </c>
      <c r="F2410">
        <v>47</v>
      </c>
      <c r="G2410">
        <v>41</v>
      </c>
      <c r="H2410">
        <v>73</v>
      </c>
      <c r="I2410">
        <v>52</v>
      </c>
      <c r="J2410">
        <v>54</v>
      </c>
      <c r="K2410">
        <v>80</v>
      </c>
      <c r="L2410">
        <v>227</v>
      </c>
      <c r="M2410">
        <v>346</v>
      </c>
      <c r="N2410">
        <v>15</v>
      </c>
      <c r="O2410" t="s">
        <v>2355</v>
      </c>
      <c r="P2410" s="1" t="b">
        <f>NOT(OR(Table1[[#This Row],[State]]="Other Foreign Countries", Table1[[#This Row],[State]]="Unknown", Table1[[#This Row],[State]]="Puerto Rico all counties"))</f>
        <v>1</v>
      </c>
    </row>
    <row r="2411" spans="1:16" x14ac:dyDescent="0.25">
      <c r="A2411">
        <v>38075</v>
      </c>
      <c r="B2411" t="s">
        <v>3286</v>
      </c>
      <c r="C2411" t="s">
        <v>2354</v>
      </c>
      <c r="D2411">
        <v>103</v>
      </c>
      <c r="E2411">
        <v>18</v>
      </c>
      <c r="F2411">
        <v>15</v>
      </c>
      <c r="G2411">
        <v>12</v>
      </c>
      <c r="H2411">
        <v>32</v>
      </c>
      <c r="I2411">
        <v>26</v>
      </c>
      <c r="J2411">
        <v>30</v>
      </c>
      <c r="K2411">
        <v>43</v>
      </c>
      <c r="L2411">
        <v>30</v>
      </c>
      <c r="M2411">
        <v>91</v>
      </c>
      <c r="N2411">
        <v>12</v>
      </c>
      <c r="O2411" t="s">
        <v>3346</v>
      </c>
      <c r="P2411" s="1" t="b">
        <f>NOT(OR(Table1[[#This Row],[State]]="Other Foreign Countries", Table1[[#This Row],[State]]="Unknown", Table1[[#This Row],[State]]="Puerto Rico all counties"))</f>
        <v>1</v>
      </c>
    </row>
    <row r="2412" spans="1:16" x14ac:dyDescent="0.25">
      <c r="A2412">
        <v>20157</v>
      </c>
      <c r="B2412" t="s">
        <v>1543</v>
      </c>
      <c r="C2412" t="s">
        <v>1669</v>
      </c>
      <c r="D2412">
        <v>82</v>
      </c>
      <c r="G2412">
        <v>19</v>
      </c>
      <c r="H2412">
        <v>26</v>
      </c>
      <c r="I2412">
        <v>16</v>
      </c>
      <c r="J2412">
        <v>20</v>
      </c>
      <c r="K2412">
        <v>17</v>
      </c>
      <c r="L2412">
        <v>45</v>
      </c>
      <c r="O2412" t="s">
        <v>1670</v>
      </c>
      <c r="P2412" s="1" t="b">
        <f>NOT(OR(Table1[[#This Row],[State]]="Other Foreign Countries", Table1[[#This Row],[State]]="Unknown", Table1[[#This Row],[State]]="Puerto Rico all counties"))</f>
        <v>1</v>
      </c>
    </row>
    <row r="2413" spans="1:16" x14ac:dyDescent="0.25">
      <c r="A2413">
        <v>29179</v>
      </c>
      <c r="B2413" t="s">
        <v>2510</v>
      </c>
      <c r="C2413" t="s">
        <v>2630</v>
      </c>
      <c r="D2413">
        <v>196</v>
      </c>
      <c r="E2413">
        <v>43</v>
      </c>
      <c r="F2413">
        <v>21</v>
      </c>
      <c r="G2413">
        <v>13</v>
      </c>
      <c r="H2413">
        <v>64</v>
      </c>
      <c r="I2413">
        <v>55</v>
      </c>
      <c r="J2413">
        <v>35</v>
      </c>
      <c r="K2413">
        <v>56</v>
      </c>
      <c r="L2413">
        <v>105</v>
      </c>
      <c r="M2413">
        <v>185</v>
      </c>
      <c r="N2413">
        <v>11</v>
      </c>
      <c r="O2413" t="s">
        <v>2631</v>
      </c>
      <c r="P2413" s="1" t="b">
        <f>NOT(OR(Table1[[#This Row],[State]]="Other Foreign Countries", Table1[[#This Row],[State]]="Unknown", Table1[[#This Row],[State]]="Puerto Rico all counties"))</f>
        <v>1</v>
      </c>
    </row>
    <row r="2414" spans="1:16" x14ac:dyDescent="0.25">
      <c r="A2414">
        <v>47143</v>
      </c>
      <c r="B2414" t="s">
        <v>3951</v>
      </c>
      <c r="C2414" t="s">
        <v>4043</v>
      </c>
      <c r="D2414">
        <v>795</v>
      </c>
      <c r="E2414">
        <v>182</v>
      </c>
      <c r="F2414">
        <v>93</v>
      </c>
      <c r="G2414">
        <v>88</v>
      </c>
      <c r="H2414">
        <v>223</v>
      </c>
      <c r="I2414">
        <v>209</v>
      </c>
      <c r="J2414">
        <v>183</v>
      </c>
      <c r="K2414">
        <v>253</v>
      </c>
      <c r="L2414">
        <v>359</v>
      </c>
      <c r="M2414">
        <v>730</v>
      </c>
      <c r="N2414">
        <v>65</v>
      </c>
      <c r="O2414" t="s">
        <v>4044</v>
      </c>
      <c r="P2414" s="1" t="b">
        <f>NOT(OR(Table1[[#This Row],[State]]="Other Foreign Countries", Table1[[#This Row],[State]]="Unknown", Table1[[#This Row],[State]]="Puerto Rico all counties"))</f>
        <v>1</v>
      </c>
    </row>
    <row r="2415" spans="1:16" x14ac:dyDescent="0.25">
      <c r="A2415">
        <v>20159</v>
      </c>
      <c r="B2415" t="s">
        <v>1543</v>
      </c>
      <c r="C2415" t="s">
        <v>1671</v>
      </c>
      <c r="D2415">
        <v>139</v>
      </c>
      <c r="E2415">
        <v>36</v>
      </c>
      <c r="F2415">
        <v>15</v>
      </c>
      <c r="G2415">
        <v>18</v>
      </c>
      <c r="H2415">
        <v>45</v>
      </c>
      <c r="I2415">
        <v>25</v>
      </c>
      <c r="J2415">
        <v>38</v>
      </c>
      <c r="K2415">
        <v>44</v>
      </c>
      <c r="L2415">
        <v>57</v>
      </c>
      <c r="M2415">
        <v>123</v>
      </c>
      <c r="N2415">
        <v>16</v>
      </c>
      <c r="O2415" t="s">
        <v>1672</v>
      </c>
      <c r="P2415" s="1" t="b">
        <f>NOT(OR(Table1[[#This Row],[State]]="Other Foreign Countries", Table1[[#This Row],[State]]="Unknown", Table1[[#This Row],[State]]="Puerto Rico all counties"))</f>
        <v>1</v>
      </c>
    </row>
    <row r="2416" spans="1:16" x14ac:dyDescent="0.25">
      <c r="A2416">
        <v>27131</v>
      </c>
      <c r="B2416" t="s">
        <v>2245</v>
      </c>
      <c r="C2416" t="s">
        <v>1671</v>
      </c>
      <c r="D2416">
        <v>1083</v>
      </c>
      <c r="E2416">
        <v>449</v>
      </c>
      <c r="F2416">
        <v>148</v>
      </c>
      <c r="G2416">
        <v>111</v>
      </c>
      <c r="H2416">
        <v>202</v>
      </c>
      <c r="I2416">
        <v>173</v>
      </c>
      <c r="J2416">
        <v>226</v>
      </c>
      <c r="K2416">
        <v>249</v>
      </c>
      <c r="L2416">
        <v>608</v>
      </c>
      <c r="M2416">
        <v>991</v>
      </c>
      <c r="N2416">
        <v>91</v>
      </c>
      <c r="O2416" t="s">
        <v>2356</v>
      </c>
      <c r="P2416" s="1" t="b">
        <f>NOT(OR(Table1[[#This Row],[State]]="Other Foreign Countries", Table1[[#This Row],[State]]="Unknown", Table1[[#This Row],[State]]="Puerto Rico all counties"))</f>
        <v>1</v>
      </c>
    </row>
    <row r="2417" spans="1:16" x14ac:dyDescent="0.25">
      <c r="A2417">
        <v>49033</v>
      </c>
      <c r="B2417" t="s">
        <v>4486</v>
      </c>
      <c r="C2417" t="s">
        <v>4511</v>
      </c>
      <c r="D2417">
        <v>24</v>
      </c>
      <c r="L2417">
        <v>10</v>
      </c>
      <c r="O2417" t="s">
        <v>4512</v>
      </c>
      <c r="P2417" s="1" t="b">
        <f>NOT(OR(Table1[[#This Row],[State]]="Other Foreign Countries", Table1[[#This Row],[State]]="Unknown", Table1[[#This Row],[State]]="Puerto Rico all counties"))</f>
        <v>1</v>
      </c>
    </row>
    <row r="2418" spans="1:16" x14ac:dyDescent="0.25">
      <c r="A2418">
        <v>31147</v>
      </c>
      <c r="B2418" t="s">
        <v>2758</v>
      </c>
      <c r="C2418" t="s">
        <v>2866</v>
      </c>
      <c r="D2418">
        <v>171</v>
      </c>
      <c r="E2418">
        <v>61</v>
      </c>
      <c r="F2418">
        <v>18</v>
      </c>
      <c r="G2418">
        <v>11</v>
      </c>
      <c r="H2418">
        <v>50</v>
      </c>
      <c r="I2418">
        <v>31</v>
      </c>
      <c r="J2418">
        <v>27</v>
      </c>
      <c r="K2418">
        <v>35</v>
      </c>
      <c r="L2418">
        <v>109</v>
      </c>
      <c r="O2418" t="s">
        <v>2867</v>
      </c>
      <c r="P2418" s="1" t="b">
        <f>NOT(OR(Table1[[#This Row],[State]]="Other Foreign Countries", Table1[[#This Row],[State]]="Unknown", Table1[[#This Row],[State]]="Puerto Rico all counties"))</f>
        <v>1</v>
      </c>
    </row>
    <row r="2419" spans="1:16" x14ac:dyDescent="0.25">
      <c r="A2419">
        <v>17159</v>
      </c>
      <c r="B2419" t="s">
        <v>1109</v>
      </c>
      <c r="C2419" t="s">
        <v>1229</v>
      </c>
      <c r="D2419">
        <v>227</v>
      </c>
      <c r="E2419">
        <v>41</v>
      </c>
      <c r="F2419">
        <v>21</v>
      </c>
      <c r="G2419">
        <v>26</v>
      </c>
      <c r="H2419">
        <v>82</v>
      </c>
      <c r="I2419">
        <v>57</v>
      </c>
      <c r="J2419">
        <v>61</v>
      </c>
      <c r="K2419">
        <v>64</v>
      </c>
      <c r="L2419">
        <v>102</v>
      </c>
      <c r="M2419">
        <v>213</v>
      </c>
      <c r="N2419">
        <v>14</v>
      </c>
      <c r="O2419" t="s">
        <v>1230</v>
      </c>
      <c r="P2419" s="1" t="b">
        <f>NOT(OR(Table1[[#This Row],[State]]="Other Foreign Countries", Table1[[#This Row],[State]]="Unknown", Table1[[#This Row],[State]]="Puerto Rico all counties"))</f>
        <v>1</v>
      </c>
    </row>
    <row r="2420" spans="1:16" x14ac:dyDescent="0.25">
      <c r="A2420">
        <v>22083</v>
      </c>
      <c r="B2420" t="s">
        <v>1892</v>
      </c>
      <c r="C2420" t="s">
        <v>1229</v>
      </c>
      <c r="D2420">
        <v>287</v>
      </c>
      <c r="E2420">
        <v>38</v>
      </c>
      <c r="F2420">
        <v>23</v>
      </c>
      <c r="G2420">
        <v>32</v>
      </c>
      <c r="H2420">
        <v>107</v>
      </c>
      <c r="I2420">
        <v>87</v>
      </c>
      <c r="J2420">
        <v>66</v>
      </c>
      <c r="K2420">
        <v>112</v>
      </c>
      <c r="L2420">
        <v>109</v>
      </c>
      <c r="M2420">
        <v>251</v>
      </c>
      <c r="N2420">
        <v>36</v>
      </c>
      <c r="O2420" t="s">
        <v>1963</v>
      </c>
      <c r="P2420" s="1" t="b">
        <f>NOT(OR(Table1[[#This Row],[State]]="Other Foreign Countries", Table1[[#This Row],[State]]="Unknown", Table1[[#This Row],[State]]="Puerto Rico all counties"))</f>
        <v>1</v>
      </c>
    </row>
    <row r="2421" spans="1:16" x14ac:dyDescent="0.25">
      <c r="A2421">
        <v>30083</v>
      </c>
      <c r="B2421" t="s">
        <v>2665</v>
      </c>
      <c r="C2421" t="s">
        <v>1229</v>
      </c>
      <c r="D2421">
        <v>155</v>
      </c>
      <c r="E2421">
        <v>42</v>
      </c>
      <c r="F2421">
        <v>21</v>
      </c>
      <c r="G2421">
        <v>25</v>
      </c>
      <c r="H2421">
        <v>36</v>
      </c>
      <c r="I2421">
        <v>31</v>
      </c>
      <c r="J2421">
        <v>50</v>
      </c>
      <c r="K2421">
        <v>57</v>
      </c>
      <c r="L2421">
        <v>48</v>
      </c>
      <c r="M2421">
        <v>139</v>
      </c>
      <c r="N2421">
        <v>16</v>
      </c>
      <c r="O2421" t="s">
        <v>2732</v>
      </c>
      <c r="P2421" s="1" t="b">
        <f>NOT(OR(Table1[[#This Row],[State]]="Other Foreign Countries", Table1[[#This Row],[State]]="Unknown", Table1[[#This Row],[State]]="Puerto Rico all counties"))</f>
        <v>1</v>
      </c>
    </row>
    <row r="2422" spans="1:16" x14ac:dyDescent="0.25">
      <c r="A2422">
        <v>38077</v>
      </c>
      <c r="B2422" t="s">
        <v>3286</v>
      </c>
      <c r="C2422" t="s">
        <v>1229</v>
      </c>
      <c r="D2422">
        <v>345</v>
      </c>
      <c r="E2422">
        <v>96</v>
      </c>
      <c r="F2422">
        <v>27</v>
      </c>
      <c r="G2422">
        <v>41</v>
      </c>
      <c r="H2422">
        <v>104</v>
      </c>
      <c r="I2422">
        <v>77</v>
      </c>
      <c r="J2422">
        <v>74</v>
      </c>
      <c r="K2422">
        <v>89</v>
      </c>
      <c r="L2422">
        <v>182</v>
      </c>
      <c r="M2422">
        <v>323</v>
      </c>
      <c r="N2422">
        <v>22</v>
      </c>
      <c r="O2422" t="s">
        <v>3347</v>
      </c>
      <c r="P2422" s="1" t="b">
        <f>NOT(OR(Table1[[#This Row],[State]]="Other Foreign Countries", Table1[[#This Row],[State]]="Unknown", Table1[[#This Row],[State]]="Puerto Rico all counties"))</f>
        <v>1</v>
      </c>
    </row>
    <row r="2423" spans="1:16" x14ac:dyDescent="0.25">
      <c r="A2423">
        <v>39139</v>
      </c>
      <c r="B2423" t="s">
        <v>1343</v>
      </c>
      <c r="C2423" t="s">
        <v>1229</v>
      </c>
      <c r="D2423">
        <v>2481</v>
      </c>
      <c r="E2423">
        <v>648</v>
      </c>
      <c r="F2423">
        <v>314</v>
      </c>
      <c r="G2423">
        <v>333</v>
      </c>
      <c r="H2423">
        <v>654</v>
      </c>
      <c r="I2423">
        <v>532</v>
      </c>
      <c r="J2423">
        <v>636</v>
      </c>
      <c r="K2423">
        <v>682</v>
      </c>
      <c r="L2423" s="1">
        <v>1163</v>
      </c>
      <c r="M2423" s="1">
        <v>2273</v>
      </c>
      <c r="N2423">
        <v>207</v>
      </c>
      <c r="O2423" t="s">
        <v>3467</v>
      </c>
      <c r="P2423" s="1" t="b">
        <f>NOT(OR(Table1[[#This Row],[State]]="Other Foreign Countries", Table1[[#This Row],[State]]="Unknown", Table1[[#This Row],[State]]="Puerto Rico all counties"))</f>
        <v>1</v>
      </c>
    </row>
    <row r="2424" spans="1:16" x14ac:dyDescent="0.25">
      <c r="A2424">
        <v>45079</v>
      </c>
      <c r="B2424" t="s">
        <v>3772</v>
      </c>
      <c r="C2424" t="s">
        <v>1229</v>
      </c>
      <c r="D2424">
        <v>20680</v>
      </c>
      <c r="E2424" s="1">
        <v>2088</v>
      </c>
      <c r="F2424" s="1">
        <v>1459</v>
      </c>
      <c r="G2424" s="1">
        <v>1818</v>
      </c>
      <c r="H2424" s="1">
        <v>6138</v>
      </c>
      <c r="I2424" s="1">
        <v>9177</v>
      </c>
      <c r="J2424" s="1">
        <v>5471</v>
      </c>
      <c r="K2424" s="1">
        <v>8547</v>
      </c>
      <c r="L2424" s="1">
        <v>6662</v>
      </c>
      <c r="M2424" s="1">
        <v>15745</v>
      </c>
      <c r="N2424" s="1">
        <v>4933</v>
      </c>
      <c r="O2424" t="s">
        <v>3836</v>
      </c>
      <c r="P2424" s="1" t="b">
        <f>NOT(OR(Table1[[#This Row],[State]]="Other Foreign Countries", Table1[[#This Row],[State]]="Unknown", Table1[[#This Row],[State]]="Puerto Rico all counties"))</f>
        <v>1</v>
      </c>
    </row>
    <row r="2425" spans="1:16" x14ac:dyDescent="0.25">
      <c r="A2425">
        <v>55103</v>
      </c>
      <c r="B2425" t="s">
        <v>4906</v>
      </c>
      <c r="C2425" t="s">
        <v>1229</v>
      </c>
      <c r="D2425">
        <v>310</v>
      </c>
      <c r="E2425">
        <v>89</v>
      </c>
      <c r="F2425">
        <v>35</v>
      </c>
      <c r="G2425">
        <v>38</v>
      </c>
      <c r="H2425">
        <v>78</v>
      </c>
      <c r="I2425">
        <v>70</v>
      </c>
      <c r="J2425">
        <v>72</v>
      </c>
      <c r="K2425">
        <v>77</v>
      </c>
      <c r="L2425">
        <v>161</v>
      </c>
      <c r="M2425">
        <v>269</v>
      </c>
      <c r="N2425">
        <v>41</v>
      </c>
      <c r="O2425" t="s">
        <v>4982</v>
      </c>
      <c r="P2425" s="1" t="b">
        <f>NOT(OR(Table1[[#This Row],[State]]="Other Foreign Countries", Table1[[#This Row],[State]]="Unknown", Table1[[#This Row],[State]]="Puerto Rico all counties"))</f>
        <v>1</v>
      </c>
    </row>
    <row r="2426" spans="1:16" x14ac:dyDescent="0.25">
      <c r="A2426">
        <v>13245</v>
      </c>
      <c r="B2426" t="s">
        <v>754</v>
      </c>
      <c r="C2426" t="s">
        <v>953</v>
      </c>
      <c r="D2426">
        <v>10530</v>
      </c>
      <c r="E2426" s="1">
        <v>1157</v>
      </c>
      <c r="F2426">
        <v>906</v>
      </c>
      <c r="G2426" s="1">
        <v>1050</v>
      </c>
      <c r="H2426" s="1">
        <v>3451</v>
      </c>
      <c r="I2426" s="1">
        <v>3966</v>
      </c>
      <c r="J2426" s="1">
        <v>2781</v>
      </c>
      <c r="K2426" s="1">
        <v>3753</v>
      </c>
      <c r="L2426" s="1">
        <v>3996</v>
      </c>
      <c r="M2426" s="1">
        <v>7867</v>
      </c>
      <c r="N2426" s="1">
        <v>2663</v>
      </c>
      <c r="O2426" t="s">
        <v>954</v>
      </c>
      <c r="P2426" s="1" t="b">
        <f>NOT(OR(Table1[[#This Row],[State]]="Other Foreign Countries", Table1[[#This Row],[State]]="Unknown", Table1[[#This Row],[State]]="Puerto Rico all counties"))</f>
        <v>1</v>
      </c>
    </row>
    <row r="2427" spans="1:16" x14ac:dyDescent="0.25">
      <c r="A2427">
        <v>36085</v>
      </c>
      <c r="B2427" t="s">
        <v>3029</v>
      </c>
      <c r="C2427" t="s">
        <v>953</v>
      </c>
      <c r="D2427">
        <v>2779</v>
      </c>
      <c r="E2427">
        <v>573</v>
      </c>
      <c r="F2427">
        <v>281</v>
      </c>
      <c r="G2427">
        <v>260</v>
      </c>
      <c r="H2427">
        <v>838</v>
      </c>
      <c r="I2427">
        <v>827</v>
      </c>
      <c r="J2427">
        <v>818</v>
      </c>
      <c r="K2427">
        <v>659</v>
      </c>
      <c r="L2427" s="1">
        <v>1302</v>
      </c>
      <c r="M2427" s="1">
        <v>2564</v>
      </c>
      <c r="N2427">
        <v>215</v>
      </c>
      <c r="O2427" t="s">
        <v>3089</v>
      </c>
      <c r="P2427" s="1" t="b">
        <f>NOT(OR(Table1[[#This Row],[State]]="Other Foreign Countries", Table1[[#This Row],[State]]="Unknown", Table1[[#This Row],[State]]="Puerto Rico all counties"))</f>
        <v>1</v>
      </c>
    </row>
    <row r="2428" spans="1:16" x14ac:dyDescent="0.25">
      <c r="A2428">
        <v>37153</v>
      </c>
      <c r="B2428" t="s">
        <v>3121</v>
      </c>
      <c r="C2428" t="s">
        <v>953</v>
      </c>
      <c r="D2428">
        <v>1143</v>
      </c>
      <c r="E2428">
        <v>166</v>
      </c>
      <c r="F2428">
        <v>96</v>
      </c>
      <c r="G2428">
        <v>114</v>
      </c>
      <c r="H2428">
        <v>391</v>
      </c>
      <c r="I2428">
        <v>376</v>
      </c>
      <c r="J2428">
        <v>203</v>
      </c>
      <c r="K2428">
        <v>360</v>
      </c>
      <c r="L2428">
        <v>580</v>
      </c>
      <c r="M2428" s="1">
        <v>1031</v>
      </c>
      <c r="N2428">
        <v>112</v>
      </c>
      <c r="O2428" t="s">
        <v>3248</v>
      </c>
      <c r="P2428" s="1" t="b">
        <f>NOT(OR(Table1[[#This Row],[State]]="Other Foreign Countries", Table1[[#This Row],[State]]="Unknown", Table1[[#This Row],[State]]="Puerto Rico all counties"))</f>
        <v>1</v>
      </c>
    </row>
    <row r="2429" spans="1:16" x14ac:dyDescent="0.25">
      <c r="A2429">
        <v>51159</v>
      </c>
      <c r="B2429" t="s">
        <v>4555</v>
      </c>
      <c r="C2429" t="s">
        <v>953</v>
      </c>
      <c r="D2429">
        <v>148</v>
      </c>
      <c r="E2429">
        <v>18</v>
      </c>
      <c r="F2429">
        <v>12</v>
      </c>
      <c r="G2429">
        <v>20</v>
      </c>
      <c r="H2429">
        <v>53</v>
      </c>
      <c r="I2429">
        <v>45</v>
      </c>
      <c r="J2429">
        <v>30</v>
      </c>
      <c r="K2429">
        <v>51</v>
      </c>
      <c r="L2429">
        <v>67</v>
      </c>
      <c r="M2429">
        <v>132</v>
      </c>
      <c r="N2429">
        <v>16</v>
      </c>
      <c r="O2429" t="s">
        <v>4669</v>
      </c>
      <c r="P2429" s="1" t="b">
        <f>NOT(OR(Table1[[#This Row],[State]]="Other Foreign Countries", Table1[[#This Row],[State]]="Unknown", Table1[[#This Row],[State]]="Puerto Rico all counties"))</f>
        <v>1</v>
      </c>
    </row>
    <row r="2430" spans="1:16" x14ac:dyDescent="0.25">
      <c r="A2430">
        <v>51760</v>
      </c>
      <c r="B2430" t="s">
        <v>4555</v>
      </c>
      <c r="C2430" t="s">
        <v>4754</v>
      </c>
      <c r="D2430">
        <v>2751</v>
      </c>
      <c r="E2430">
        <v>540</v>
      </c>
      <c r="F2430">
        <v>340</v>
      </c>
      <c r="G2430">
        <v>356</v>
      </c>
      <c r="H2430">
        <v>840</v>
      </c>
      <c r="I2430">
        <v>675</v>
      </c>
      <c r="J2430">
        <v>899</v>
      </c>
      <c r="K2430">
        <v>804</v>
      </c>
      <c r="L2430" s="1">
        <v>1048</v>
      </c>
      <c r="M2430" s="1">
        <v>2253</v>
      </c>
      <c r="N2430">
        <v>498</v>
      </c>
      <c r="O2430" t="s">
        <v>4755</v>
      </c>
      <c r="P2430" s="1" t="b">
        <f>NOT(OR(Table1[[#This Row],[State]]="Other Foreign Countries", Table1[[#This Row],[State]]="Unknown", Table1[[#This Row],[State]]="Puerto Rico all counties"))</f>
        <v>1</v>
      </c>
    </row>
    <row r="2431" spans="1:16" x14ac:dyDescent="0.25">
      <c r="A2431">
        <v>20161</v>
      </c>
      <c r="B2431" t="s">
        <v>1543</v>
      </c>
      <c r="C2431" t="s">
        <v>1673</v>
      </c>
      <c r="D2431">
        <v>2641</v>
      </c>
      <c r="E2431">
        <v>405</v>
      </c>
      <c r="F2431">
        <v>241</v>
      </c>
      <c r="G2431">
        <v>324</v>
      </c>
      <c r="H2431">
        <v>923</v>
      </c>
      <c r="I2431">
        <v>748</v>
      </c>
      <c r="J2431" s="1">
        <v>1292</v>
      </c>
      <c r="K2431">
        <v>816</v>
      </c>
      <c r="L2431">
        <v>533</v>
      </c>
      <c r="M2431" s="1">
        <v>2181</v>
      </c>
      <c r="N2431">
        <v>459</v>
      </c>
      <c r="O2431" t="s">
        <v>1674</v>
      </c>
      <c r="P2431" s="1" t="b">
        <f>NOT(OR(Table1[[#This Row],[State]]="Other Foreign Countries", Table1[[#This Row],[State]]="Unknown", Table1[[#This Row],[State]]="Puerto Rico all counties"))</f>
        <v>1</v>
      </c>
    </row>
    <row r="2432" spans="1:16" x14ac:dyDescent="0.25">
      <c r="A2432">
        <v>19159</v>
      </c>
      <c r="B2432" t="s">
        <v>1399</v>
      </c>
      <c r="C2432" t="s">
        <v>1514</v>
      </c>
      <c r="D2432">
        <v>106</v>
      </c>
      <c r="E2432">
        <v>30</v>
      </c>
      <c r="F2432">
        <v>19</v>
      </c>
      <c r="G2432">
        <v>11</v>
      </c>
      <c r="H2432">
        <v>25</v>
      </c>
      <c r="I2432">
        <v>21</v>
      </c>
      <c r="J2432">
        <v>13</v>
      </c>
      <c r="K2432">
        <v>19</v>
      </c>
      <c r="L2432">
        <v>74</v>
      </c>
      <c r="M2432">
        <v>95</v>
      </c>
      <c r="N2432">
        <v>11</v>
      </c>
      <c r="O2432" t="s">
        <v>1515</v>
      </c>
      <c r="P2432" s="1" t="b">
        <f>NOT(OR(Table1[[#This Row],[State]]="Other Foreign Countries", Table1[[#This Row],[State]]="Unknown", Table1[[#This Row],[State]]="Puerto Rico all counties"))</f>
        <v>1</v>
      </c>
    </row>
    <row r="2433" spans="1:16" x14ac:dyDescent="0.25">
      <c r="A2433">
        <v>35039</v>
      </c>
      <c r="B2433" t="s">
        <v>2971</v>
      </c>
      <c r="C2433" t="s">
        <v>3010</v>
      </c>
      <c r="D2433">
        <v>524</v>
      </c>
      <c r="E2433">
        <v>79</v>
      </c>
      <c r="F2433">
        <v>52</v>
      </c>
      <c r="G2433">
        <v>52</v>
      </c>
      <c r="H2433">
        <v>190</v>
      </c>
      <c r="I2433">
        <v>151</v>
      </c>
      <c r="J2433">
        <v>92</v>
      </c>
      <c r="K2433">
        <v>137</v>
      </c>
      <c r="L2433">
        <v>295</v>
      </c>
      <c r="M2433">
        <v>479</v>
      </c>
      <c r="N2433">
        <v>45</v>
      </c>
      <c r="O2433" t="s">
        <v>3011</v>
      </c>
      <c r="P2433" s="1" t="b">
        <f>NOT(OR(Table1[[#This Row],[State]]="Other Foreign Countries", Table1[[#This Row],[State]]="Unknown", Table1[[#This Row],[State]]="Puerto Rico all counties"))</f>
        <v>1</v>
      </c>
    </row>
    <row r="2434" spans="1:16" x14ac:dyDescent="0.25">
      <c r="A2434">
        <v>8103</v>
      </c>
      <c r="B2434" t="s">
        <v>489</v>
      </c>
      <c r="C2434" t="s">
        <v>587</v>
      </c>
      <c r="D2434">
        <v>145</v>
      </c>
      <c r="E2434">
        <v>51</v>
      </c>
      <c r="F2434">
        <v>24</v>
      </c>
      <c r="G2434">
        <v>21</v>
      </c>
      <c r="H2434">
        <v>25</v>
      </c>
      <c r="I2434">
        <v>24</v>
      </c>
      <c r="J2434">
        <v>35</v>
      </c>
      <c r="K2434">
        <v>33</v>
      </c>
      <c r="L2434">
        <v>77</v>
      </c>
      <c r="M2434">
        <v>132</v>
      </c>
      <c r="N2434">
        <v>13</v>
      </c>
      <c r="O2434" t="s">
        <v>588</v>
      </c>
      <c r="P2434" s="1" t="b">
        <f>NOT(OR(Table1[[#This Row],[State]]="Other Foreign Countries", Table1[[#This Row],[State]]="Unknown", Table1[[#This Row],[State]]="Puerto Rico all counties"))</f>
        <v>1</v>
      </c>
    </row>
    <row r="2435" spans="1:16" x14ac:dyDescent="0.25">
      <c r="A2435">
        <v>8105</v>
      </c>
      <c r="B2435" t="s">
        <v>489</v>
      </c>
      <c r="C2435" t="s">
        <v>589</v>
      </c>
      <c r="D2435">
        <v>257</v>
      </c>
      <c r="E2435">
        <v>51</v>
      </c>
      <c r="F2435">
        <v>24</v>
      </c>
      <c r="G2435">
        <v>29</v>
      </c>
      <c r="H2435">
        <v>78</v>
      </c>
      <c r="I2435">
        <v>75</v>
      </c>
      <c r="J2435">
        <v>44</v>
      </c>
      <c r="K2435">
        <v>81</v>
      </c>
      <c r="L2435">
        <v>132</v>
      </c>
      <c r="M2435">
        <v>235</v>
      </c>
      <c r="N2435">
        <v>22</v>
      </c>
      <c r="O2435" t="s">
        <v>590</v>
      </c>
      <c r="P2435" s="1" t="b">
        <f>NOT(OR(Table1[[#This Row],[State]]="Other Foreign Countries", Table1[[#This Row],[State]]="Unknown", Table1[[#This Row],[State]]="Puerto Rico all counties"))</f>
        <v>1</v>
      </c>
    </row>
    <row r="2436" spans="1:16" x14ac:dyDescent="0.25">
      <c r="A2436">
        <v>18137</v>
      </c>
      <c r="B2436" t="s">
        <v>1266</v>
      </c>
      <c r="C2436" t="s">
        <v>1359</v>
      </c>
      <c r="D2436">
        <v>606</v>
      </c>
      <c r="E2436">
        <v>228</v>
      </c>
      <c r="F2436">
        <v>62</v>
      </c>
      <c r="G2436">
        <v>80</v>
      </c>
      <c r="H2436">
        <v>145</v>
      </c>
      <c r="I2436">
        <v>91</v>
      </c>
      <c r="J2436">
        <v>102</v>
      </c>
      <c r="K2436">
        <v>171</v>
      </c>
      <c r="L2436">
        <v>333</v>
      </c>
      <c r="M2436">
        <v>568</v>
      </c>
      <c r="N2436">
        <v>37</v>
      </c>
      <c r="O2436" t="s">
        <v>1360</v>
      </c>
      <c r="P2436" s="1" t="b">
        <f>NOT(OR(Table1[[#This Row],[State]]="Other Foreign Countries", Table1[[#This Row],[State]]="Unknown", Table1[[#This Row],[State]]="Puerto Rico all counties"))</f>
        <v>1</v>
      </c>
    </row>
    <row r="2437" spans="1:16" x14ac:dyDescent="0.25">
      <c r="A2437">
        <v>29181</v>
      </c>
      <c r="B2437" t="s">
        <v>2510</v>
      </c>
      <c r="C2437" t="s">
        <v>1359</v>
      </c>
      <c r="D2437">
        <v>408</v>
      </c>
      <c r="E2437">
        <v>86</v>
      </c>
      <c r="F2437">
        <v>39</v>
      </c>
      <c r="G2437">
        <v>36</v>
      </c>
      <c r="H2437">
        <v>133</v>
      </c>
      <c r="I2437">
        <v>114</v>
      </c>
      <c r="J2437">
        <v>80</v>
      </c>
      <c r="K2437">
        <v>137</v>
      </c>
      <c r="L2437">
        <v>191</v>
      </c>
      <c r="M2437">
        <v>371</v>
      </c>
      <c r="N2437">
        <v>37</v>
      </c>
      <c r="O2437" t="s">
        <v>2632</v>
      </c>
      <c r="P2437" s="1" t="b">
        <f>NOT(OR(Table1[[#This Row],[State]]="Other Foreign Countries", Table1[[#This Row],[State]]="Unknown", Table1[[#This Row],[State]]="Puerto Rico all counties"))</f>
        <v>1</v>
      </c>
    </row>
    <row r="2438" spans="1:16" x14ac:dyDescent="0.25">
      <c r="A2438">
        <v>54085</v>
      </c>
      <c r="B2438" t="s">
        <v>4833</v>
      </c>
      <c r="C2438" t="s">
        <v>4888</v>
      </c>
      <c r="D2438">
        <v>252</v>
      </c>
      <c r="E2438">
        <v>43</v>
      </c>
      <c r="F2438">
        <v>23</v>
      </c>
      <c r="G2438">
        <v>15</v>
      </c>
      <c r="H2438">
        <v>81</v>
      </c>
      <c r="I2438">
        <v>90</v>
      </c>
      <c r="J2438">
        <v>41</v>
      </c>
      <c r="K2438">
        <v>101</v>
      </c>
      <c r="L2438">
        <v>110</v>
      </c>
      <c r="M2438">
        <v>236</v>
      </c>
      <c r="N2438">
        <v>16</v>
      </c>
      <c r="O2438" t="s">
        <v>4889</v>
      </c>
      <c r="P2438" s="1" t="b">
        <f>NOT(OR(Table1[[#This Row],[State]]="Other Foreign Countries", Table1[[#This Row],[State]]="Unknown", Table1[[#This Row],[State]]="Puerto Rico all counties"))</f>
        <v>1</v>
      </c>
    </row>
    <row r="2439" spans="1:16" x14ac:dyDescent="0.25">
      <c r="A2439">
        <v>6065</v>
      </c>
      <c r="B2439" t="s">
        <v>374</v>
      </c>
      <c r="C2439" t="s">
        <v>438</v>
      </c>
      <c r="D2439">
        <v>50395</v>
      </c>
      <c r="E2439" s="1">
        <v>8265</v>
      </c>
      <c r="F2439" s="1">
        <v>3947</v>
      </c>
      <c r="G2439" s="1">
        <v>4573</v>
      </c>
      <c r="H2439" s="1">
        <v>14001</v>
      </c>
      <c r="I2439" s="1">
        <v>19609</v>
      </c>
      <c r="J2439" s="1">
        <v>17234</v>
      </c>
      <c r="K2439" s="1">
        <v>17382</v>
      </c>
      <c r="L2439" s="1">
        <v>15779</v>
      </c>
      <c r="M2439" s="1">
        <v>44647</v>
      </c>
      <c r="N2439" s="1">
        <v>5739</v>
      </c>
      <c r="O2439" t="s">
        <v>439</v>
      </c>
      <c r="P2439" s="1" t="b">
        <f>NOT(OR(Table1[[#This Row],[State]]="Other Foreign Countries", Table1[[#This Row],[State]]="Unknown", Table1[[#This Row],[State]]="Puerto Rico all counties"))</f>
        <v>1</v>
      </c>
    </row>
    <row r="2440" spans="1:16" x14ac:dyDescent="0.25">
      <c r="A2440">
        <v>47145</v>
      </c>
      <c r="B2440" t="s">
        <v>3951</v>
      </c>
      <c r="C2440" t="s">
        <v>4045</v>
      </c>
      <c r="D2440">
        <v>1851</v>
      </c>
      <c r="E2440">
        <v>438</v>
      </c>
      <c r="F2440">
        <v>194</v>
      </c>
      <c r="G2440">
        <v>218</v>
      </c>
      <c r="H2440">
        <v>529</v>
      </c>
      <c r="I2440">
        <v>472</v>
      </c>
      <c r="J2440">
        <v>439</v>
      </c>
      <c r="K2440">
        <v>615</v>
      </c>
      <c r="L2440">
        <v>797</v>
      </c>
      <c r="M2440" s="1">
        <v>1684</v>
      </c>
      <c r="N2440">
        <v>167</v>
      </c>
      <c r="O2440" t="s">
        <v>4046</v>
      </c>
      <c r="P2440" s="1" t="b">
        <f>NOT(OR(Table1[[#This Row],[State]]="Other Foreign Countries", Table1[[#This Row],[State]]="Unknown", Table1[[#This Row],[State]]="Puerto Rico all counties"))</f>
        <v>1</v>
      </c>
    </row>
    <row r="2441" spans="1:16" x14ac:dyDescent="0.25">
      <c r="A2441">
        <v>54087</v>
      </c>
      <c r="B2441" t="s">
        <v>4833</v>
      </c>
      <c r="C2441" t="s">
        <v>4045</v>
      </c>
      <c r="D2441">
        <v>337</v>
      </c>
      <c r="E2441">
        <v>62</v>
      </c>
      <c r="F2441">
        <v>27</v>
      </c>
      <c r="G2441">
        <v>41</v>
      </c>
      <c r="H2441">
        <v>117</v>
      </c>
      <c r="I2441">
        <v>90</v>
      </c>
      <c r="J2441">
        <v>56</v>
      </c>
      <c r="K2441">
        <v>117</v>
      </c>
      <c r="L2441">
        <v>164</v>
      </c>
      <c r="M2441">
        <v>307</v>
      </c>
      <c r="N2441">
        <v>30</v>
      </c>
      <c r="O2441" t="s">
        <v>4890</v>
      </c>
      <c r="P2441" s="1" t="b">
        <f>NOT(OR(Table1[[#This Row],[State]]="Other Foreign Countries", Table1[[#This Row],[State]]="Unknown", Table1[[#This Row],[State]]="Puerto Rico all counties"))</f>
        <v>1</v>
      </c>
    </row>
    <row r="2442" spans="1:16" x14ac:dyDescent="0.25">
      <c r="A2442">
        <v>51161</v>
      </c>
      <c r="B2442" t="s">
        <v>4555</v>
      </c>
      <c r="C2442" t="s">
        <v>4670</v>
      </c>
      <c r="D2442">
        <v>2210</v>
      </c>
      <c r="E2442">
        <v>402</v>
      </c>
      <c r="F2442">
        <v>271</v>
      </c>
      <c r="G2442">
        <v>294</v>
      </c>
      <c r="H2442">
        <v>661</v>
      </c>
      <c r="I2442">
        <v>582</v>
      </c>
      <c r="J2442">
        <v>542</v>
      </c>
      <c r="K2442">
        <v>781</v>
      </c>
      <c r="L2442">
        <v>887</v>
      </c>
      <c r="M2442" s="1">
        <v>1966</v>
      </c>
      <c r="N2442">
        <v>244</v>
      </c>
      <c r="O2442" t="s">
        <v>4671</v>
      </c>
      <c r="P2442" s="1" t="b">
        <f>NOT(OR(Table1[[#This Row],[State]]="Other Foreign Countries", Table1[[#This Row],[State]]="Unknown", Table1[[#This Row],[State]]="Puerto Rico all counties"))</f>
        <v>1</v>
      </c>
    </row>
    <row r="2443" spans="1:16" x14ac:dyDescent="0.25">
      <c r="A2443">
        <v>51770</v>
      </c>
      <c r="B2443" t="s">
        <v>4555</v>
      </c>
      <c r="C2443" t="s">
        <v>4756</v>
      </c>
      <c r="D2443">
        <v>1799</v>
      </c>
      <c r="E2443">
        <v>385</v>
      </c>
      <c r="F2443">
        <v>215</v>
      </c>
      <c r="G2443">
        <v>219</v>
      </c>
      <c r="H2443">
        <v>517</v>
      </c>
      <c r="I2443">
        <v>463</v>
      </c>
      <c r="J2443">
        <v>430</v>
      </c>
      <c r="K2443">
        <v>519</v>
      </c>
      <c r="L2443">
        <v>849</v>
      </c>
      <c r="M2443" s="1">
        <v>1561</v>
      </c>
      <c r="N2443">
        <v>238</v>
      </c>
      <c r="O2443" t="s">
        <v>4757</v>
      </c>
      <c r="P2443" s="1" t="b">
        <f>NOT(OR(Table1[[#This Row],[State]]="Other Foreign Countries", Table1[[#This Row],[State]]="Unknown", Table1[[#This Row],[State]]="Puerto Rico all counties"))</f>
        <v>1</v>
      </c>
    </row>
    <row r="2444" spans="1:16" x14ac:dyDescent="0.25">
      <c r="A2444">
        <v>46109</v>
      </c>
      <c r="B2444" t="s">
        <v>3846</v>
      </c>
      <c r="C2444" t="s">
        <v>3930</v>
      </c>
      <c r="D2444">
        <v>197</v>
      </c>
      <c r="E2444">
        <v>56</v>
      </c>
      <c r="F2444">
        <v>26</v>
      </c>
      <c r="G2444">
        <v>30</v>
      </c>
      <c r="H2444">
        <v>46</v>
      </c>
      <c r="I2444">
        <v>39</v>
      </c>
      <c r="J2444">
        <v>34</v>
      </c>
      <c r="K2444">
        <v>60</v>
      </c>
      <c r="L2444">
        <v>103</v>
      </c>
      <c r="O2444" t="s">
        <v>3931</v>
      </c>
      <c r="P2444" s="1" t="b">
        <f>NOT(OR(Table1[[#This Row],[State]]="Other Foreign Countries", Table1[[#This Row],[State]]="Unknown", Table1[[#This Row],[State]]="Puerto Rico all counties"))</f>
        <v>1</v>
      </c>
    </row>
    <row r="2445" spans="1:16" x14ac:dyDescent="0.25">
      <c r="A2445">
        <v>48393</v>
      </c>
      <c r="B2445" t="s">
        <v>2654</v>
      </c>
      <c r="C2445" t="s">
        <v>3930</v>
      </c>
      <c r="D2445">
        <v>11</v>
      </c>
      <c r="O2445" t="s">
        <v>4388</v>
      </c>
      <c r="P2445" s="1" t="b">
        <f>NOT(OR(Table1[[#This Row],[State]]="Other Foreign Countries", Table1[[#This Row],[State]]="Unknown", Table1[[#This Row],[State]]="Puerto Rico all counties"))</f>
        <v>1</v>
      </c>
    </row>
    <row r="2446" spans="1:16" x14ac:dyDescent="0.25">
      <c r="A2446">
        <v>21201</v>
      </c>
      <c r="B2446" t="s">
        <v>1716</v>
      </c>
      <c r="C2446" t="s">
        <v>1864</v>
      </c>
      <c r="D2446">
        <v>52</v>
      </c>
      <c r="E2446">
        <v>10</v>
      </c>
      <c r="H2446">
        <v>19</v>
      </c>
      <c r="I2446">
        <v>12</v>
      </c>
      <c r="J2446">
        <v>11</v>
      </c>
      <c r="K2446">
        <v>18</v>
      </c>
      <c r="L2446">
        <v>23</v>
      </c>
      <c r="O2446" t="s">
        <v>1865</v>
      </c>
      <c r="P2446" s="1" t="b">
        <f>NOT(OR(Table1[[#This Row],[State]]="Other Foreign Countries", Table1[[#This Row],[State]]="Unknown", Table1[[#This Row],[State]]="Puerto Rico all counties"))</f>
        <v>1</v>
      </c>
    </row>
    <row r="2447" spans="1:16" x14ac:dyDescent="0.25">
      <c r="A2447">
        <v>47147</v>
      </c>
      <c r="B2447" t="s">
        <v>3951</v>
      </c>
      <c r="C2447" t="s">
        <v>1864</v>
      </c>
      <c r="D2447">
        <v>1785</v>
      </c>
      <c r="E2447">
        <v>300</v>
      </c>
      <c r="F2447">
        <v>173</v>
      </c>
      <c r="G2447">
        <v>198</v>
      </c>
      <c r="H2447">
        <v>578</v>
      </c>
      <c r="I2447">
        <v>536</v>
      </c>
      <c r="J2447">
        <v>583</v>
      </c>
      <c r="K2447">
        <v>617</v>
      </c>
      <c r="L2447">
        <v>585</v>
      </c>
      <c r="M2447" s="1">
        <v>1595</v>
      </c>
      <c r="N2447">
        <v>190</v>
      </c>
      <c r="O2447" t="s">
        <v>4047</v>
      </c>
      <c r="P2447" s="1" t="b">
        <f>NOT(OR(Table1[[#This Row],[State]]="Other Foreign Countries", Table1[[#This Row],[State]]="Unknown", Table1[[#This Row],[State]]="Puerto Rico all counties"))</f>
        <v>1</v>
      </c>
    </row>
    <row r="2448" spans="1:16" x14ac:dyDescent="0.25">
      <c r="A2448">
        <v>48395</v>
      </c>
      <c r="B2448" t="s">
        <v>2654</v>
      </c>
      <c r="C2448" t="s">
        <v>1864</v>
      </c>
      <c r="D2448">
        <v>366</v>
      </c>
      <c r="E2448">
        <v>59</v>
      </c>
      <c r="F2448">
        <v>32</v>
      </c>
      <c r="G2448">
        <v>45</v>
      </c>
      <c r="H2448">
        <v>114</v>
      </c>
      <c r="I2448">
        <v>116</v>
      </c>
      <c r="J2448">
        <v>83</v>
      </c>
      <c r="K2448">
        <v>99</v>
      </c>
      <c r="L2448">
        <v>184</v>
      </c>
      <c r="M2448">
        <v>334</v>
      </c>
      <c r="N2448">
        <v>32</v>
      </c>
      <c r="O2448" t="s">
        <v>4389</v>
      </c>
      <c r="P2448" s="1" t="b">
        <f>NOT(OR(Table1[[#This Row],[State]]="Other Foreign Countries", Table1[[#This Row],[State]]="Unknown", Table1[[#This Row],[State]]="Puerto Rico all counties"))</f>
        <v>1</v>
      </c>
    </row>
    <row r="2449" spans="1:16" x14ac:dyDescent="0.25">
      <c r="A2449">
        <v>37155</v>
      </c>
      <c r="B2449" t="s">
        <v>3121</v>
      </c>
      <c r="C2449" t="s">
        <v>3249</v>
      </c>
      <c r="D2449">
        <v>3059</v>
      </c>
      <c r="E2449">
        <v>415</v>
      </c>
      <c r="F2449">
        <v>209</v>
      </c>
      <c r="G2449">
        <v>312</v>
      </c>
      <c r="H2449" s="1">
        <v>1064</v>
      </c>
      <c r="I2449" s="1">
        <v>1059</v>
      </c>
      <c r="J2449">
        <v>756</v>
      </c>
      <c r="K2449" s="1">
        <v>1069</v>
      </c>
      <c r="L2449" s="1">
        <v>1234</v>
      </c>
      <c r="M2449" s="1">
        <v>2686</v>
      </c>
      <c r="N2449">
        <v>372</v>
      </c>
      <c r="O2449" t="s">
        <v>3250</v>
      </c>
      <c r="P2449" s="1" t="b">
        <f>NOT(OR(Table1[[#This Row],[State]]="Other Foreign Countries", Table1[[#This Row],[State]]="Unknown", Table1[[#This Row],[State]]="Puerto Rico all counties"))</f>
        <v>1</v>
      </c>
    </row>
    <row r="2450" spans="1:16" x14ac:dyDescent="0.25">
      <c r="A2450">
        <v>27133</v>
      </c>
      <c r="B2450" t="s">
        <v>2245</v>
      </c>
      <c r="C2450" t="s">
        <v>2357</v>
      </c>
      <c r="D2450">
        <v>182</v>
      </c>
      <c r="E2450">
        <v>46</v>
      </c>
      <c r="F2450">
        <v>23</v>
      </c>
      <c r="G2450">
        <v>34</v>
      </c>
      <c r="H2450">
        <v>56</v>
      </c>
      <c r="I2450">
        <v>23</v>
      </c>
      <c r="J2450">
        <v>36</v>
      </c>
      <c r="K2450">
        <v>53</v>
      </c>
      <c r="L2450">
        <v>93</v>
      </c>
      <c r="M2450">
        <v>169</v>
      </c>
      <c r="N2450">
        <v>13</v>
      </c>
      <c r="O2450" t="s">
        <v>2358</v>
      </c>
      <c r="P2450" s="1" t="b">
        <f>NOT(OR(Table1[[#This Row],[State]]="Other Foreign Countries", Table1[[#This Row],[State]]="Unknown", Table1[[#This Row],[State]]="Puerto Rico all counties"))</f>
        <v>1</v>
      </c>
    </row>
    <row r="2451" spans="1:16" x14ac:dyDescent="0.25">
      <c r="A2451">
        <v>31149</v>
      </c>
      <c r="B2451" t="s">
        <v>2758</v>
      </c>
      <c r="C2451" t="s">
        <v>2357</v>
      </c>
      <c r="D2451">
        <v>25</v>
      </c>
      <c r="O2451" t="s">
        <v>2868</v>
      </c>
      <c r="P2451" s="1" t="b">
        <f>NOT(OR(Table1[[#This Row],[State]]="Other Foreign Countries", Table1[[#This Row],[State]]="Unknown", Table1[[#This Row],[State]]="Puerto Rico all counties"))</f>
        <v>1</v>
      </c>
    </row>
    <row r="2452" spans="1:16" x14ac:dyDescent="0.25">
      <c r="A2452">
        <v>55105</v>
      </c>
      <c r="B2452" t="s">
        <v>4906</v>
      </c>
      <c r="C2452" t="s">
        <v>2357</v>
      </c>
      <c r="D2452">
        <v>2710</v>
      </c>
      <c r="E2452">
        <v>675</v>
      </c>
      <c r="F2452">
        <v>366</v>
      </c>
      <c r="G2452">
        <v>383</v>
      </c>
      <c r="H2452">
        <v>756</v>
      </c>
      <c r="I2452">
        <v>530</v>
      </c>
      <c r="J2452">
        <v>750</v>
      </c>
      <c r="K2452">
        <v>773</v>
      </c>
      <c r="L2452" s="1">
        <v>1187</v>
      </c>
      <c r="M2452" s="1">
        <v>2447</v>
      </c>
      <c r="N2452">
        <v>263</v>
      </c>
      <c r="O2452" t="s">
        <v>4983</v>
      </c>
      <c r="P2452" s="1" t="b">
        <f>NOT(OR(Table1[[#This Row],[State]]="Other Foreign Countries", Table1[[#This Row],[State]]="Unknown", Table1[[#This Row],[State]]="Puerto Rico all counties"))</f>
        <v>1</v>
      </c>
    </row>
    <row r="2453" spans="1:16" x14ac:dyDescent="0.25">
      <c r="A2453">
        <v>17161</v>
      </c>
      <c r="B2453" t="s">
        <v>1109</v>
      </c>
      <c r="C2453" t="s">
        <v>1231</v>
      </c>
      <c r="D2453">
        <v>2250</v>
      </c>
      <c r="E2453">
        <v>418</v>
      </c>
      <c r="F2453">
        <v>270</v>
      </c>
      <c r="G2453">
        <v>285</v>
      </c>
      <c r="H2453">
        <v>713</v>
      </c>
      <c r="I2453">
        <v>564</v>
      </c>
      <c r="J2453">
        <v>631</v>
      </c>
      <c r="K2453">
        <v>745</v>
      </c>
      <c r="L2453">
        <v>874</v>
      </c>
      <c r="M2453" s="1">
        <v>1988</v>
      </c>
      <c r="N2453">
        <v>261</v>
      </c>
      <c r="O2453" t="s">
        <v>1232</v>
      </c>
      <c r="P2453" s="1" t="b">
        <f>NOT(OR(Table1[[#This Row],[State]]="Other Foreign Countries", Table1[[#This Row],[State]]="Unknown", Table1[[#This Row],[State]]="Puerto Rico all counties"))</f>
        <v>1</v>
      </c>
    </row>
    <row r="2454" spans="1:16" x14ac:dyDescent="0.25">
      <c r="A2454">
        <v>51163</v>
      </c>
      <c r="B2454" t="s">
        <v>4555</v>
      </c>
      <c r="C2454" t="s">
        <v>4672</v>
      </c>
      <c r="D2454">
        <v>489</v>
      </c>
      <c r="E2454">
        <v>98</v>
      </c>
      <c r="F2454">
        <v>52</v>
      </c>
      <c r="G2454">
        <v>60</v>
      </c>
      <c r="H2454">
        <v>154</v>
      </c>
      <c r="I2454">
        <v>125</v>
      </c>
      <c r="J2454">
        <v>83</v>
      </c>
      <c r="K2454">
        <v>168</v>
      </c>
      <c r="L2454">
        <v>238</v>
      </c>
      <c r="M2454">
        <v>444</v>
      </c>
      <c r="N2454">
        <v>45</v>
      </c>
      <c r="O2454" t="s">
        <v>4673</v>
      </c>
      <c r="P2454" s="1" t="b">
        <f>NOT(OR(Table1[[#This Row],[State]]="Other Foreign Countries", Table1[[#This Row],[State]]="Unknown", Table1[[#This Row],[State]]="Puerto Rico all counties"))</f>
        <v>1</v>
      </c>
    </row>
    <row r="2455" spans="1:16" x14ac:dyDescent="0.25">
      <c r="A2455">
        <v>21203</v>
      </c>
      <c r="B2455" t="s">
        <v>1716</v>
      </c>
      <c r="C2455" t="s">
        <v>1866</v>
      </c>
      <c r="D2455">
        <v>296</v>
      </c>
      <c r="E2455">
        <v>46</v>
      </c>
      <c r="F2455">
        <v>31</v>
      </c>
      <c r="G2455">
        <v>40</v>
      </c>
      <c r="H2455">
        <v>103</v>
      </c>
      <c r="I2455">
        <v>76</v>
      </c>
      <c r="J2455">
        <v>73</v>
      </c>
      <c r="K2455">
        <v>91</v>
      </c>
      <c r="L2455">
        <v>132</v>
      </c>
      <c r="M2455">
        <v>275</v>
      </c>
      <c r="N2455">
        <v>21</v>
      </c>
      <c r="O2455" t="s">
        <v>1867</v>
      </c>
      <c r="P2455" s="1" t="b">
        <f>NOT(OR(Table1[[#This Row],[State]]="Other Foreign Countries", Table1[[#This Row],[State]]="Unknown", Table1[[#This Row],[State]]="Puerto Rico all counties"))</f>
        <v>1</v>
      </c>
    </row>
    <row r="2456" spans="1:16" x14ac:dyDescent="0.25">
      <c r="A2456">
        <v>13247</v>
      </c>
      <c r="B2456" t="s">
        <v>754</v>
      </c>
      <c r="C2456" t="s">
        <v>955</v>
      </c>
      <c r="D2456">
        <v>3141</v>
      </c>
      <c r="E2456">
        <v>426</v>
      </c>
      <c r="F2456">
        <v>231</v>
      </c>
      <c r="G2456">
        <v>271</v>
      </c>
      <c r="H2456">
        <v>993</v>
      </c>
      <c r="I2456" s="1">
        <v>1220</v>
      </c>
      <c r="J2456">
        <v>697</v>
      </c>
      <c r="K2456" s="1">
        <v>1342</v>
      </c>
      <c r="L2456" s="1">
        <v>1102</v>
      </c>
      <c r="M2456" s="1">
        <v>2442</v>
      </c>
      <c r="N2456">
        <v>698</v>
      </c>
      <c r="O2456" t="s">
        <v>956</v>
      </c>
      <c r="P2456" s="1" t="b">
        <f>NOT(OR(Table1[[#This Row],[State]]="Other Foreign Countries", Table1[[#This Row],[State]]="Unknown", Table1[[#This Row],[State]]="Puerto Rico all counties"))</f>
        <v>1</v>
      </c>
    </row>
    <row r="2457" spans="1:16" x14ac:dyDescent="0.25">
      <c r="A2457">
        <v>33015</v>
      </c>
      <c r="B2457" t="s">
        <v>2920</v>
      </c>
      <c r="C2457" t="s">
        <v>2933</v>
      </c>
      <c r="D2457">
        <v>5920</v>
      </c>
      <c r="E2457" s="1">
        <v>1572</v>
      </c>
      <c r="F2457">
        <v>778</v>
      </c>
      <c r="G2457">
        <v>768</v>
      </c>
      <c r="H2457" s="1">
        <v>1617</v>
      </c>
      <c r="I2457" s="1">
        <v>1185</v>
      </c>
      <c r="J2457" s="1">
        <v>1658</v>
      </c>
      <c r="K2457" s="1">
        <v>1728</v>
      </c>
      <c r="L2457" s="1">
        <v>2534</v>
      </c>
      <c r="M2457" s="1">
        <v>5421</v>
      </c>
      <c r="N2457">
        <v>499</v>
      </c>
      <c r="O2457" t="s">
        <v>2934</v>
      </c>
      <c r="P2457" s="1" t="b">
        <f>NOT(OR(Table1[[#This Row],[State]]="Other Foreign Countries", Table1[[#This Row],[State]]="Unknown", Table1[[#This Row],[State]]="Puerto Rico all counties"))</f>
        <v>1</v>
      </c>
    </row>
    <row r="2458" spans="1:16" x14ac:dyDescent="0.25">
      <c r="A2458">
        <v>37157</v>
      </c>
      <c r="B2458" t="s">
        <v>3121</v>
      </c>
      <c r="C2458" t="s">
        <v>2933</v>
      </c>
      <c r="D2458">
        <v>1811</v>
      </c>
      <c r="E2458">
        <v>300</v>
      </c>
      <c r="F2458">
        <v>193</v>
      </c>
      <c r="G2458">
        <v>210</v>
      </c>
      <c r="H2458">
        <v>626</v>
      </c>
      <c r="I2458">
        <v>482</v>
      </c>
      <c r="J2458">
        <v>407</v>
      </c>
      <c r="K2458">
        <v>570</v>
      </c>
      <c r="L2458">
        <v>834</v>
      </c>
      <c r="M2458" s="1">
        <v>1634</v>
      </c>
      <c r="N2458">
        <v>177</v>
      </c>
      <c r="O2458" t="s">
        <v>3251</v>
      </c>
      <c r="P2458" s="1" t="b">
        <f>NOT(OR(Table1[[#This Row],[State]]="Other Foreign Countries", Table1[[#This Row],[State]]="Unknown", Table1[[#This Row],[State]]="Puerto Rico all counties"))</f>
        <v>1</v>
      </c>
    </row>
    <row r="2459" spans="1:16" x14ac:dyDescent="0.25">
      <c r="A2459">
        <v>51165</v>
      </c>
      <c r="B2459" t="s">
        <v>4555</v>
      </c>
      <c r="C2459" t="s">
        <v>2933</v>
      </c>
      <c r="D2459">
        <v>1059</v>
      </c>
      <c r="E2459">
        <v>212</v>
      </c>
      <c r="F2459">
        <v>118</v>
      </c>
      <c r="G2459">
        <v>150</v>
      </c>
      <c r="H2459">
        <v>295</v>
      </c>
      <c r="I2459">
        <v>284</v>
      </c>
      <c r="J2459">
        <v>303</v>
      </c>
      <c r="K2459">
        <v>297</v>
      </c>
      <c r="L2459">
        <v>459</v>
      </c>
      <c r="M2459">
        <v>959</v>
      </c>
      <c r="N2459">
        <v>100</v>
      </c>
      <c r="O2459" t="s">
        <v>4674</v>
      </c>
      <c r="P2459" s="1" t="b">
        <f>NOT(OR(Table1[[#This Row],[State]]="Other Foreign Countries", Table1[[#This Row],[State]]="Unknown", Table1[[#This Row],[State]]="Puerto Rico all counties"))</f>
        <v>1</v>
      </c>
    </row>
    <row r="2460" spans="1:16" x14ac:dyDescent="0.25">
      <c r="A2460">
        <v>36087</v>
      </c>
      <c r="B2460" t="s">
        <v>3029</v>
      </c>
      <c r="C2460" t="s">
        <v>3090</v>
      </c>
      <c r="D2460">
        <v>1711</v>
      </c>
      <c r="E2460">
        <v>374</v>
      </c>
      <c r="F2460">
        <v>203</v>
      </c>
      <c r="G2460">
        <v>201</v>
      </c>
      <c r="H2460">
        <v>482</v>
      </c>
      <c r="I2460">
        <v>451</v>
      </c>
      <c r="J2460">
        <v>451</v>
      </c>
      <c r="K2460">
        <v>423</v>
      </c>
      <c r="L2460">
        <v>837</v>
      </c>
      <c r="M2460" s="1">
        <v>1604</v>
      </c>
      <c r="N2460">
        <v>107</v>
      </c>
      <c r="O2460" t="s">
        <v>3091</v>
      </c>
      <c r="P2460" s="1" t="b">
        <f>NOT(OR(Table1[[#This Row],[State]]="Other Foreign Countries", Table1[[#This Row],[State]]="Unknown", Table1[[#This Row],[State]]="Puerto Rico all counties"))</f>
        <v>1</v>
      </c>
    </row>
    <row r="2461" spans="1:16" x14ac:dyDescent="0.25">
      <c r="A2461">
        <v>48397</v>
      </c>
      <c r="B2461" t="s">
        <v>2654</v>
      </c>
      <c r="C2461" t="s">
        <v>4390</v>
      </c>
      <c r="D2461">
        <v>3259</v>
      </c>
      <c r="E2461">
        <v>409</v>
      </c>
      <c r="F2461">
        <v>271</v>
      </c>
      <c r="G2461">
        <v>319</v>
      </c>
      <c r="H2461">
        <v>921</v>
      </c>
      <c r="I2461" s="1">
        <v>1339</v>
      </c>
      <c r="J2461" s="1">
        <v>1241</v>
      </c>
      <c r="K2461" s="1">
        <v>1313</v>
      </c>
      <c r="L2461">
        <v>705</v>
      </c>
      <c r="M2461" s="1">
        <v>2814</v>
      </c>
      <c r="N2461">
        <v>444</v>
      </c>
      <c r="O2461" t="s">
        <v>4391</v>
      </c>
      <c r="P2461" s="1" t="b">
        <f>NOT(OR(Table1[[#This Row],[State]]="Other Foreign Countries", Table1[[#This Row],[State]]="Unknown", Table1[[#This Row],[State]]="Puerto Rico all counties"))</f>
        <v>1</v>
      </c>
    </row>
    <row r="2462" spans="1:16" x14ac:dyDescent="0.25">
      <c r="A2462">
        <v>40129</v>
      </c>
      <c r="B2462" t="s">
        <v>3495</v>
      </c>
      <c r="C2462" t="s">
        <v>3591</v>
      </c>
      <c r="D2462">
        <v>54</v>
      </c>
      <c r="H2462">
        <v>14</v>
      </c>
      <c r="I2462">
        <v>17</v>
      </c>
      <c r="J2462">
        <v>14</v>
      </c>
      <c r="K2462">
        <v>20</v>
      </c>
      <c r="L2462">
        <v>20</v>
      </c>
      <c r="O2462" t="s">
        <v>3592</v>
      </c>
      <c r="P2462" s="1" t="b">
        <f>NOT(OR(Table1[[#This Row],[State]]="Other Foreign Countries", Table1[[#This Row],[State]]="Unknown", Table1[[#This Row],[State]]="Puerto Rico all counties"))</f>
        <v>1</v>
      </c>
    </row>
    <row r="2463" spans="1:16" x14ac:dyDescent="0.25">
      <c r="A2463">
        <v>40131</v>
      </c>
      <c r="B2463" t="s">
        <v>3495</v>
      </c>
      <c r="C2463" t="s">
        <v>3593</v>
      </c>
      <c r="D2463">
        <v>3189</v>
      </c>
      <c r="E2463">
        <v>684</v>
      </c>
      <c r="F2463">
        <v>335</v>
      </c>
      <c r="G2463">
        <v>346</v>
      </c>
      <c r="H2463">
        <v>993</v>
      </c>
      <c r="I2463">
        <v>831</v>
      </c>
      <c r="J2463">
        <v>815</v>
      </c>
      <c r="K2463">
        <v>989</v>
      </c>
      <c r="L2463" s="1">
        <v>1385</v>
      </c>
      <c r="M2463" s="1">
        <v>2900</v>
      </c>
      <c r="N2463">
        <v>288</v>
      </c>
      <c r="O2463" t="s">
        <v>3594</v>
      </c>
      <c r="P2463" s="1" t="b">
        <f>NOT(OR(Table1[[#This Row],[State]]="Other Foreign Countries", Table1[[#This Row],[State]]="Unknown", Table1[[#This Row],[State]]="Puerto Rico all counties"))</f>
        <v>1</v>
      </c>
    </row>
    <row r="2464" spans="1:16" x14ac:dyDescent="0.25">
      <c r="A2464">
        <v>38079</v>
      </c>
      <c r="B2464" t="s">
        <v>3286</v>
      </c>
      <c r="C2464" t="s">
        <v>3348</v>
      </c>
      <c r="D2464">
        <v>156</v>
      </c>
      <c r="E2464">
        <v>44</v>
      </c>
      <c r="F2464">
        <v>14</v>
      </c>
      <c r="G2464">
        <v>15</v>
      </c>
      <c r="H2464">
        <v>50</v>
      </c>
      <c r="I2464">
        <v>33</v>
      </c>
      <c r="J2464">
        <v>24</v>
      </c>
      <c r="K2464">
        <v>50</v>
      </c>
      <c r="L2464">
        <v>82</v>
      </c>
      <c r="M2464">
        <v>146</v>
      </c>
      <c r="N2464">
        <v>10</v>
      </c>
      <c r="O2464" t="s">
        <v>3349</v>
      </c>
      <c r="P2464" s="1" t="b">
        <f>NOT(OR(Table1[[#This Row],[State]]="Other Foreign Countries", Table1[[#This Row],[State]]="Unknown", Table1[[#This Row],[State]]="Puerto Rico all counties"))</f>
        <v>1</v>
      </c>
    </row>
    <row r="2465" spans="1:16" x14ac:dyDescent="0.25">
      <c r="A2465">
        <v>20163</v>
      </c>
      <c r="B2465" t="s">
        <v>1543</v>
      </c>
      <c r="C2465" t="s">
        <v>1675</v>
      </c>
      <c r="D2465">
        <v>79</v>
      </c>
      <c r="E2465">
        <v>19</v>
      </c>
      <c r="F2465">
        <v>16</v>
      </c>
      <c r="H2465">
        <v>22</v>
      </c>
      <c r="J2465">
        <v>14</v>
      </c>
      <c r="K2465">
        <v>15</v>
      </c>
      <c r="L2465">
        <v>50</v>
      </c>
      <c r="O2465" t="s">
        <v>1676</v>
      </c>
      <c r="P2465" s="1" t="b">
        <f>NOT(OR(Table1[[#This Row],[State]]="Other Foreign Countries", Table1[[#This Row],[State]]="Unknown", Table1[[#This Row],[State]]="Puerto Rico all counties"))</f>
        <v>1</v>
      </c>
    </row>
    <row r="2466" spans="1:16" x14ac:dyDescent="0.25">
      <c r="A2466">
        <v>30085</v>
      </c>
      <c r="B2466" t="s">
        <v>2665</v>
      </c>
      <c r="C2466" t="s">
        <v>2733</v>
      </c>
      <c r="D2466">
        <v>146</v>
      </c>
      <c r="E2466">
        <v>35</v>
      </c>
      <c r="F2466">
        <v>19</v>
      </c>
      <c r="G2466">
        <v>22</v>
      </c>
      <c r="H2466">
        <v>43</v>
      </c>
      <c r="I2466">
        <v>27</v>
      </c>
      <c r="J2466">
        <v>42</v>
      </c>
      <c r="K2466">
        <v>45</v>
      </c>
      <c r="L2466">
        <v>59</v>
      </c>
      <c r="M2466">
        <v>128</v>
      </c>
      <c r="N2466">
        <v>18</v>
      </c>
      <c r="O2466" t="s">
        <v>2734</v>
      </c>
      <c r="P2466" s="1" t="b">
        <f>NOT(OR(Table1[[#This Row],[State]]="Other Foreign Countries", Table1[[#This Row],[State]]="Unknown", Table1[[#This Row],[State]]="Puerto Rico all counties"))</f>
        <v>1</v>
      </c>
    </row>
    <row r="2467" spans="1:16" x14ac:dyDescent="0.25">
      <c r="A2467">
        <v>35041</v>
      </c>
      <c r="B2467" t="s">
        <v>2971</v>
      </c>
      <c r="C2467" t="s">
        <v>2733</v>
      </c>
      <c r="D2467">
        <v>409</v>
      </c>
      <c r="E2467">
        <v>65</v>
      </c>
      <c r="F2467">
        <v>39</v>
      </c>
      <c r="G2467">
        <v>60</v>
      </c>
      <c r="H2467">
        <v>144</v>
      </c>
      <c r="I2467">
        <v>101</v>
      </c>
      <c r="J2467">
        <v>163</v>
      </c>
      <c r="K2467">
        <v>122</v>
      </c>
      <c r="L2467">
        <v>124</v>
      </c>
      <c r="M2467">
        <v>351</v>
      </c>
      <c r="N2467">
        <v>58</v>
      </c>
      <c r="O2467" t="s">
        <v>3012</v>
      </c>
      <c r="P2467" s="1" t="b">
        <f>NOT(OR(Table1[[#This Row],[State]]="Other Foreign Countries", Table1[[#This Row],[State]]="Unknown", Table1[[#This Row],[State]]="Puerto Rico all counties"))</f>
        <v>1</v>
      </c>
    </row>
    <row r="2468" spans="1:16" x14ac:dyDescent="0.25">
      <c r="A2468">
        <v>26143</v>
      </c>
      <c r="B2468" t="s">
        <v>2099</v>
      </c>
      <c r="C2468" t="s">
        <v>2225</v>
      </c>
      <c r="D2468">
        <v>749</v>
      </c>
      <c r="E2468">
        <v>187</v>
      </c>
      <c r="F2468">
        <v>85</v>
      </c>
      <c r="G2468">
        <v>105</v>
      </c>
      <c r="H2468">
        <v>218</v>
      </c>
      <c r="I2468">
        <v>154</v>
      </c>
      <c r="J2468">
        <v>121</v>
      </c>
      <c r="K2468">
        <v>189</v>
      </c>
      <c r="L2468">
        <v>439</v>
      </c>
      <c r="M2468">
        <v>695</v>
      </c>
      <c r="N2468">
        <v>54</v>
      </c>
      <c r="O2468" t="s">
        <v>2226</v>
      </c>
      <c r="P2468" s="1" t="b">
        <f>NOT(OR(Table1[[#This Row],[State]]="Other Foreign Countries", Table1[[#This Row],[State]]="Unknown", Table1[[#This Row],[State]]="Puerto Rico all counties"))</f>
        <v>1</v>
      </c>
    </row>
    <row r="2469" spans="1:16" x14ac:dyDescent="0.25">
      <c r="A2469">
        <v>27135</v>
      </c>
      <c r="B2469" t="s">
        <v>2245</v>
      </c>
      <c r="C2469" t="s">
        <v>2359</v>
      </c>
      <c r="D2469">
        <v>281</v>
      </c>
      <c r="E2469">
        <v>101</v>
      </c>
      <c r="F2469">
        <v>42</v>
      </c>
      <c r="G2469">
        <v>32</v>
      </c>
      <c r="H2469">
        <v>62</v>
      </c>
      <c r="I2469">
        <v>44</v>
      </c>
      <c r="J2469">
        <v>46</v>
      </c>
      <c r="K2469">
        <v>78</v>
      </c>
      <c r="L2469">
        <v>157</v>
      </c>
      <c r="M2469">
        <v>267</v>
      </c>
      <c r="N2469">
        <v>14</v>
      </c>
      <c r="O2469" t="s">
        <v>2360</v>
      </c>
      <c r="P2469" s="1" t="b">
        <f>NOT(OR(Table1[[#This Row],[State]]="Other Foreign Countries", Table1[[#This Row],[State]]="Unknown", Table1[[#This Row],[State]]="Puerto Rico all counties"))</f>
        <v>1</v>
      </c>
    </row>
    <row r="2470" spans="1:16" x14ac:dyDescent="0.25">
      <c r="A2470">
        <v>30087</v>
      </c>
      <c r="B2470" t="s">
        <v>2665</v>
      </c>
      <c r="C2470" t="s">
        <v>2735</v>
      </c>
      <c r="D2470">
        <v>186</v>
      </c>
      <c r="E2470">
        <v>51</v>
      </c>
      <c r="F2470">
        <v>22</v>
      </c>
      <c r="G2470">
        <v>27</v>
      </c>
      <c r="H2470">
        <v>52</v>
      </c>
      <c r="I2470">
        <v>34</v>
      </c>
      <c r="J2470">
        <v>41</v>
      </c>
      <c r="K2470">
        <v>68</v>
      </c>
      <c r="L2470">
        <v>77</v>
      </c>
      <c r="M2470">
        <v>174</v>
      </c>
      <c r="N2470">
        <v>11</v>
      </c>
      <c r="O2470" t="s">
        <v>2736</v>
      </c>
      <c r="P2470" s="1" t="b">
        <f>NOT(OR(Table1[[#This Row],[State]]="Other Foreign Countries", Table1[[#This Row],[State]]="Unknown", Table1[[#This Row],[State]]="Puerto Rico all counties"))</f>
        <v>1</v>
      </c>
    </row>
    <row r="2471" spans="1:16" x14ac:dyDescent="0.25">
      <c r="A2471">
        <v>39141</v>
      </c>
      <c r="B2471" t="s">
        <v>1343</v>
      </c>
      <c r="C2471" t="s">
        <v>3468</v>
      </c>
      <c r="D2471">
        <v>1976</v>
      </c>
      <c r="E2471">
        <v>485</v>
      </c>
      <c r="F2471">
        <v>249</v>
      </c>
      <c r="G2471">
        <v>246</v>
      </c>
      <c r="H2471">
        <v>572</v>
      </c>
      <c r="I2471">
        <v>424</v>
      </c>
      <c r="J2471">
        <v>439</v>
      </c>
      <c r="K2471">
        <v>691</v>
      </c>
      <c r="L2471">
        <v>846</v>
      </c>
      <c r="M2471" s="1">
        <v>1804</v>
      </c>
      <c r="N2471">
        <v>172</v>
      </c>
      <c r="O2471" t="s">
        <v>3469</v>
      </c>
      <c r="P2471" s="1" t="b">
        <f>NOT(OR(Table1[[#This Row],[State]]="Other Foreign Countries", Table1[[#This Row],[State]]="Unknown", Table1[[#This Row],[State]]="Puerto Rico all counties"))</f>
        <v>1</v>
      </c>
    </row>
    <row r="2472" spans="1:16" x14ac:dyDescent="0.25">
      <c r="A2472">
        <v>8107</v>
      </c>
      <c r="B2472" t="s">
        <v>489</v>
      </c>
      <c r="C2472" t="s">
        <v>591</v>
      </c>
      <c r="D2472">
        <v>252</v>
      </c>
      <c r="E2472">
        <v>78</v>
      </c>
      <c r="F2472">
        <v>35</v>
      </c>
      <c r="G2472">
        <v>31</v>
      </c>
      <c r="H2472">
        <v>64</v>
      </c>
      <c r="I2472">
        <v>44</v>
      </c>
      <c r="J2472">
        <v>51</v>
      </c>
      <c r="K2472">
        <v>73</v>
      </c>
      <c r="L2472">
        <v>128</v>
      </c>
      <c r="M2472">
        <v>234</v>
      </c>
      <c r="N2472">
        <v>18</v>
      </c>
      <c r="O2472" t="s">
        <v>592</v>
      </c>
      <c r="P2472" s="1" t="b">
        <f>NOT(OR(Table1[[#This Row],[State]]="Other Foreign Countries", Table1[[#This Row],[State]]="Unknown", Table1[[#This Row],[State]]="Puerto Rico all counties"))</f>
        <v>1</v>
      </c>
    </row>
    <row r="2473" spans="1:16" x14ac:dyDescent="0.25">
      <c r="A2473">
        <v>21205</v>
      </c>
      <c r="B2473" t="s">
        <v>1716</v>
      </c>
      <c r="C2473" t="s">
        <v>1868</v>
      </c>
      <c r="D2473">
        <v>339</v>
      </c>
      <c r="E2473">
        <v>77</v>
      </c>
      <c r="F2473">
        <v>36</v>
      </c>
      <c r="G2473">
        <v>44</v>
      </c>
      <c r="H2473">
        <v>103</v>
      </c>
      <c r="I2473">
        <v>79</v>
      </c>
      <c r="J2473">
        <v>94</v>
      </c>
      <c r="K2473">
        <v>95</v>
      </c>
      <c r="L2473">
        <v>150</v>
      </c>
      <c r="M2473">
        <v>310</v>
      </c>
      <c r="N2473">
        <v>29</v>
      </c>
      <c r="O2473" t="s">
        <v>1869</v>
      </c>
      <c r="P2473" s="1" t="b">
        <f>NOT(OR(Table1[[#This Row],[State]]="Other Foreign Countries", Table1[[#This Row],[State]]="Unknown", Table1[[#This Row],[State]]="Puerto Rico all counties"))</f>
        <v>1</v>
      </c>
    </row>
    <row r="2474" spans="1:16" x14ac:dyDescent="0.25">
      <c r="A2474">
        <v>37159</v>
      </c>
      <c r="B2474" t="s">
        <v>3121</v>
      </c>
      <c r="C2474" t="s">
        <v>1868</v>
      </c>
      <c r="D2474">
        <v>3570</v>
      </c>
      <c r="E2474">
        <v>632</v>
      </c>
      <c r="F2474">
        <v>346</v>
      </c>
      <c r="G2474">
        <v>385</v>
      </c>
      <c r="H2474" s="1">
        <v>1208</v>
      </c>
      <c r="I2474">
        <v>999</v>
      </c>
      <c r="J2474">
        <v>865</v>
      </c>
      <c r="K2474" s="1">
        <v>1058</v>
      </c>
      <c r="L2474" s="1">
        <v>1647</v>
      </c>
      <c r="M2474" s="1">
        <v>3133</v>
      </c>
      <c r="N2474">
        <v>437</v>
      </c>
      <c r="O2474" t="s">
        <v>3252</v>
      </c>
      <c r="P2474" s="1" t="b">
        <f>NOT(OR(Table1[[#This Row],[State]]="Other Foreign Countries", Table1[[#This Row],[State]]="Unknown", Table1[[#This Row],[State]]="Puerto Rico all counties"))</f>
        <v>1</v>
      </c>
    </row>
    <row r="2475" spans="1:16" x14ac:dyDescent="0.25">
      <c r="A2475">
        <v>48399</v>
      </c>
      <c r="B2475" t="s">
        <v>2654</v>
      </c>
      <c r="C2475" t="s">
        <v>4392</v>
      </c>
      <c r="D2475">
        <v>218</v>
      </c>
      <c r="E2475">
        <v>41</v>
      </c>
      <c r="F2475">
        <v>15</v>
      </c>
      <c r="G2475">
        <v>33</v>
      </c>
      <c r="H2475">
        <v>64</v>
      </c>
      <c r="I2475">
        <v>65</v>
      </c>
      <c r="J2475">
        <v>48</v>
      </c>
      <c r="K2475">
        <v>70</v>
      </c>
      <c r="L2475">
        <v>100</v>
      </c>
      <c r="M2475">
        <v>198</v>
      </c>
      <c r="N2475">
        <v>20</v>
      </c>
      <c r="O2475" t="s">
        <v>4393</v>
      </c>
      <c r="P2475" s="1" t="b">
        <f>NOT(OR(Table1[[#This Row],[State]]="Other Foreign Countries", Table1[[#This Row],[State]]="Unknown", Table1[[#This Row],[State]]="Puerto Rico all counties"))</f>
        <v>1</v>
      </c>
    </row>
    <row r="2476" spans="1:16" x14ac:dyDescent="0.25">
      <c r="A2476">
        <v>18139</v>
      </c>
      <c r="B2476" t="s">
        <v>1266</v>
      </c>
      <c r="C2476" t="s">
        <v>1361</v>
      </c>
      <c r="D2476">
        <v>245</v>
      </c>
      <c r="E2476">
        <v>57</v>
      </c>
      <c r="F2476">
        <v>40</v>
      </c>
      <c r="G2476">
        <v>36</v>
      </c>
      <c r="H2476">
        <v>67</v>
      </c>
      <c r="I2476">
        <v>45</v>
      </c>
      <c r="J2476">
        <v>65</v>
      </c>
      <c r="K2476">
        <v>82</v>
      </c>
      <c r="L2476">
        <v>98</v>
      </c>
      <c r="M2476">
        <v>223</v>
      </c>
      <c r="N2476">
        <v>22</v>
      </c>
      <c r="O2476" t="s">
        <v>1362</v>
      </c>
      <c r="P2476" s="1" t="b">
        <f>NOT(OR(Table1[[#This Row],[State]]="Other Foreign Countries", Table1[[#This Row],[State]]="Unknown", Table1[[#This Row],[State]]="Puerto Rico all counties"))</f>
        <v>1</v>
      </c>
    </row>
    <row r="2477" spans="1:16" x14ac:dyDescent="0.25">
      <c r="A2477">
        <v>20165</v>
      </c>
      <c r="B2477" t="s">
        <v>1543</v>
      </c>
      <c r="C2477" t="s">
        <v>1361</v>
      </c>
      <c r="D2477">
        <v>49</v>
      </c>
      <c r="E2477">
        <v>14</v>
      </c>
      <c r="H2477">
        <v>12</v>
      </c>
      <c r="I2477">
        <v>10</v>
      </c>
      <c r="J2477">
        <v>10</v>
      </c>
      <c r="K2477">
        <v>12</v>
      </c>
      <c r="L2477">
        <v>27</v>
      </c>
      <c r="O2477" t="s">
        <v>1677</v>
      </c>
      <c r="P2477" s="1" t="b">
        <f>NOT(OR(Table1[[#This Row],[State]]="Other Foreign Countries", Table1[[#This Row],[State]]="Unknown", Table1[[#This Row],[State]]="Puerto Rico all counties"))</f>
        <v>1</v>
      </c>
    </row>
    <row r="2478" spans="1:16" x14ac:dyDescent="0.25">
      <c r="A2478">
        <v>48401</v>
      </c>
      <c r="B2478" t="s">
        <v>2654</v>
      </c>
      <c r="C2478" t="s">
        <v>4394</v>
      </c>
      <c r="D2478">
        <v>974</v>
      </c>
      <c r="E2478">
        <v>166</v>
      </c>
      <c r="F2478">
        <v>112</v>
      </c>
      <c r="G2478">
        <v>120</v>
      </c>
      <c r="H2478">
        <v>296</v>
      </c>
      <c r="I2478">
        <v>280</v>
      </c>
      <c r="J2478">
        <v>275</v>
      </c>
      <c r="K2478">
        <v>321</v>
      </c>
      <c r="L2478">
        <v>378</v>
      </c>
      <c r="M2478">
        <v>856</v>
      </c>
      <c r="N2478">
        <v>118</v>
      </c>
      <c r="O2478" t="s">
        <v>4395</v>
      </c>
      <c r="P2478" s="1" t="b">
        <f>NOT(OR(Table1[[#This Row],[State]]="Other Foreign Countries", Table1[[#This Row],[State]]="Unknown", Table1[[#This Row],[State]]="Puerto Rico all counties"))</f>
        <v>1</v>
      </c>
    </row>
    <row r="2479" spans="1:16" x14ac:dyDescent="0.25">
      <c r="A2479">
        <v>55107</v>
      </c>
      <c r="B2479" t="s">
        <v>4906</v>
      </c>
      <c r="C2479" t="s">
        <v>4394</v>
      </c>
      <c r="D2479">
        <v>462</v>
      </c>
      <c r="E2479">
        <v>186</v>
      </c>
      <c r="F2479">
        <v>60</v>
      </c>
      <c r="G2479">
        <v>50</v>
      </c>
      <c r="H2479">
        <v>96</v>
      </c>
      <c r="I2479">
        <v>70</v>
      </c>
      <c r="J2479">
        <v>60</v>
      </c>
      <c r="K2479">
        <v>122</v>
      </c>
      <c r="L2479">
        <v>280</v>
      </c>
      <c r="M2479">
        <v>428</v>
      </c>
      <c r="N2479">
        <v>32</v>
      </c>
      <c r="O2479" t="s">
        <v>4984</v>
      </c>
      <c r="P2479" s="1" t="b">
        <f>NOT(OR(Table1[[#This Row],[State]]="Other Foreign Countries", Table1[[#This Row],[State]]="Unknown", Table1[[#This Row],[State]]="Puerto Rico all counties"))</f>
        <v>1</v>
      </c>
    </row>
    <row r="2480" spans="1:16" x14ac:dyDescent="0.25">
      <c r="A2480">
        <v>1113</v>
      </c>
      <c r="B2480" t="s">
        <v>15</v>
      </c>
      <c r="C2480" t="s">
        <v>128</v>
      </c>
      <c r="D2480">
        <v>4239</v>
      </c>
      <c r="E2480">
        <v>350</v>
      </c>
      <c r="F2480">
        <v>234</v>
      </c>
      <c r="G2480">
        <v>302</v>
      </c>
      <c r="H2480" s="1">
        <v>1176</v>
      </c>
      <c r="I2480" s="1">
        <v>2177</v>
      </c>
      <c r="J2480" s="1">
        <v>1271</v>
      </c>
      <c r="K2480" s="1">
        <v>1944</v>
      </c>
      <c r="L2480" s="1">
        <v>1024</v>
      </c>
      <c r="M2480" s="1">
        <v>3321</v>
      </c>
      <c r="N2480">
        <v>918</v>
      </c>
      <c r="O2480" t="s">
        <v>129</v>
      </c>
      <c r="P2480" s="1" t="b">
        <f>NOT(OR(Table1[[#This Row],[State]]="Other Foreign Countries", Table1[[#This Row],[State]]="Unknown", Table1[[#This Row],[State]]="Puerto Rico all counties"))</f>
        <v>1</v>
      </c>
    </row>
    <row r="2481" spans="1:16" x14ac:dyDescent="0.25">
      <c r="A2481">
        <v>20167</v>
      </c>
      <c r="B2481" t="s">
        <v>1543</v>
      </c>
      <c r="C2481" t="s">
        <v>128</v>
      </c>
      <c r="D2481">
        <v>121</v>
      </c>
      <c r="E2481">
        <v>22</v>
      </c>
      <c r="F2481">
        <v>18</v>
      </c>
      <c r="G2481">
        <v>22</v>
      </c>
      <c r="H2481">
        <v>29</v>
      </c>
      <c r="I2481">
        <v>30</v>
      </c>
      <c r="J2481">
        <v>20</v>
      </c>
      <c r="K2481">
        <v>32</v>
      </c>
      <c r="L2481">
        <v>69</v>
      </c>
      <c r="O2481" t="s">
        <v>1678</v>
      </c>
      <c r="P2481" s="1" t="b">
        <f>NOT(OR(Table1[[#This Row],[State]]="Other Foreign Countries", Table1[[#This Row],[State]]="Unknown", Table1[[#This Row],[State]]="Puerto Rico all counties"))</f>
        <v>1</v>
      </c>
    </row>
    <row r="2482" spans="1:16" x14ac:dyDescent="0.25">
      <c r="A2482">
        <v>21207</v>
      </c>
      <c r="B2482" t="s">
        <v>1716</v>
      </c>
      <c r="C2482" t="s">
        <v>128</v>
      </c>
      <c r="D2482">
        <v>322</v>
      </c>
      <c r="E2482">
        <v>72</v>
      </c>
      <c r="F2482">
        <v>39</v>
      </c>
      <c r="G2482">
        <v>38</v>
      </c>
      <c r="H2482">
        <v>86</v>
      </c>
      <c r="I2482">
        <v>87</v>
      </c>
      <c r="J2482">
        <v>56</v>
      </c>
      <c r="K2482">
        <v>89</v>
      </c>
      <c r="L2482">
        <v>177</v>
      </c>
      <c r="M2482">
        <v>302</v>
      </c>
      <c r="N2482">
        <v>20</v>
      </c>
      <c r="O2482" t="s">
        <v>1870</v>
      </c>
      <c r="P2482" s="1" t="b">
        <f>NOT(OR(Table1[[#This Row],[State]]="Other Foreign Countries", Table1[[#This Row],[State]]="Unknown", Table1[[#This Row],[State]]="Puerto Rico all counties"))</f>
        <v>1</v>
      </c>
    </row>
    <row r="2483" spans="1:16" x14ac:dyDescent="0.25">
      <c r="A2483">
        <v>51167</v>
      </c>
      <c r="B2483" t="s">
        <v>4555</v>
      </c>
      <c r="C2483" t="s">
        <v>128</v>
      </c>
      <c r="D2483">
        <v>413</v>
      </c>
      <c r="E2483">
        <v>76</v>
      </c>
      <c r="F2483">
        <v>40</v>
      </c>
      <c r="G2483">
        <v>48</v>
      </c>
      <c r="H2483">
        <v>142</v>
      </c>
      <c r="I2483">
        <v>107</v>
      </c>
      <c r="J2483">
        <v>64</v>
      </c>
      <c r="K2483">
        <v>134</v>
      </c>
      <c r="L2483">
        <v>215</v>
      </c>
      <c r="M2483">
        <v>385</v>
      </c>
      <c r="N2483">
        <v>28</v>
      </c>
      <c r="O2483" t="s">
        <v>4675</v>
      </c>
      <c r="P2483" s="1" t="b">
        <f>NOT(OR(Table1[[#This Row],[State]]="Other Foreign Countries", Table1[[#This Row],[State]]="Unknown", Table1[[#This Row],[State]]="Puerto Rico all counties"))</f>
        <v>1</v>
      </c>
    </row>
    <row r="2484" spans="1:16" x14ac:dyDescent="0.25">
      <c r="A2484">
        <v>37161</v>
      </c>
      <c r="B2484" t="s">
        <v>3121</v>
      </c>
      <c r="C2484" t="s">
        <v>3253</v>
      </c>
      <c r="D2484">
        <v>1566</v>
      </c>
      <c r="E2484">
        <v>304</v>
      </c>
      <c r="F2484">
        <v>161</v>
      </c>
      <c r="G2484">
        <v>161</v>
      </c>
      <c r="H2484">
        <v>486</v>
      </c>
      <c r="I2484">
        <v>454</v>
      </c>
      <c r="J2484">
        <v>324</v>
      </c>
      <c r="K2484">
        <v>432</v>
      </c>
      <c r="L2484">
        <v>810</v>
      </c>
      <c r="M2484" s="1">
        <v>1418</v>
      </c>
      <c r="N2484">
        <v>148</v>
      </c>
      <c r="O2484" t="s">
        <v>3254</v>
      </c>
      <c r="P2484" s="1" t="b">
        <f>NOT(OR(Table1[[#This Row],[State]]="Other Foreign Countries", Table1[[#This Row],[State]]="Unknown", Table1[[#This Row],[State]]="Puerto Rico all counties"))</f>
        <v>1</v>
      </c>
    </row>
    <row r="2485" spans="1:16" x14ac:dyDescent="0.25">
      <c r="A2485">
        <v>47149</v>
      </c>
      <c r="B2485" t="s">
        <v>3951</v>
      </c>
      <c r="C2485" t="s">
        <v>3253</v>
      </c>
      <c r="D2485">
        <v>7428</v>
      </c>
      <c r="E2485" s="1">
        <v>1317</v>
      </c>
      <c r="F2485">
        <v>723</v>
      </c>
      <c r="G2485">
        <v>792</v>
      </c>
      <c r="H2485" s="1">
        <v>2348</v>
      </c>
      <c r="I2485" s="1">
        <v>2248</v>
      </c>
      <c r="J2485" s="1">
        <v>2479</v>
      </c>
      <c r="K2485" s="1">
        <v>2714</v>
      </c>
      <c r="L2485" s="1">
        <v>2235</v>
      </c>
      <c r="M2485" s="1">
        <v>6380</v>
      </c>
      <c r="N2485" s="1">
        <v>1048</v>
      </c>
      <c r="O2485" t="s">
        <v>4048</v>
      </c>
      <c r="P2485" s="1" t="b">
        <f>NOT(OR(Table1[[#This Row],[State]]="Other Foreign Countries", Table1[[#This Row],[State]]="Unknown", Table1[[#This Row],[State]]="Puerto Rico all counties"))</f>
        <v>1</v>
      </c>
    </row>
    <row r="2486" spans="1:16" x14ac:dyDescent="0.25">
      <c r="A2486">
        <v>50021</v>
      </c>
      <c r="B2486" t="s">
        <v>4531</v>
      </c>
      <c r="C2486" t="s">
        <v>4548</v>
      </c>
      <c r="D2486">
        <v>1011</v>
      </c>
      <c r="E2486">
        <v>212</v>
      </c>
      <c r="F2486">
        <v>125</v>
      </c>
      <c r="G2486">
        <v>126</v>
      </c>
      <c r="H2486">
        <v>319</v>
      </c>
      <c r="I2486">
        <v>229</v>
      </c>
      <c r="J2486">
        <v>206</v>
      </c>
      <c r="K2486">
        <v>296</v>
      </c>
      <c r="L2486">
        <v>509</v>
      </c>
      <c r="M2486">
        <v>915</v>
      </c>
      <c r="N2486">
        <v>96</v>
      </c>
      <c r="O2486" t="s">
        <v>4549</v>
      </c>
      <c r="P2486" s="1" t="b">
        <f>NOT(OR(Table1[[#This Row],[State]]="Other Foreign Countries", Table1[[#This Row],[State]]="Unknown", Table1[[#This Row],[State]]="Puerto Rico all counties"))</f>
        <v>1</v>
      </c>
    </row>
    <row r="2487" spans="1:16" x14ac:dyDescent="0.25">
      <c r="A2487">
        <v>22085</v>
      </c>
      <c r="B2487" t="s">
        <v>1892</v>
      </c>
      <c r="C2487" t="s">
        <v>1964</v>
      </c>
      <c r="D2487">
        <v>506</v>
      </c>
      <c r="E2487">
        <v>97</v>
      </c>
      <c r="F2487">
        <v>47</v>
      </c>
      <c r="G2487">
        <v>67</v>
      </c>
      <c r="H2487">
        <v>141</v>
      </c>
      <c r="I2487">
        <v>154</v>
      </c>
      <c r="J2487">
        <v>89</v>
      </c>
      <c r="K2487">
        <v>155</v>
      </c>
      <c r="L2487">
        <v>262</v>
      </c>
      <c r="M2487">
        <v>466</v>
      </c>
      <c r="N2487">
        <v>39</v>
      </c>
      <c r="O2487" t="s">
        <v>1965</v>
      </c>
      <c r="P2487" s="1" t="b">
        <f>NOT(OR(Table1[[#This Row],[State]]="Other Foreign Countries", Table1[[#This Row],[State]]="Unknown", Table1[[#This Row],[State]]="Puerto Rico all counties"))</f>
        <v>1</v>
      </c>
    </row>
    <row r="2488" spans="1:16" x14ac:dyDescent="0.25">
      <c r="A2488">
        <v>48403</v>
      </c>
      <c r="B2488" t="s">
        <v>2654</v>
      </c>
      <c r="C2488" t="s">
        <v>1964</v>
      </c>
      <c r="D2488">
        <v>353</v>
      </c>
      <c r="E2488">
        <v>72</v>
      </c>
      <c r="F2488">
        <v>37</v>
      </c>
      <c r="G2488">
        <v>43</v>
      </c>
      <c r="H2488">
        <v>119</v>
      </c>
      <c r="I2488">
        <v>82</v>
      </c>
      <c r="J2488">
        <v>61</v>
      </c>
      <c r="K2488">
        <v>89</v>
      </c>
      <c r="L2488">
        <v>203</v>
      </c>
      <c r="M2488">
        <v>331</v>
      </c>
      <c r="N2488">
        <v>22</v>
      </c>
      <c r="O2488" t="s">
        <v>4396</v>
      </c>
      <c r="P2488" s="1" t="b">
        <f>NOT(OR(Table1[[#This Row],[State]]="Other Foreign Countries", Table1[[#This Row],[State]]="Unknown", Table1[[#This Row],[State]]="Puerto Rico all counties"))</f>
        <v>1</v>
      </c>
    </row>
    <row r="2489" spans="1:16" x14ac:dyDescent="0.25">
      <c r="A2489">
        <v>19161</v>
      </c>
      <c r="B2489" t="s">
        <v>1399</v>
      </c>
      <c r="C2489" t="s">
        <v>1516</v>
      </c>
      <c r="D2489">
        <v>190</v>
      </c>
      <c r="E2489">
        <v>72</v>
      </c>
      <c r="F2489">
        <v>29</v>
      </c>
      <c r="G2489">
        <v>28</v>
      </c>
      <c r="H2489">
        <v>32</v>
      </c>
      <c r="I2489">
        <v>29</v>
      </c>
      <c r="J2489">
        <v>18</v>
      </c>
      <c r="K2489">
        <v>39</v>
      </c>
      <c r="L2489">
        <v>133</v>
      </c>
      <c r="M2489">
        <v>178</v>
      </c>
      <c r="N2489">
        <v>12</v>
      </c>
      <c r="O2489" t="s">
        <v>1517</v>
      </c>
      <c r="P2489" s="1" t="b">
        <f>NOT(OR(Table1[[#This Row],[State]]="Other Foreign Countries", Table1[[#This Row],[State]]="Unknown", Table1[[#This Row],[State]]="Puerto Rico all counties"))</f>
        <v>1</v>
      </c>
    </row>
    <row r="2490" spans="1:16" x14ac:dyDescent="0.25">
      <c r="A2490">
        <v>6067</v>
      </c>
      <c r="B2490" t="s">
        <v>374</v>
      </c>
      <c r="C2490" t="s">
        <v>440</v>
      </c>
      <c r="D2490">
        <v>22835</v>
      </c>
      <c r="E2490" s="1">
        <v>4960</v>
      </c>
      <c r="F2490" s="1">
        <v>2630</v>
      </c>
      <c r="G2490" s="1">
        <v>2602</v>
      </c>
      <c r="H2490" s="1">
        <v>6706</v>
      </c>
      <c r="I2490" s="1">
        <v>5937</v>
      </c>
      <c r="J2490" s="1">
        <v>7077</v>
      </c>
      <c r="K2490" s="1">
        <v>6618</v>
      </c>
      <c r="L2490" s="1">
        <v>9140</v>
      </c>
      <c r="M2490" s="1">
        <v>20000</v>
      </c>
      <c r="N2490" s="1">
        <v>2832</v>
      </c>
      <c r="O2490" t="s">
        <v>441</v>
      </c>
      <c r="P2490" s="1" t="b">
        <f>NOT(OR(Table1[[#This Row],[State]]="Other Foreign Countries", Table1[[#This Row],[State]]="Unknown", Table1[[#This Row],[State]]="Puerto Rico all counties"))</f>
        <v>1</v>
      </c>
    </row>
    <row r="2491" spans="1:16" x14ac:dyDescent="0.25">
      <c r="A2491">
        <v>23023</v>
      </c>
      <c r="B2491" t="s">
        <v>2004</v>
      </c>
      <c r="C2491" t="s">
        <v>2022</v>
      </c>
      <c r="D2491">
        <v>1209</v>
      </c>
      <c r="E2491">
        <v>271</v>
      </c>
      <c r="F2491">
        <v>138</v>
      </c>
      <c r="G2491">
        <v>140</v>
      </c>
      <c r="H2491">
        <v>369</v>
      </c>
      <c r="I2491">
        <v>291</v>
      </c>
      <c r="J2491">
        <v>222</v>
      </c>
      <c r="K2491">
        <v>424</v>
      </c>
      <c r="L2491">
        <v>563</v>
      </c>
      <c r="M2491" s="1">
        <v>1083</v>
      </c>
      <c r="N2491">
        <v>126</v>
      </c>
      <c r="O2491" t="s">
        <v>2023</v>
      </c>
      <c r="P2491" s="1" t="b">
        <f>NOT(OR(Table1[[#This Row],[State]]="Other Foreign Countries", Table1[[#This Row],[State]]="Unknown", Table1[[#This Row],[State]]="Puerto Rico all counties"))</f>
        <v>1</v>
      </c>
    </row>
    <row r="2492" spans="1:16" x14ac:dyDescent="0.25">
      <c r="A2492">
        <v>26145</v>
      </c>
      <c r="B2492" t="s">
        <v>2099</v>
      </c>
      <c r="C2492" t="s">
        <v>2227</v>
      </c>
      <c r="D2492">
        <v>3432</v>
      </c>
      <c r="E2492">
        <v>796</v>
      </c>
      <c r="F2492">
        <v>404</v>
      </c>
      <c r="G2492">
        <v>390</v>
      </c>
      <c r="H2492" s="1">
        <v>1042</v>
      </c>
      <c r="I2492">
        <v>800</v>
      </c>
      <c r="J2492">
        <v>659</v>
      </c>
      <c r="K2492" s="1">
        <v>1140</v>
      </c>
      <c r="L2492" s="1">
        <v>1633</v>
      </c>
      <c r="M2492" s="1">
        <v>3079</v>
      </c>
      <c r="N2492">
        <v>352</v>
      </c>
      <c r="O2492" t="s">
        <v>2228</v>
      </c>
      <c r="P2492" s="1" t="b">
        <f>NOT(OR(Table1[[#This Row],[State]]="Other Foreign Countries", Table1[[#This Row],[State]]="Unknown", Table1[[#This Row],[State]]="Puerto Rico all counties"))</f>
        <v>1</v>
      </c>
    </row>
    <row r="2493" spans="1:16" x14ac:dyDescent="0.25">
      <c r="A2493">
        <v>8109</v>
      </c>
      <c r="B2493" t="s">
        <v>489</v>
      </c>
      <c r="C2493" t="s">
        <v>593</v>
      </c>
      <c r="D2493">
        <v>117</v>
      </c>
      <c r="E2493">
        <v>21</v>
      </c>
      <c r="H2493">
        <v>32</v>
      </c>
      <c r="I2493">
        <v>43</v>
      </c>
      <c r="J2493">
        <v>22</v>
      </c>
      <c r="K2493">
        <v>37</v>
      </c>
      <c r="L2493">
        <v>58</v>
      </c>
      <c r="M2493">
        <v>100</v>
      </c>
      <c r="N2493">
        <v>17</v>
      </c>
      <c r="O2493" t="s">
        <v>594</v>
      </c>
      <c r="P2493" s="1" t="b">
        <f>NOT(OR(Table1[[#This Row],[State]]="Other Foreign Countries", Table1[[#This Row],[State]]="Unknown", Table1[[#This Row],[State]]="Puerto Rico all counties"))</f>
        <v>1</v>
      </c>
    </row>
    <row r="2494" spans="1:16" x14ac:dyDescent="0.25">
      <c r="A2494">
        <v>34033</v>
      </c>
      <c r="B2494" t="s">
        <v>2938</v>
      </c>
      <c r="C2494" t="s">
        <v>2965</v>
      </c>
      <c r="D2494">
        <v>1010</v>
      </c>
      <c r="E2494">
        <v>185</v>
      </c>
      <c r="F2494">
        <v>102</v>
      </c>
      <c r="G2494">
        <v>109</v>
      </c>
      <c r="H2494">
        <v>317</v>
      </c>
      <c r="I2494">
        <v>297</v>
      </c>
      <c r="J2494">
        <v>286</v>
      </c>
      <c r="K2494">
        <v>289</v>
      </c>
      <c r="L2494">
        <v>435</v>
      </c>
      <c r="M2494">
        <v>900</v>
      </c>
      <c r="N2494">
        <v>110</v>
      </c>
      <c r="O2494" t="s">
        <v>2966</v>
      </c>
      <c r="P2494" s="1" t="b">
        <f>NOT(OR(Table1[[#This Row],[State]]="Other Foreign Countries", Table1[[#This Row],[State]]="Unknown", Table1[[#This Row],[State]]="Puerto Rico all counties"))</f>
        <v>1</v>
      </c>
    </row>
    <row r="2495" spans="1:16" x14ac:dyDescent="0.25">
      <c r="A2495">
        <v>51775</v>
      </c>
      <c r="B2495" t="s">
        <v>4555</v>
      </c>
      <c r="C2495" t="s">
        <v>4758</v>
      </c>
      <c r="D2495">
        <v>535</v>
      </c>
      <c r="E2495">
        <v>108</v>
      </c>
      <c r="F2495">
        <v>66</v>
      </c>
      <c r="G2495">
        <v>72</v>
      </c>
      <c r="H2495">
        <v>147</v>
      </c>
      <c r="I2495">
        <v>142</v>
      </c>
      <c r="J2495">
        <v>136</v>
      </c>
      <c r="K2495">
        <v>171</v>
      </c>
      <c r="L2495">
        <v>228</v>
      </c>
      <c r="M2495">
        <v>462</v>
      </c>
      <c r="N2495">
        <v>73</v>
      </c>
      <c r="O2495" t="s">
        <v>4759</v>
      </c>
      <c r="P2495" s="1" t="b">
        <f>NOT(OR(Table1[[#This Row],[State]]="Other Foreign Countries", Table1[[#This Row],[State]]="Unknown", Table1[[#This Row],[State]]="Puerto Rico all counties"))</f>
        <v>1</v>
      </c>
    </row>
    <row r="2496" spans="1:16" x14ac:dyDescent="0.25">
      <c r="A2496">
        <v>5125</v>
      </c>
      <c r="B2496" t="s">
        <v>242</v>
      </c>
      <c r="C2496" t="s">
        <v>349</v>
      </c>
      <c r="D2496">
        <v>3352</v>
      </c>
      <c r="E2496">
        <v>534</v>
      </c>
      <c r="F2496">
        <v>344</v>
      </c>
      <c r="G2496">
        <v>416</v>
      </c>
      <c r="H2496" s="1">
        <v>1005</v>
      </c>
      <c r="I2496" s="1">
        <v>1053</v>
      </c>
      <c r="J2496">
        <v>841</v>
      </c>
      <c r="K2496" s="1">
        <v>1277</v>
      </c>
      <c r="L2496" s="1">
        <v>1234</v>
      </c>
      <c r="M2496" s="1">
        <v>2918</v>
      </c>
      <c r="N2496">
        <v>434</v>
      </c>
      <c r="O2496" t="s">
        <v>350</v>
      </c>
      <c r="P2496" s="1" t="b">
        <f>NOT(OR(Table1[[#This Row],[State]]="Other Foreign Countries", Table1[[#This Row],[State]]="Unknown", Table1[[#This Row],[State]]="Puerto Rico all counties"))</f>
        <v>1</v>
      </c>
    </row>
    <row r="2497" spans="1:16" x14ac:dyDescent="0.25">
      <c r="A2497">
        <v>17165</v>
      </c>
      <c r="B2497" t="s">
        <v>1109</v>
      </c>
      <c r="C2497" t="s">
        <v>349</v>
      </c>
      <c r="D2497">
        <v>500</v>
      </c>
      <c r="E2497">
        <v>101</v>
      </c>
      <c r="F2497">
        <v>57</v>
      </c>
      <c r="G2497">
        <v>59</v>
      </c>
      <c r="H2497">
        <v>158</v>
      </c>
      <c r="I2497">
        <v>125</v>
      </c>
      <c r="J2497">
        <v>120</v>
      </c>
      <c r="K2497">
        <v>130</v>
      </c>
      <c r="L2497">
        <v>250</v>
      </c>
      <c r="M2497">
        <v>471</v>
      </c>
      <c r="N2497">
        <v>29</v>
      </c>
      <c r="O2497" t="s">
        <v>1234</v>
      </c>
      <c r="P2497" s="1" t="b">
        <f>NOT(OR(Table1[[#This Row],[State]]="Other Foreign Countries", Table1[[#This Row],[State]]="Unknown", Table1[[#This Row],[State]]="Puerto Rico all counties"))</f>
        <v>1</v>
      </c>
    </row>
    <row r="2498" spans="1:16" x14ac:dyDescent="0.25">
      <c r="A2498">
        <v>20169</v>
      </c>
      <c r="B2498" t="s">
        <v>1543</v>
      </c>
      <c r="C2498" t="s">
        <v>349</v>
      </c>
      <c r="D2498">
        <v>998</v>
      </c>
      <c r="E2498">
        <v>233</v>
      </c>
      <c r="F2498">
        <v>131</v>
      </c>
      <c r="G2498">
        <v>121</v>
      </c>
      <c r="H2498">
        <v>276</v>
      </c>
      <c r="I2498">
        <v>237</v>
      </c>
      <c r="J2498">
        <v>247</v>
      </c>
      <c r="K2498">
        <v>303</v>
      </c>
      <c r="L2498">
        <v>448</v>
      </c>
      <c r="M2498">
        <v>917</v>
      </c>
      <c r="N2498">
        <v>81</v>
      </c>
      <c r="O2498" t="s">
        <v>1679</v>
      </c>
      <c r="P2498" s="1" t="b">
        <f>NOT(OR(Table1[[#This Row],[State]]="Other Foreign Countries", Table1[[#This Row],[State]]="Unknown", Table1[[#This Row],[State]]="Puerto Rico all counties"))</f>
        <v>1</v>
      </c>
    </row>
    <row r="2499" spans="1:16" x14ac:dyDescent="0.25">
      <c r="A2499">
        <v>29195</v>
      </c>
      <c r="B2499" t="s">
        <v>2510</v>
      </c>
      <c r="C2499" t="s">
        <v>349</v>
      </c>
      <c r="D2499">
        <v>449</v>
      </c>
      <c r="E2499">
        <v>134</v>
      </c>
      <c r="F2499">
        <v>54</v>
      </c>
      <c r="G2499">
        <v>60</v>
      </c>
      <c r="H2499">
        <v>112</v>
      </c>
      <c r="I2499">
        <v>89</v>
      </c>
      <c r="J2499">
        <v>100</v>
      </c>
      <c r="K2499">
        <v>118</v>
      </c>
      <c r="L2499">
        <v>231</v>
      </c>
      <c r="M2499">
        <v>425</v>
      </c>
      <c r="N2499">
        <v>24</v>
      </c>
      <c r="O2499" t="s">
        <v>2640</v>
      </c>
      <c r="P2499" s="1" t="b">
        <f>NOT(OR(Table1[[#This Row],[State]]="Other Foreign Countries", Table1[[#This Row],[State]]="Unknown", Table1[[#This Row],[State]]="Puerto Rico all counties"))</f>
        <v>1</v>
      </c>
    </row>
    <row r="2500" spans="1:16" x14ac:dyDescent="0.25">
      <c r="A2500">
        <v>31151</v>
      </c>
      <c r="B2500" t="s">
        <v>2758</v>
      </c>
      <c r="C2500" t="s">
        <v>349</v>
      </c>
      <c r="D2500">
        <v>266</v>
      </c>
      <c r="E2500">
        <v>96</v>
      </c>
      <c r="F2500">
        <v>32</v>
      </c>
      <c r="G2500">
        <v>46</v>
      </c>
      <c r="H2500">
        <v>52</v>
      </c>
      <c r="I2500">
        <v>40</v>
      </c>
      <c r="J2500">
        <v>50</v>
      </c>
      <c r="K2500">
        <v>58</v>
      </c>
      <c r="L2500">
        <v>158</v>
      </c>
      <c r="M2500">
        <v>243</v>
      </c>
      <c r="N2500">
        <v>23</v>
      </c>
      <c r="O2500" t="s">
        <v>2869</v>
      </c>
      <c r="P2500" s="1" t="b">
        <f>NOT(OR(Table1[[#This Row],[State]]="Other Foreign Countries", Table1[[#This Row],[State]]="Unknown", Table1[[#This Row],[State]]="Puerto Rico all counties"))</f>
        <v>1</v>
      </c>
    </row>
    <row r="2501" spans="1:16" x14ac:dyDescent="0.25">
      <c r="A2501">
        <v>49035</v>
      </c>
      <c r="B2501" t="s">
        <v>4486</v>
      </c>
      <c r="C2501" t="s">
        <v>4513</v>
      </c>
      <c r="D2501">
        <v>11692</v>
      </c>
      <c r="E2501" s="1">
        <v>2422</v>
      </c>
      <c r="F2501" s="1">
        <v>1388</v>
      </c>
      <c r="G2501" s="1">
        <v>1497</v>
      </c>
      <c r="H2501" s="1">
        <v>3554</v>
      </c>
      <c r="I2501" s="1">
        <v>2831</v>
      </c>
      <c r="J2501" s="1">
        <v>4240</v>
      </c>
      <c r="K2501" s="1">
        <v>3510</v>
      </c>
      <c r="L2501" s="1">
        <v>3942</v>
      </c>
      <c r="M2501" s="1">
        <v>10446</v>
      </c>
      <c r="N2501" s="1">
        <v>1246</v>
      </c>
      <c r="O2501" t="s">
        <v>4514</v>
      </c>
      <c r="P2501" s="1" t="b">
        <f>NOT(OR(Table1[[#This Row],[State]]="Other Foreign Countries", Table1[[#This Row],[State]]="Unknown", Table1[[#This Row],[State]]="Puerto Rico all counties"))</f>
        <v>1</v>
      </c>
    </row>
    <row r="2502" spans="1:16" x14ac:dyDescent="0.25">
      <c r="A2502">
        <v>45081</v>
      </c>
      <c r="B2502" t="s">
        <v>3772</v>
      </c>
      <c r="C2502" t="s">
        <v>3837</v>
      </c>
      <c r="D2502">
        <v>414</v>
      </c>
      <c r="E2502">
        <v>69</v>
      </c>
      <c r="F2502">
        <v>43</v>
      </c>
      <c r="G2502">
        <v>49</v>
      </c>
      <c r="H2502">
        <v>135</v>
      </c>
      <c r="I2502">
        <v>118</v>
      </c>
      <c r="J2502">
        <v>80</v>
      </c>
      <c r="K2502">
        <v>135</v>
      </c>
      <c r="L2502">
        <v>199</v>
      </c>
      <c r="M2502">
        <v>383</v>
      </c>
      <c r="N2502">
        <v>31</v>
      </c>
      <c r="O2502" t="s">
        <v>3838</v>
      </c>
      <c r="P2502" s="1" t="b">
        <f>NOT(OR(Table1[[#This Row],[State]]="Other Foreign Countries", Table1[[#This Row],[State]]="Unknown", Table1[[#This Row],[State]]="Puerto Rico all counties"))</f>
        <v>1</v>
      </c>
    </row>
    <row r="2503" spans="1:16" x14ac:dyDescent="0.25">
      <c r="A2503">
        <v>37163</v>
      </c>
      <c r="B2503" t="s">
        <v>3121</v>
      </c>
      <c r="C2503" t="s">
        <v>3255</v>
      </c>
      <c r="D2503">
        <v>1551</v>
      </c>
      <c r="E2503">
        <v>207</v>
      </c>
      <c r="F2503">
        <v>129</v>
      </c>
      <c r="G2503">
        <v>171</v>
      </c>
      <c r="H2503">
        <v>493</v>
      </c>
      <c r="I2503">
        <v>551</v>
      </c>
      <c r="J2503">
        <v>330</v>
      </c>
      <c r="K2503">
        <v>528</v>
      </c>
      <c r="L2503">
        <v>693</v>
      </c>
      <c r="M2503" s="1">
        <v>1362</v>
      </c>
      <c r="N2503">
        <v>189</v>
      </c>
      <c r="O2503" t="s">
        <v>3256</v>
      </c>
      <c r="P2503" s="1" t="b">
        <f>NOT(OR(Table1[[#This Row],[State]]="Other Foreign Countries", Table1[[#This Row],[State]]="Unknown", Table1[[#This Row],[State]]="Puerto Rico all counties"))</f>
        <v>1</v>
      </c>
    </row>
    <row r="2504" spans="1:16" x14ac:dyDescent="0.25">
      <c r="A2504">
        <v>48405</v>
      </c>
      <c r="B2504" t="s">
        <v>2654</v>
      </c>
      <c r="C2504" t="s">
        <v>4397</v>
      </c>
      <c r="D2504">
        <v>203</v>
      </c>
      <c r="E2504">
        <v>36</v>
      </c>
      <c r="F2504">
        <v>24</v>
      </c>
      <c r="G2504">
        <v>22</v>
      </c>
      <c r="H2504">
        <v>70</v>
      </c>
      <c r="I2504">
        <v>51</v>
      </c>
      <c r="J2504">
        <v>41</v>
      </c>
      <c r="K2504">
        <v>56</v>
      </c>
      <c r="L2504">
        <v>106</v>
      </c>
      <c r="M2504">
        <v>182</v>
      </c>
      <c r="N2504">
        <v>21</v>
      </c>
      <c r="O2504" t="s">
        <v>4398</v>
      </c>
      <c r="P2504" s="1" t="b">
        <f>NOT(OR(Table1[[#This Row],[State]]="Other Foreign Countries", Table1[[#This Row],[State]]="Unknown", Table1[[#This Row],[State]]="Puerto Rico all counties"))</f>
        <v>1</v>
      </c>
    </row>
    <row r="2505" spans="1:16" x14ac:dyDescent="0.25">
      <c r="A2505">
        <v>6069</v>
      </c>
      <c r="B2505" t="s">
        <v>374</v>
      </c>
      <c r="C2505" t="s">
        <v>442</v>
      </c>
      <c r="D2505">
        <v>892</v>
      </c>
      <c r="E2505">
        <v>161</v>
      </c>
      <c r="F2505">
        <v>79</v>
      </c>
      <c r="G2505">
        <v>102</v>
      </c>
      <c r="H2505">
        <v>290</v>
      </c>
      <c r="I2505">
        <v>260</v>
      </c>
      <c r="J2505">
        <v>304</v>
      </c>
      <c r="K2505">
        <v>237</v>
      </c>
      <c r="L2505">
        <v>351</v>
      </c>
      <c r="M2505">
        <v>819</v>
      </c>
      <c r="N2505">
        <v>73</v>
      </c>
      <c r="O2505" t="s">
        <v>443</v>
      </c>
      <c r="P2505" s="1" t="b">
        <f>NOT(OR(Table1[[#This Row],[State]]="Other Foreign Countries", Table1[[#This Row],[State]]="Unknown", Table1[[#This Row],[State]]="Puerto Rico all counties"))</f>
        <v>1</v>
      </c>
    </row>
    <row r="2506" spans="1:16" x14ac:dyDescent="0.25">
      <c r="A2506">
        <v>6071</v>
      </c>
      <c r="B2506" t="s">
        <v>374</v>
      </c>
      <c r="C2506" t="s">
        <v>444</v>
      </c>
      <c r="D2506">
        <v>32294</v>
      </c>
      <c r="E2506" s="1">
        <v>6095</v>
      </c>
      <c r="F2506" s="1">
        <v>2940</v>
      </c>
      <c r="G2506" s="1">
        <v>3268</v>
      </c>
      <c r="H2506" s="1">
        <v>9875</v>
      </c>
      <c r="I2506" s="1">
        <v>10116</v>
      </c>
      <c r="J2506" s="1">
        <v>11939</v>
      </c>
      <c r="K2506" s="1">
        <v>9483</v>
      </c>
      <c r="L2506" s="1">
        <v>10872</v>
      </c>
      <c r="M2506" s="1">
        <v>28898</v>
      </c>
      <c r="N2506" s="1">
        <v>3393</v>
      </c>
      <c r="O2506" t="s">
        <v>445</v>
      </c>
      <c r="P2506" s="1" t="b">
        <f>NOT(OR(Table1[[#This Row],[State]]="Other Foreign Countries", Table1[[#This Row],[State]]="Unknown", Table1[[#This Row],[State]]="Puerto Rico all counties"))</f>
        <v>1</v>
      </c>
    </row>
    <row r="2507" spans="1:16" x14ac:dyDescent="0.25">
      <c r="A2507">
        <v>6073</v>
      </c>
      <c r="B2507" t="s">
        <v>374</v>
      </c>
      <c r="C2507" t="s">
        <v>446</v>
      </c>
      <c r="D2507">
        <v>98159</v>
      </c>
      <c r="E2507" s="1">
        <v>15874</v>
      </c>
      <c r="F2507" s="1">
        <v>9364</v>
      </c>
      <c r="G2507" s="1">
        <v>10303</v>
      </c>
      <c r="H2507" s="1">
        <v>27264</v>
      </c>
      <c r="I2507" s="1">
        <v>35354</v>
      </c>
      <c r="J2507" s="1">
        <v>37669</v>
      </c>
      <c r="K2507" s="1">
        <v>33812</v>
      </c>
      <c r="L2507" s="1">
        <v>26678</v>
      </c>
      <c r="M2507" s="1">
        <v>84275</v>
      </c>
      <c r="N2507" s="1">
        <v>13882</v>
      </c>
      <c r="O2507" t="s">
        <v>447</v>
      </c>
      <c r="P2507" s="1" t="b">
        <f>NOT(OR(Table1[[#This Row],[State]]="Other Foreign Countries", Table1[[#This Row],[State]]="Unknown", Table1[[#This Row],[State]]="Puerto Rico all counties"))</f>
        <v>1</v>
      </c>
    </row>
    <row r="2508" spans="1:16" x14ac:dyDescent="0.25">
      <c r="A2508">
        <v>6075</v>
      </c>
      <c r="B2508" t="s">
        <v>374</v>
      </c>
      <c r="C2508" t="s">
        <v>448</v>
      </c>
      <c r="D2508">
        <v>4333</v>
      </c>
      <c r="E2508">
        <v>903</v>
      </c>
      <c r="F2508">
        <v>431</v>
      </c>
      <c r="G2508">
        <v>420</v>
      </c>
      <c r="H2508" s="1">
        <v>1259</v>
      </c>
      <c r="I2508" s="1">
        <v>1320</v>
      </c>
      <c r="J2508" s="1">
        <v>1628</v>
      </c>
      <c r="K2508" s="1">
        <v>1146</v>
      </c>
      <c r="L2508" s="1">
        <v>1559</v>
      </c>
      <c r="M2508" s="1">
        <v>3816</v>
      </c>
      <c r="N2508">
        <v>515</v>
      </c>
      <c r="O2508" t="s">
        <v>449</v>
      </c>
      <c r="P2508" s="1" t="b">
        <f>NOT(OR(Table1[[#This Row],[State]]="Other Foreign Countries", Table1[[#This Row],[State]]="Unknown", Table1[[#This Row],[State]]="Puerto Rico all counties"))</f>
        <v>1</v>
      </c>
    </row>
    <row r="2509" spans="1:16" x14ac:dyDescent="0.25">
      <c r="A2509">
        <v>48407</v>
      </c>
      <c r="B2509" t="s">
        <v>2654</v>
      </c>
      <c r="C2509" t="s">
        <v>4399</v>
      </c>
      <c r="D2509">
        <v>769</v>
      </c>
      <c r="E2509">
        <v>152</v>
      </c>
      <c r="F2509">
        <v>75</v>
      </c>
      <c r="G2509">
        <v>76</v>
      </c>
      <c r="H2509">
        <v>240</v>
      </c>
      <c r="I2509">
        <v>226</v>
      </c>
      <c r="J2509">
        <v>187</v>
      </c>
      <c r="K2509">
        <v>244</v>
      </c>
      <c r="L2509">
        <v>338</v>
      </c>
      <c r="M2509">
        <v>694</v>
      </c>
      <c r="N2509">
        <v>75</v>
      </c>
      <c r="O2509" t="s">
        <v>4400</v>
      </c>
      <c r="P2509" s="1" t="b">
        <f>NOT(OR(Table1[[#This Row],[State]]="Other Foreign Countries", Table1[[#This Row],[State]]="Unknown", Table1[[#This Row],[State]]="Puerto Rico all counties"))</f>
        <v>1</v>
      </c>
    </row>
    <row r="2510" spans="1:16" x14ac:dyDescent="0.25">
      <c r="A2510">
        <v>6077</v>
      </c>
      <c r="B2510" t="s">
        <v>374</v>
      </c>
      <c r="C2510" t="s">
        <v>450</v>
      </c>
      <c r="D2510">
        <v>9131</v>
      </c>
      <c r="E2510" s="1">
        <v>1843</v>
      </c>
      <c r="F2510">
        <v>906</v>
      </c>
      <c r="G2510" s="1">
        <v>1060</v>
      </c>
      <c r="H2510" s="1">
        <v>2745</v>
      </c>
      <c r="I2510" s="1">
        <v>2577</v>
      </c>
      <c r="J2510" s="1">
        <v>2791</v>
      </c>
      <c r="K2510" s="1">
        <v>2658</v>
      </c>
      <c r="L2510" s="1">
        <v>3682</v>
      </c>
      <c r="M2510" s="1">
        <v>8215</v>
      </c>
      <c r="N2510">
        <v>916</v>
      </c>
      <c r="O2510" t="s">
        <v>451</v>
      </c>
      <c r="P2510" s="1" t="b">
        <f>NOT(OR(Table1[[#This Row],[State]]="Other Foreign Countries", Table1[[#This Row],[State]]="Unknown", Table1[[#This Row],[State]]="Puerto Rico all counties"))</f>
        <v>1</v>
      </c>
    </row>
    <row r="2511" spans="1:16" x14ac:dyDescent="0.25">
      <c r="A2511">
        <v>8111</v>
      </c>
      <c r="B2511" t="s">
        <v>489</v>
      </c>
      <c r="C2511" t="s">
        <v>595</v>
      </c>
      <c r="D2511">
        <v>17</v>
      </c>
      <c r="O2511" t="s">
        <v>596</v>
      </c>
      <c r="P2511" s="1" t="b">
        <f>NOT(OR(Table1[[#This Row],[State]]="Other Foreign Countries", Table1[[#This Row],[State]]="Unknown", Table1[[#This Row],[State]]="Puerto Rico all counties"))</f>
        <v>1</v>
      </c>
    </row>
    <row r="2512" spans="1:16" x14ac:dyDescent="0.25">
      <c r="A2512">
        <v>35045</v>
      </c>
      <c r="B2512" t="s">
        <v>2971</v>
      </c>
      <c r="C2512" t="s">
        <v>595</v>
      </c>
      <c r="D2512">
        <v>1868</v>
      </c>
      <c r="E2512">
        <v>372</v>
      </c>
      <c r="F2512">
        <v>187</v>
      </c>
      <c r="G2512">
        <v>214</v>
      </c>
      <c r="H2512">
        <v>642</v>
      </c>
      <c r="I2512">
        <v>453</v>
      </c>
      <c r="J2512">
        <v>491</v>
      </c>
      <c r="K2512">
        <v>618</v>
      </c>
      <c r="L2512">
        <v>759</v>
      </c>
      <c r="M2512" s="1">
        <v>1640</v>
      </c>
      <c r="N2512">
        <v>227</v>
      </c>
      <c r="O2512" t="s">
        <v>3015</v>
      </c>
      <c r="P2512" s="1" t="b">
        <f>NOT(OR(Table1[[#This Row],[State]]="Other Foreign Countries", Table1[[#This Row],[State]]="Unknown", Table1[[#This Row],[State]]="Puerto Rico all counties"))</f>
        <v>1</v>
      </c>
    </row>
    <row r="2513" spans="1:16" x14ac:dyDescent="0.25">
      <c r="A2513">
        <v>49037</v>
      </c>
      <c r="B2513" t="s">
        <v>4486</v>
      </c>
      <c r="C2513" t="s">
        <v>595</v>
      </c>
      <c r="D2513">
        <v>173</v>
      </c>
      <c r="E2513">
        <v>41</v>
      </c>
      <c r="F2513">
        <v>19</v>
      </c>
      <c r="G2513">
        <v>30</v>
      </c>
      <c r="H2513">
        <v>42</v>
      </c>
      <c r="I2513">
        <v>41</v>
      </c>
      <c r="J2513">
        <v>42</v>
      </c>
      <c r="K2513">
        <v>48</v>
      </c>
      <c r="L2513">
        <v>83</v>
      </c>
      <c r="M2513">
        <v>161</v>
      </c>
      <c r="N2513">
        <v>12</v>
      </c>
      <c r="O2513" t="s">
        <v>4515</v>
      </c>
      <c r="P2513" s="1" t="b">
        <f>NOT(OR(Table1[[#This Row],[State]]="Other Foreign Countries", Table1[[#This Row],[State]]="Unknown", Table1[[#This Row],[State]]="Puerto Rico all counties"))</f>
        <v>1</v>
      </c>
    </row>
    <row r="2514" spans="1:16" x14ac:dyDescent="0.25">
      <c r="A2514">
        <v>53055</v>
      </c>
      <c r="B2514" t="s">
        <v>144</v>
      </c>
      <c r="C2514" t="s">
        <v>595</v>
      </c>
      <c r="D2514">
        <v>212</v>
      </c>
      <c r="E2514">
        <v>61</v>
      </c>
      <c r="F2514">
        <v>40</v>
      </c>
      <c r="G2514">
        <v>23</v>
      </c>
      <c r="H2514">
        <v>49</v>
      </c>
      <c r="I2514">
        <v>39</v>
      </c>
      <c r="J2514">
        <v>28</v>
      </c>
      <c r="K2514">
        <v>53</v>
      </c>
      <c r="L2514">
        <v>131</v>
      </c>
      <c r="M2514">
        <v>196</v>
      </c>
      <c r="N2514">
        <v>16</v>
      </c>
      <c r="O2514" t="s">
        <v>4812</v>
      </c>
      <c r="P2514" s="1" t="b">
        <f>NOT(OR(Table1[[#This Row],[State]]="Other Foreign Countries", Table1[[#This Row],[State]]="Unknown", Table1[[#This Row],[State]]="Puerto Rico all counties"))</f>
        <v>1</v>
      </c>
    </row>
    <row r="2515" spans="1:16" x14ac:dyDescent="0.25">
      <c r="A2515">
        <v>6079</v>
      </c>
      <c r="B2515" t="s">
        <v>374</v>
      </c>
      <c r="C2515" t="s">
        <v>452</v>
      </c>
      <c r="D2515">
        <v>4461</v>
      </c>
      <c r="E2515" s="1">
        <v>1236</v>
      </c>
      <c r="F2515">
        <v>507</v>
      </c>
      <c r="G2515">
        <v>499</v>
      </c>
      <c r="H2515" s="1">
        <v>1132</v>
      </c>
      <c r="I2515" s="1">
        <v>1087</v>
      </c>
      <c r="J2515" s="1">
        <v>1022</v>
      </c>
      <c r="K2515" s="1">
        <v>1157</v>
      </c>
      <c r="L2515" s="1">
        <v>2282</v>
      </c>
      <c r="M2515" s="1">
        <v>4086</v>
      </c>
      <c r="N2515">
        <v>373</v>
      </c>
      <c r="O2515" t="s">
        <v>453</v>
      </c>
      <c r="P2515" s="1" t="b">
        <f>NOT(OR(Table1[[#This Row],[State]]="Other Foreign Countries", Table1[[#This Row],[State]]="Unknown", Table1[[#This Row],[State]]="Puerto Rico all counties"))</f>
        <v>1</v>
      </c>
    </row>
    <row r="2516" spans="1:16" x14ac:dyDescent="0.25">
      <c r="A2516">
        <v>6081</v>
      </c>
      <c r="B2516" t="s">
        <v>374</v>
      </c>
      <c r="C2516" t="s">
        <v>454</v>
      </c>
      <c r="D2516">
        <v>4240</v>
      </c>
      <c r="E2516">
        <v>933</v>
      </c>
      <c r="F2516">
        <v>442</v>
      </c>
      <c r="G2516">
        <v>449</v>
      </c>
      <c r="H2516" s="1">
        <v>1141</v>
      </c>
      <c r="I2516" s="1">
        <v>1275</v>
      </c>
      <c r="J2516" s="1">
        <v>1327</v>
      </c>
      <c r="K2516" s="1">
        <v>1150</v>
      </c>
      <c r="L2516" s="1">
        <v>1763</v>
      </c>
      <c r="M2516" s="1">
        <v>3849</v>
      </c>
      <c r="N2516">
        <v>390</v>
      </c>
      <c r="O2516" t="s">
        <v>455</v>
      </c>
      <c r="P2516" s="1" t="b">
        <f>NOT(OR(Table1[[#This Row],[State]]="Other Foreign Countries", Table1[[#This Row],[State]]="Unknown", Table1[[#This Row],[State]]="Puerto Rico all counties"))</f>
        <v>1</v>
      </c>
    </row>
    <row r="2517" spans="1:16" x14ac:dyDescent="0.25">
      <c r="A2517">
        <v>8113</v>
      </c>
      <c r="B2517" t="s">
        <v>489</v>
      </c>
      <c r="C2517" t="s">
        <v>597</v>
      </c>
      <c r="D2517">
        <v>72</v>
      </c>
      <c r="E2517">
        <v>23</v>
      </c>
      <c r="F2517">
        <v>12</v>
      </c>
      <c r="G2517">
        <v>10</v>
      </c>
      <c r="H2517">
        <v>17</v>
      </c>
      <c r="I2517">
        <v>10</v>
      </c>
      <c r="J2517">
        <v>23</v>
      </c>
      <c r="K2517">
        <v>21</v>
      </c>
      <c r="L2517">
        <v>28</v>
      </c>
      <c r="M2517">
        <v>61</v>
      </c>
      <c r="N2517">
        <v>11</v>
      </c>
      <c r="O2517" t="s">
        <v>598</v>
      </c>
      <c r="P2517" s="1" t="b">
        <f>NOT(OR(Table1[[#This Row],[State]]="Other Foreign Countries", Table1[[#This Row],[State]]="Unknown", Table1[[#This Row],[State]]="Puerto Rico all counties"))</f>
        <v>1</v>
      </c>
    </row>
    <row r="2518" spans="1:16" x14ac:dyDescent="0.25">
      <c r="A2518">
        <v>35047</v>
      </c>
      <c r="B2518" t="s">
        <v>2971</v>
      </c>
      <c r="C2518" t="s">
        <v>597</v>
      </c>
      <c r="D2518">
        <v>642</v>
      </c>
      <c r="E2518">
        <v>99</v>
      </c>
      <c r="F2518">
        <v>47</v>
      </c>
      <c r="G2518">
        <v>52</v>
      </c>
      <c r="H2518">
        <v>236</v>
      </c>
      <c r="I2518">
        <v>208</v>
      </c>
      <c r="J2518">
        <v>64</v>
      </c>
      <c r="K2518">
        <v>230</v>
      </c>
      <c r="L2518">
        <v>348</v>
      </c>
      <c r="M2518">
        <v>579</v>
      </c>
      <c r="N2518">
        <v>63</v>
      </c>
      <c r="O2518" t="s">
        <v>3016</v>
      </c>
      <c r="P2518" s="1" t="b">
        <f>NOT(OR(Table1[[#This Row],[State]]="Other Foreign Countries", Table1[[#This Row],[State]]="Unknown", Table1[[#This Row],[State]]="Puerto Rico all counties"))</f>
        <v>1</v>
      </c>
    </row>
    <row r="2519" spans="1:16" x14ac:dyDescent="0.25">
      <c r="A2519">
        <v>48409</v>
      </c>
      <c r="B2519" t="s">
        <v>2654</v>
      </c>
      <c r="C2519" t="s">
        <v>4401</v>
      </c>
      <c r="D2519">
        <v>2360</v>
      </c>
      <c r="E2519">
        <v>378</v>
      </c>
      <c r="F2519">
        <v>225</v>
      </c>
      <c r="G2519">
        <v>267</v>
      </c>
      <c r="H2519">
        <v>726</v>
      </c>
      <c r="I2519">
        <v>764</v>
      </c>
      <c r="J2519">
        <v>608</v>
      </c>
      <c r="K2519">
        <v>913</v>
      </c>
      <c r="L2519">
        <v>839</v>
      </c>
      <c r="M2519" s="1">
        <v>2140</v>
      </c>
      <c r="N2519">
        <v>220</v>
      </c>
      <c r="O2519" t="s">
        <v>4402</v>
      </c>
      <c r="P2519" s="1" t="b">
        <f>NOT(OR(Table1[[#This Row],[State]]="Other Foreign Countries", Table1[[#This Row],[State]]="Unknown", Table1[[#This Row],[State]]="Puerto Rico all counties"))</f>
        <v>1</v>
      </c>
    </row>
    <row r="2520" spans="1:16" x14ac:dyDescent="0.25">
      <c r="A2520">
        <v>48411</v>
      </c>
      <c r="B2520" t="s">
        <v>2654</v>
      </c>
      <c r="C2520" t="s">
        <v>4403</v>
      </c>
      <c r="D2520">
        <v>103</v>
      </c>
      <c r="E2520">
        <v>20</v>
      </c>
      <c r="F2520">
        <v>16</v>
      </c>
      <c r="G2520">
        <v>15</v>
      </c>
      <c r="H2520">
        <v>24</v>
      </c>
      <c r="I2520">
        <v>28</v>
      </c>
      <c r="J2520">
        <v>18</v>
      </c>
      <c r="K2520">
        <v>39</v>
      </c>
      <c r="L2520">
        <v>46</v>
      </c>
      <c r="O2520" t="s">
        <v>4404</v>
      </c>
      <c r="P2520" s="1" t="b">
        <f>NOT(OR(Table1[[#This Row],[State]]="Other Foreign Countries", Table1[[#This Row],[State]]="Unknown", Table1[[#This Row],[State]]="Puerto Rico all counties"))</f>
        <v>1</v>
      </c>
    </row>
    <row r="2521" spans="1:16" x14ac:dyDescent="0.25">
      <c r="A2521">
        <v>46111</v>
      </c>
      <c r="B2521" t="s">
        <v>3846</v>
      </c>
      <c r="C2521" t="s">
        <v>3932</v>
      </c>
      <c r="D2521">
        <v>64</v>
      </c>
      <c r="E2521">
        <v>22</v>
      </c>
      <c r="G2521">
        <v>12</v>
      </c>
      <c r="H2521">
        <v>12</v>
      </c>
      <c r="J2521">
        <v>10</v>
      </c>
      <c r="K2521">
        <v>16</v>
      </c>
      <c r="L2521">
        <v>38</v>
      </c>
      <c r="O2521" t="s">
        <v>3933</v>
      </c>
      <c r="P2521" s="1" t="b">
        <f>NOT(OR(Table1[[#This Row],[State]]="Other Foreign Countries", Table1[[#This Row],[State]]="Unknown", Table1[[#This Row],[State]]="Puerto Rico all counties"))</f>
        <v>1</v>
      </c>
    </row>
    <row r="2522" spans="1:16" x14ac:dyDescent="0.25">
      <c r="A2522">
        <v>30089</v>
      </c>
      <c r="B2522" t="s">
        <v>2665</v>
      </c>
      <c r="C2522" t="s">
        <v>2737</v>
      </c>
      <c r="D2522">
        <v>530</v>
      </c>
      <c r="E2522">
        <v>97</v>
      </c>
      <c r="F2522">
        <v>50</v>
      </c>
      <c r="G2522">
        <v>57</v>
      </c>
      <c r="H2522">
        <v>180</v>
      </c>
      <c r="I2522">
        <v>146</v>
      </c>
      <c r="J2522">
        <v>98</v>
      </c>
      <c r="K2522">
        <v>150</v>
      </c>
      <c r="L2522">
        <v>282</v>
      </c>
      <c r="M2522">
        <v>494</v>
      </c>
      <c r="N2522">
        <v>36</v>
      </c>
      <c r="O2522" t="s">
        <v>2738</v>
      </c>
      <c r="P2522" s="1" t="b">
        <f>NOT(OR(Table1[[#This Row],[State]]="Other Foreign Countries", Table1[[#This Row],[State]]="Unknown", Table1[[#This Row],[State]]="Puerto Rico all counties"))</f>
        <v>1</v>
      </c>
    </row>
    <row r="2523" spans="1:16" x14ac:dyDescent="0.25">
      <c r="A2523">
        <v>35043</v>
      </c>
      <c r="B2523" t="s">
        <v>2971</v>
      </c>
      <c r="C2523" t="s">
        <v>3013</v>
      </c>
      <c r="D2523">
        <v>5091</v>
      </c>
      <c r="E2523">
        <v>826</v>
      </c>
      <c r="F2523">
        <v>427</v>
      </c>
      <c r="G2523">
        <v>522</v>
      </c>
      <c r="H2523" s="1">
        <v>1789</v>
      </c>
      <c r="I2523" s="1">
        <v>1527</v>
      </c>
      <c r="J2523" s="1">
        <v>1303</v>
      </c>
      <c r="K2523" s="1">
        <v>1870</v>
      </c>
      <c r="L2523" s="1">
        <v>1918</v>
      </c>
      <c r="M2523" s="1">
        <v>4427</v>
      </c>
      <c r="N2523">
        <v>664</v>
      </c>
      <c r="O2523" t="s">
        <v>3014</v>
      </c>
      <c r="P2523" s="1" t="b">
        <f>NOT(OR(Table1[[#This Row],[State]]="Other Foreign Countries", Table1[[#This Row],[State]]="Unknown", Table1[[#This Row],[State]]="Puerto Rico all counties"))</f>
        <v>1</v>
      </c>
    </row>
    <row r="2524" spans="1:16" x14ac:dyDescent="0.25">
      <c r="A2524">
        <v>39143</v>
      </c>
      <c r="B2524" t="s">
        <v>1343</v>
      </c>
      <c r="C2524" t="s">
        <v>3470</v>
      </c>
      <c r="D2524">
        <v>1050</v>
      </c>
      <c r="E2524">
        <v>299</v>
      </c>
      <c r="F2524">
        <v>155</v>
      </c>
      <c r="G2524">
        <v>155</v>
      </c>
      <c r="H2524">
        <v>257</v>
      </c>
      <c r="I2524">
        <v>184</v>
      </c>
      <c r="J2524">
        <v>280</v>
      </c>
      <c r="K2524">
        <v>303</v>
      </c>
      <c r="L2524">
        <v>467</v>
      </c>
      <c r="M2524">
        <v>961</v>
      </c>
      <c r="N2524">
        <v>89</v>
      </c>
      <c r="O2524" t="s">
        <v>3471</v>
      </c>
      <c r="P2524" s="1" t="b">
        <f>NOT(OR(Table1[[#This Row],[State]]="Other Foreign Countries", Table1[[#This Row],[State]]="Unknown", Table1[[#This Row],[State]]="Puerto Rico all counties"))</f>
        <v>1</v>
      </c>
    </row>
    <row r="2525" spans="1:16" x14ac:dyDescent="0.25">
      <c r="A2525">
        <v>17167</v>
      </c>
      <c r="B2525" t="s">
        <v>1109</v>
      </c>
      <c r="C2525" t="s">
        <v>1235</v>
      </c>
      <c r="D2525">
        <v>3324</v>
      </c>
      <c r="E2525">
        <v>604</v>
      </c>
      <c r="F2525">
        <v>363</v>
      </c>
      <c r="G2525">
        <v>376</v>
      </c>
      <c r="H2525" s="1">
        <v>1018</v>
      </c>
      <c r="I2525">
        <v>963</v>
      </c>
      <c r="J2525" s="1">
        <v>1053</v>
      </c>
      <c r="K2525" s="1">
        <v>1109</v>
      </c>
      <c r="L2525" s="1">
        <v>1162</v>
      </c>
      <c r="M2525" s="1">
        <v>2969</v>
      </c>
      <c r="N2525">
        <v>355</v>
      </c>
      <c r="O2525" t="s">
        <v>1236</v>
      </c>
      <c r="P2525" s="1" t="b">
        <f>NOT(OR(Table1[[#This Row],[State]]="Other Foreign Countries", Table1[[#This Row],[State]]="Unknown", Table1[[#This Row],[State]]="Puerto Rico all counties"))</f>
        <v>1</v>
      </c>
    </row>
    <row r="2526" spans="1:16" x14ac:dyDescent="0.25">
      <c r="A2526">
        <v>26151</v>
      </c>
      <c r="B2526" t="s">
        <v>2099</v>
      </c>
      <c r="C2526" t="s">
        <v>2231</v>
      </c>
      <c r="D2526">
        <v>708</v>
      </c>
      <c r="E2526">
        <v>199</v>
      </c>
      <c r="F2526">
        <v>85</v>
      </c>
      <c r="G2526">
        <v>82</v>
      </c>
      <c r="H2526">
        <v>172</v>
      </c>
      <c r="I2526">
        <v>170</v>
      </c>
      <c r="J2526">
        <v>131</v>
      </c>
      <c r="K2526">
        <v>201</v>
      </c>
      <c r="L2526">
        <v>376</v>
      </c>
      <c r="M2526">
        <v>669</v>
      </c>
      <c r="N2526">
        <v>39</v>
      </c>
      <c r="O2526" t="s">
        <v>2232</v>
      </c>
      <c r="P2526" s="1" t="b">
        <f>NOT(OR(Table1[[#This Row],[State]]="Other Foreign Countries", Table1[[#This Row],[State]]="Unknown", Table1[[#This Row],[State]]="Puerto Rico all counties"))</f>
        <v>1</v>
      </c>
    </row>
    <row r="2527" spans="1:16" x14ac:dyDescent="0.25">
      <c r="A2527">
        <v>49039</v>
      </c>
      <c r="B2527" t="s">
        <v>4486</v>
      </c>
      <c r="C2527" t="s">
        <v>4516</v>
      </c>
      <c r="D2527">
        <v>367</v>
      </c>
      <c r="E2527">
        <v>76</v>
      </c>
      <c r="F2527">
        <v>39</v>
      </c>
      <c r="G2527">
        <v>52</v>
      </c>
      <c r="H2527">
        <v>107</v>
      </c>
      <c r="I2527">
        <v>93</v>
      </c>
      <c r="J2527">
        <v>79</v>
      </c>
      <c r="K2527">
        <v>104</v>
      </c>
      <c r="L2527">
        <v>184</v>
      </c>
      <c r="M2527">
        <v>350</v>
      </c>
      <c r="N2527">
        <v>17</v>
      </c>
      <c r="O2527" t="s">
        <v>4517</v>
      </c>
      <c r="P2527" s="1" t="b">
        <f>NOT(OR(Table1[[#This Row],[State]]="Other Foreign Countries", Table1[[#This Row],[State]]="Unknown", Table1[[#This Row],[State]]="Puerto Rico all counties"))</f>
        <v>1</v>
      </c>
    </row>
    <row r="2528" spans="1:16" x14ac:dyDescent="0.25">
      <c r="A2528">
        <v>6083</v>
      </c>
      <c r="B2528" t="s">
        <v>374</v>
      </c>
      <c r="C2528" t="s">
        <v>456</v>
      </c>
      <c r="D2528">
        <v>6034</v>
      </c>
      <c r="E2528" s="1">
        <v>1386</v>
      </c>
      <c r="F2528">
        <v>640</v>
      </c>
      <c r="G2528">
        <v>655</v>
      </c>
      <c r="H2528" s="1">
        <v>1695</v>
      </c>
      <c r="I2528" s="1">
        <v>1658</v>
      </c>
      <c r="J2528" s="1">
        <v>1808</v>
      </c>
      <c r="K2528" s="1">
        <v>1727</v>
      </c>
      <c r="L2528" s="1">
        <v>2499</v>
      </c>
      <c r="M2528" s="1">
        <v>5394</v>
      </c>
      <c r="N2528">
        <v>639</v>
      </c>
      <c r="O2528" t="s">
        <v>457</v>
      </c>
      <c r="P2528" s="1" t="b">
        <f>NOT(OR(Table1[[#This Row],[State]]="Other Foreign Countries", Table1[[#This Row],[State]]="Unknown", Table1[[#This Row],[State]]="Puerto Rico all counties"))</f>
        <v>1</v>
      </c>
    </row>
    <row r="2529" spans="1:16" x14ac:dyDescent="0.25">
      <c r="A2529">
        <v>6085</v>
      </c>
      <c r="B2529" t="s">
        <v>374</v>
      </c>
      <c r="C2529" t="s">
        <v>458</v>
      </c>
      <c r="D2529">
        <v>9813</v>
      </c>
      <c r="E2529" s="1">
        <v>2064</v>
      </c>
      <c r="F2529" s="1">
        <v>1090</v>
      </c>
      <c r="G2529" s="1">
        <v>1146</v>
      </c>
      <c r="H2529" s="1">
        <v>2887</v>
      </c>
      <c r="I2529" s="1">
        <v>2626</v>
      </c>
      <c r="J2529" s="1">
        <v>3335</v>
      </c>
      <c r="K2529" s="1">
        <v>2499</v>
      </c>
      <c r="L2529" s="1">
        <v>3979</v>
      </c>
      <c r="M2529" s="1">
        <v>8915</v>
      </c>
      <c r="N2529">
        <v>898</v>
      </c>
      <c r="O2529" t="s">
        <v>459</v>
      </c>
      <c r="P2529" s="1" t="b">
        <f>NOT(OR(Table1[[#This Row],[State]]="Other Foreign Countries", Table1[[#This Row],[State]]="Unknown", Table1[[#This Row],[State]]="Puerto Rico all counties"))</f>
        <v>1</v>
      </c>
    </row>
    <row r="2530" spans="1:16" x14ac:dyDescent="0.25">
      <c r="A2530">
        <v>4023</v>
      </c>
      <c r="B2530" t="s">
        <v>211</v>
      </c>
      <c r="C2530" t="s">
        <v>236</v>
      </c>
      <c r="D2530">
        <v>695</v>
      </c>
      <c r="E2530">
        <v>127</v>
      </c>
      <c r="F2530">
        <v>63</v>
      </c>
      <c r="G2530">
        <v>95</v>
      </c>
      <c r="H2530">
        <v>214</v>
      </c>
      <c r="I2530">
        <v>196</v>
      </c>
      <c r="J2530">
        <v>193</v>
      </c>
      <c r="K2530">
        <v>241</v>
      </c>
      <c r="L2530">
        <v>261</v>
      </c>
      <c r="M2530">
        <v>625</v>
      </c>
      <c r="N2530">
        <v>70</v>
      </c>
      <c r="O2530" t="s">
        <v>237</v>
      </c>
      <c r="P2530" s="1" t="b">
        <f>NOT(OR(Table1[[#This Row],[State]]="Other Foreign Countries", Table1[[#This Row],[State]]="Unknown", Table1[[#This Row],[State]]="Puerto Rico all counties"))</f>
        <v>1</v>
      </c>
    </row>
    <row r="2531" spans="1:16" x14ac:dyDescent="0.25">
      <c r="A2531">
        <v>6087</v>
      </c>
      <c r="B2531" t="s">
        <v>374</v>
      </c>
      <c r="C2531" t="s">
        <v>236</v>
      </c>
      <c r="D2531">
        <v>2230</v>
      </c>
      <c r="E2531">
        <v>440</v>
      </c>
      <c r="F2531">
        <v>206</v>
      </c>
      <c r="G2531">
        <v>296</v>
      </c>
      <c r="H2531">
        <v>698</v>
      </c>
      <c r="I2531">
        <v>590</v>
      </c>
      <c r="J2531">
        <v>492</v>
      </c>
      <c r="K2531">
        <v>519</v>
      </c>
      <c r="L2531" s="1">
        <v>1219</v>
      </c>
      <c r="M2531" s="1">
        <v>2061</v>
      </c>
      <c r="N2531">
        <v>168</v>
      </c>
      <c r="O2531" t="s">
        <v>460</v>
      </c>
      <c r="P2531" s="1" t="b">
        <f>NOT(OR(Table1[[#This Row],[State]]="Other Foreign Countries", Table1[[#This Row],[State]]="Unknown", Table1[[#This Row],[State]]="Puerto Rico all counties"))</f>
        <v>1</v>
      </c>
    </row>
    <row r="2532" spans="1:16" x14ac:dyDescent="0.25">
      <c r="A2532">
        <v>35049</v>
      </c>
      <c r="B2532" t="s">
        <v>2971</v>
      </c>
      <c r="C2532" t="s">
        <v>3017</v>
      </c>
      <c r="D2532">
        <v>2489</v>
      </c>
      <c r="E2532">
        <v>427</v>
      </c>
      <c r="F2532">
        <v>254</v>
      </c>
      <c r="G2532">
        <v>264</v>
      </c>
      <c r="H2532">
        <v>891</v>
      </c>
      <c r="I2532">
        <v>653</v>
      </c>
      <c r="J2532">
        <v>516</v>
      </c>
      <c r="K2532">
        <v>674</v>
      </c>
      <c r="L2532" s="1">
        <v>1299</v>
      </c>
      <c r="M2532" s="1">
        <v>2193</v>
      </c>
      <c r="N2532">
        <v>296</v>
      </c>
      <c r="O2532" t="s">
        <v>3018</v>
      </c>
      <c r="P2532" s="1" t="b">
        <f>NOT(OR(Table1[[#This Row],[State]]="Other Foreign Countries", Table1[[#This Row],[State]]="Unknown", Table1[[#This Row],[State]]="Puerto Rico all counties"))</f>
        <v>1</v>
      </c>
    </row>
    <row r="2533" spans="1:16" x14ac:dyDescent="0.25">
      <c r="A2533">
        <v>12113</v>
      </c>
      <c r="B2533" t="s">
        <v>637</v>
      </c>
      <c r="C2533" t="s">
        <v>735</v>
      </c>
      <c r="D2533">
        <v>16434</v>
      </c>
      <c r="E2533" s="1">
        <v>2620</v>
      </c>
      <c r="F2533" s="1">
        <v>1618</v>
      </c>
      <c r="G2533" s="1">
        <v>1761</v>
      </c>
      <c r="H2533" s="1">
        <v>4707</v>
      </c>
      <c r="I2533" s="1">
        <v>5728</v>
      </c>
      <c r="J2533" s="1">
        <v>4347</v>
      </c>
      <c r="K2533" s="1">
        <v>7609</v>
      </c>
      <c r="L2533" s="1">
        <v>4478</v>
      </c>
      <c r="M2533" s="1">
        <v>13884</v>
      </c>
      <c r="N2533" s="1">
        <v>2550</v>
      </c>
      <c r="O2533" t="s">
        <v>736</v>
      </c>
      <c r="P2533" s="1" t="b">
        <f>NOT(OR(Table1[[#This Row],[State]]="Other Foreign Countries", Table1[[#This Row],[State]]="Unknown", Table1[[#This Row],[State]]="Puerto Rico all counties"))</f>
        <v>1</v>
      </c>
    </row>
    <row r="2534" spans="1:16" x14ac:dyDescent="0.25">
      <c r="A2534">
        <v>12115</v>
      </c>
      <c r="B2534" t="s">
        <v>637</v>
      </c>
      <c r="C2534" t="s">
        <v>737</v>
      </c>
      <c r="D2534">
        <v>8882</v>
      </c>
      <c r="E2534" s="1">
        <v>2130</v>
      </c>
      <c r="F2534">
        <v>992</v>
      </c>
      <c r="G2534" s="1">
        <v>1020</v>
      </c>
      <c r="H2534" s="1">
        <v>2400</v>
      </c>
      <c r="I2534" s="1">
        <v>2340</v>
      </c>
      <c r="J2534" s="1">
        <v>1624</v>
      </c>
      <c r="K2534" s="1">
        <v>2256</v>
      </c>
      <c r="L2534" s="1">
        <v>5002</v>
      </c>
      <c r="M2534" s="1">
        <v>8125</v>
      </c>
      <c r="N2534">
        <v>755</v>
      </c>
      <c r="O2534" t="s">
        <v>738</v>
      </c>
      <c r="P2534" s="1" t="b">
        <f>NOT(OR(Table1[[#This Row],[State]]="Other Foreign Countries", Table1[[#This Row],[State]]="Unknown", Table1[[#This Row],[State]]="Puerto Rico all counties"))</f>
        <v>1</v>
      </c>
    </row>
    <row r="2535" spans="1:16" x14ac:dyDescent="0.25">
      <c r="A2535">
        <v>36091</v>
      </c>
      <c r="B2535" t="s">
        <v>3029</v>
      </c>
      <c r="C2535" t="s">
        <v>3094</v>
      </c>
      <c r="D2535">
        <v>3585</v>
      </c>
      <c r="E2535">
        <v>823</v>
      </c>
      <c r="F2535">
        <v>471</v>
      </c>
      <c r="G2535">
        <v>513</v>
      </c>
      <c r="H2535" s="1">
        <v>1003</v>
      </c>
      <c r="I2535">
        <v>775</v>
      </c>
      <c r="J2535" s="1">
        <v>1055</v>
      </c>
      <c r="K2535" s="1">
        <v>1151</v>
      </c>
      <c r="L2535" s="1">
        <v>1379</v>
      </c>
      <c r="M2535" s="1">
        <v>3213</v>
      </c>
      <c r="N2535">
        <v>370</v>
      </c>
      <c r="O2535" t="s">
        <v>3095</v>
      </c>
      <c r="P2535" s="1" t="b">
        <f>NOT(OR(Table1[[#This Row],[State]]="Other Foreign Countries", Table1[[#This Row],[State]]="Unknown", Table1[[#This Row],[State]]="Puerto Rico all counties"))</f>
        <v>1</v>
      </c>
    </row>
    <row r="2536" spans="1:16" x14ac:dyDescent="0.25">
      <c r="A2536">
        <v>38081</v>
      </c>
      <c r="B2536" t="s">
        <v>3286</v>
      </c>
      <c r="C2536" t="s">
        <v>3350</v>
      </c>
      <c r="D2536">
        <v>70</v>
      </c>
      <c r="E2536">
        <v>17</v>
      </c>
      <c r="H2536">
        <v>22</v>
      </c>
      <c r="I2536">
        <v>13</v>
      </c>
      <c r="J2536">
        <v>15</v>
      </c>
      <c r="K2536">
        <v>16</v>
      </c>
      <c r="L2536">
        <v>39</v>
      </c>
      <c r="O2536" t="s">
        <v>3351</v>
      </c>
      <c r="P2536" s="1" t="b">
        <f>NOT(OR(Table1[[#This Row],[State]]="Other Foreign Countries", Table1[[#This Row],[State]]="Unknown", Table1[[#This Row],[State]]="Puerto Rico all counties"))</f>
        <v>1</v>
      </c>
    </row>
    <row r="2537" spans="1:16" x14ac:dyDescent="0.25">
      <c r="A2537">
        <v>31153</v>
      </c>
      <c r="B2537" t="s">
        <v>2758</v>
      </c>
      <c r="C2537" t="s">
        <v>2870</v>
      </c>
      <c r="D2537">
        <v>10481</v>
      </c>
      <c r="E2537" s="1">
        <v>2161</v>
      </c>
      <c r="F2537" s="1">
        <v>1346</v>
      </c>
      <c r="G2537" s="1">
        <v>1393</v>
      </c>
      <c r="H2537" s="1">
        <v>2835</v>
      </c>
      <c r="I2537" s="1">
        <v>2746</v>
      </c>
      <c r="J2537" s="1">
        <v>2890</v>
      </c>
      <c r="K2537" s="1">
        <v>4335</v>
      </c>
      <c r="L2537" s="1">
        <v>3256</v>
      </c>
      <c r="M2537" s="1">
        <v>8841</v>
      </c>
      <c r="N2537" s="1">
        <v>1637</v>
      </c>
      <c r="O2537" t="s">
        <v>2871</v>
      </c>
      <c r="P2537" s="1" t="b">
        <f>NOT(OR(Table1[[#This Row],[State]]="Other Foreign Countries", Table1[[#This Row],[State]]="Unknown", Table1[[#This Row],[State]]="Puerto Rico all counties"))</f>
        <v>1</v>
      </c>
    </row>
    <row r="2538" spans="1:16" x14ac:dyDescent="0.25">
      <c r="A2538">
        <v>55111</v>
      </c>
      <c r="B2538" t="s">
        <v>4906</v>
      </c>
      <c r="C2538" t="s">
        <v>4987</v>
      </c>
      <c r="D2538">
        <v>1461</v>
      </c>
      <c r="E2538">
        <v>427</v>
      </c>
      <c r="F2538">
        <v>169</v>
      </c>
      <c r="G2538">
        <v>151</v>
      </c>
      <c r="H2538">
        <v>339</v>
      </c>
      <c r="I2538">
        <v>375</v>
      </c>
      <c r="J2538">
        <v>287</v>
      </c>
      <c r="K2538">
        <v>388</v>
      </c>
      <c r="L2538">
        <v>786</v>
      </c>
      <c r="M2538" s="1">
        <v>1324</v>
      </c>
      <c r="N2538">
        <v>137</v>
      </c>
      <c r="O2538" t="s">
        <v>4988</v>
      </c>
      <c r="P2538" s="1" t="b">
        <f>NOT(OR(Table1[[#This Row],[State]]="Other Foreign Countries", Table1[[#This Row],[State]]="Unknown", Table1[[#This Row],[State]]="Puerto Rico all counties"))</f>
        <v>1</v>
      </c>
    </row>
    <row r="2539" spans="1:16" x14ac:dyDescent="0.25">
      <c r="A2539">
        <v>31155</v>
      </c>
      <c r="B2539" t="s">
        <v>2758</v>
      </c>
      <c r="C2539" t="s">
        <v>2872</v>
      </c>
      <c r="D2539">
        <v>727</v>
      </c>
      <c r="E2539">
        <v>265</v>
      </c>
      <c r="F2539">
        <v>95</v>
      </c>
      <c r="G2539">
        <v>85</v>
      </c>
      <c r="H2539">
        <v>163</v>
      </c>
      <c r="I2539">
        <v>119</v>
      </c>
      <c r="J2539">
        <v>132</v>
      </c>
      <c r="K2539">
        <v>200</v>
      </c>
      <c r="L2539">
        <v>395</v>
      </c>
      <c r="M2539">
        <v>672</v>
      </c>
      <c r="N2539">
        <v>55</v>
      </c>
      <c r="O2539" t="s">
        <v>2873</v>
      </c>
      <c r="P2539" s="1" t="b">
        <f>NOT(OR(Table1[[#This Row],[State]]="Other Foreign Countries", Table1[[#This Row],[State]]="Unknown", Table1[[#This Row],[State]]="Puerto Rico all counties"))</f>
        <v>1</v>
      </c>
    </row>
    <row r="2540" spans="1:16" x14ac:dyDescent="0.25">
      <c r="A2540">
        <v>55113</v>
      </c>
      <c r="B2540" t="s">
        <v>4906</v>
      </c>
      <c r="C2540" t="s">
        <v>4989</v>
      </c>
      <c r="D2540">
        <v>542</v>
      </c>
      <c r="E2540">
        <v>182</v>
      </c>
      <c r="F2540">
        <v>67</v>
      </c>
      <c r="G2540">
        <v>77</v>
      </c>
      <c r="H2540">
        <v>123</v>
      </c>
      <c r="I2540">
        <v>93</v>
      </c>
      <c r="J2540">
        <v>81</v>
      </c>
      <c r="K2540">
        <v>119</v>
      </c>
      <c r="L2540">
        <v>342</v>
      </c>
      <c r="M2540">
        <v>503</v>
      </c>
      <c r="N2540">
        <v>39</v>
      </c>
      <c r="O2540" t="s">
        <v>4990</v>
      </c>
      <c r="P2540" s="1" t="b">
        <f>NOT(OR(Table1[[#This Row],[State]]="Other Foreign Countries", Table1[[#This Row],[State]]="Unknown", Table1[[#This Row],[State]]="Puerto Rico all counties"))</f>
        <v>1</v>
      </c>
    </row>
    <row r="2541" spans="1:16" x14ac:dyDescent="0.25">
      <c r="A2541">
        <v>36093</v>
      </c>
      <c r="B2541" t="s">
        <v>3029</v>
      </c>
      <c r="C2541" t="s">
        <v>3096</v>
      </c>
      <c r="D2541">
        <v>1656</v>
      </c>
      <c r="E2541">
        <v>381</v>
      </c>
      <c r="F2541">
        <v>208</v>
      </c>
      <c r="G2541">
        <v>207</v>
      </c>
      <c r="H2541">
        <v>479</v>
      </c>
      <c r="I2541">
        <v>381</v>
      </c>
      <c r="J2541">
        <v>448</v>
      </c>
      <c r="K2541">
        <v>502</v>
      </c>
      <c r="L2541">
        <v>706</v>
      </c>
      <c r="M2541" s="1">
        <v>1451</v>
      </c>
      <c r="N2541">
        <v>205</v>
      </c>
      <c r="O2541" t="s">
        <v>3097</v>
      </c>
      <c r="P2541" s="1" t="b">
        <f>NOT(OR(Table1[[#This Row],[State]]="Other Foreign Countries", Table1[[#This Row],[State]]="Unknown", Table1[[#This Row],[State]]="Puerto Rico all counties"))</f>
        <v>1</v>
      </c>
    </row>
    <row r="2542" spans="1:16" x14ac:dyDescent="0.25">
      <c r="A2542">
        <v>48413</v>
      </c>
      <c r="B2542" t="s">
        <v>2654</v>
      </c>
      <c r="C2542" t="s">
        <v>4405</v>
      </c>
      <c r="D2542">
        <v>35</v>
      </c>
      <c r="I2542">
        <v>15</v>
      </c>
      <c r="L2542">
        <v>17</v>
      </c>
      <c r="O2542" t="s">
        <v>4406</v>
      </c>
      <c r="P2542" s="1" t="b">
        <f>NOT(OR(Table1[[#This Row],[State]]="Other Foreign Countries", Table1[[#This Row],[State]]="Unknown", Table1[[#This Row],[State]]="Puerto Rico all counties"))</f>
        <v>1</v>
      </c>
    </row>
    <row r="2543" spans="1:16" x14ac:dyDescent="0.25">
      <c r="A2543">
        <v>13249</v>
      </c>
      <c r="B2543" t="s">
        <v>754</v>
      </c>
      <c r="C2543" t="s">
        <v>957</v>
      </c>
      <c r="D2543">
        <v>90</v>
      </c>
      <c r="E2543">
        <v>11</v>
      </c>
      <c r="F2543">
        <v>11</v>
      </c>
      <c r="G2543">
        <v>13</v>
      </c>
      <c r="H2543">
        <v>29</v>
      </c>
      <c r="I2543">
        <v>26</v>
      </c>
      <c r="J2543">
        <v>22</v>
      </c>
      <c r="K2543">
        <v>34</v>
      </c>
      <c r="L2543">
        <v>34</v>
      </c>
      <c r="M2543">
        <v>80</v>
      </c>
      <c r="N2543">
        <v>10</v>
      </c>
      <c r="O2543" t="s">
        <v>958</v>
      </c>
      <c r="P2543" s="1" t="b">
        <f>NOT(OR(Table1[[#This Row],[State]]="Other Foreign Countries", Table1[[#This Row],[State]]="Unknown", Table1[[#This Row],[State]]="Puerto Rico all counties"))</f>
        <v>1</v>
      </c>
    </row>
    <row r="2544" spans="1:16" x14ac:dyDescent="0.25">
      <c r="A2544">
        <v>36095</v>
      </c>
      <c r="B2544" t="s">
        <v>3029</v>
      </c>
      <c r="C2544" t="s">
        <v>3098</v>
      </c>
      <c r="D2544">
        <v>476</v>
      </c>
      <c r="E2544">
        <v>115</v>
      </c>
      <c r="F2544">
        <v>60</v>
      </c>
      <c r="G2544">
        <v>65</v>
      </c>
      <c r="H2544">
        <v>132</v>
      </c>
      <c r="I2544">
        <v>104</v>
      </c>
      <c r="J2544">
        <v>130</v>
      </c>
      <c r="K2544">
        <v>125</v>
      </c>
      <c r="L2544">
        <v>221</v>
      </c>
      <c r="M2544">
        <v>435</v>
      </c>
      <c r="N2544">
        <v>41</v>
      </c>
      <c r="O2544" t="s">
        <v>3099</v>
      </c>
      <c r="P2544" s="1" t="b">
        <f>NOT(OR(Table1[[#This Row],[State]]="Other Foreign Countries", Table1[[#This Row],[State]]="Unknown", Table1[[#This Row],[State]]="Puerto Rico all counties"))</f>
        <v>1</v>
      </c>
    </row>
    <row r="2545" spans="1:16" x14ac:dyDescent="0.25">
      <c r="A2545">
        <v>26153</v>
      </c>
      <c r="B2545" t="s">
        <v>2099</v>
      </c>
      <c r="C2545" t="s">
        <v>2233</v>
      </c>
      <c r="D2545">
        <v>337</v>
      </c>
      <c r="E2545">
        <v>81</v>
      </c>
      <c r="F2545">
        <v>35</v>
      </c>
      <c r="G2545">
        <v>37</v>
      </c>
      <c r="H2545">
        <v>103</v>
      </c>
      <c r="I2545">
        <v>81</v>
      </c>
      <c r="J2545">
        <v>41</v>
      </c>
      <c r="K2545">
        <v>112</v>
      </c>
      <c r="L2545">
        <v>184</v>
      </c>
      <c r="M2545">
        <v>307</v>
      </c>
      <c r="N2545">
        <v>30</v>
      </c>
      <c r="O2545" t="s">
        <v>2234</v>
      </c>
      <c r="P2545" s="1" t="b">
        <f>NOT(OR(Table1[[#This Row],[State]]="Other Foreign Countries", Table1[[#This Row],[State]]="Unknown", Table1[[#This Row],[State]]="Puerto Rico all counties"))</f>
        <v>1</v>
      </c>
    </row>
    <row r="2546" spans="1:16" x14ac:dyDescent="0.25">
      <c r="A2546">
        <v>17169</v>
      </c>
      <c r="B2546" t="s">
        <v>1109</v>
      </c>
      <c r="C2546" t="s">
        <v>1237</v>
      </c>
      <c r="D2546">
        <v>151</v>
      </c>
      <c r="E2546">
        <v>25</v>
      </c>
      <c r="F2546">
        <v>13</v>
      </c>
      <c r="G2546">
        <v>22</v>
      </c>
      <c r="H2546">
        <v>50</v>
      </c>
      <c r="I2546">
        <v>41</v>
      </c>
      <c r="J2546">
        <v>39</v>
      </c>
      <c r="K2546">
        <v>40</v>
      </c>
      <c r="L2546">
        <v>72</v>
      </c>
      <c r="M2546">
        <v>136</v>
      </c>
      <c r="N2546">
        <v>15</v>
      </c>
      <c r="O2546" t="s">
        <v>1238</v>
      </c>
      <c r="P2546" s="1" t="b">
        <f>NOT(OR(Table1[[#This Row],[State]]="Other Foreign Countries", Table1[[#This Row],[State]]="Unknown", Table1[[#This Row],[State]]="Puerto Rico all counties"))</f>
        <v>1</v>
      </c>
    </row>
    <row r="2547" spans="1:16" x14ac:dyDescent="0.25">
      <c r="A2547">
        <v>29197</v>
      </c>
      <c r="B2547" t="s">
        <v>2510</v>
      </c>
      <c r="C2547" t="s">
        <v>1237</v>
      </c>
      <c r="D2547">
        <v>75</v>
      </c>
      <c r="E2547">
        <v>22</v>
      </c>
      <c r="F2547">
        <v>14</v>
      </c>
      <c r="G2547">
        <v>10</v>
      </c>
      <c r="H2547">
        <v>17</v>
      </c>
      <c r="I2547">
        <v>12</v>
      </c>
      <c r="J2547">
        <v>12</v>
      </c>
      <c r="K2547">
        <v>20</v>
      </c>
      <c r="L2547">
        <v>43</v>
      </c>
      <c r="O2547" t="s">
        <v>2641</v>
      </c>
      <c r="P2547" s="1" t="b">
        <f>NOT(OR(Table1[[#This Row],[State]]="Other Foreign Countries", Table1[[#This Row],[State]]="Unknown", Table1[[#This Row],[State]]="Puerto Rico all counties"))</f>
        <v>1</v>
      </c>
    </row>
    <row r="2548" spans="1:16" x14ac:dyDescent="0.25">
      <c r="A2548">
        <v>36097</v>
      </c>
      <c r="B2548" t="s">
        <v>3029</v>
      </c>
      <c r="C2548" t="s">
        <v>1237</v>
      </c>
      <c r="D2548">
        <v>360</v>
      </c>
      <c r="E2548">
        <v>87</v>
      </c>
      <c r="F2548">
        <v>45</v>
      </c>
      <c r="G2548">
        <v>48</v>
      </c>
      <c r="H2548">
        <v>92</v>
      </c>
      <c r="I2548">
        <v>88</v>
      </c>
      <c r="J2548">
        <v>68</v>
      </c>
      <c r="K2548">
        <v>116</v>
      </c>
      <c r="L2548">
        <v>176</v>
      </c>
      <c r="M2548">
        <v>334</v>
      </c>
      <c r="N2548">
        <v>26</v>
      </c>
      <c r="O2548" t="s">
        <v>3100</v>
      </c>
      <c r="P2548" s="1" t="b">
        <f>NOT(OR(Table1[[#This Row],[State]]="Other Foreign Countries", Table1[[#This Row],[State]]="Unknown", Table1[[#This Row],[State]]="Puerto Rico all counties"))</f>
        <v>1</v>
      </c>
    </row>
    <row r="2549" spans="1:16" x14ac:dyDescent="0.25">
      <c r="A2549">
        <v>42107</v>
      </c>
      <c r="B2549" t="s">
        <v>3665</v>
      </c>
      <c r="C2549" t="s">
        <v>3745</v>
      </c>
      <c r="D2549">
        <v>2282</v>
      </c>
      <c r="E2549">
        <v>419</v>
      </c>
      <c r="F2549">
        <v>253</v>
      </c>
      <c r="G2549">
        <v>307</v>
      </c>
      <c r="H2549">
        <v>727</v>
      </c>
      <c r="I2549">
        <v>576</v>
      </c>
      <c r="J2549">
        <v>508</v>
      </c>
      <c r="K2549">
        <v>720</v>
      </c>
      <c r="L2549" s="1">
        <v>1054</v>
      </c>
      <c r="M2549" s="1">
        <v>2066</v>
      </c>
      <c r="N2549">
        <v>216</v>
      </c>
      <c r="O2549" t="s">
        <v>3746</v>
      </c>
      <c r="P2549" s="1" t="b">
        <f>NOT(OR(Table1[[#This Row],[State]]="Other Foreign Countries", Table1[[#This Row],[State]]="Unknown", Table1[[#This Row],[State]]="Puerto Rico all counties"))</f>
        <v>1</v>
      </c>
    </row>
    <row r="2550" spans="1:16" x14ac:dyDescent="0.25">
      <c r="A2550">
        <v>39145</v>
      </c>
      <c r="B2550" t="s">
        <v>1343</v>
      </c>
      <c r="C2550" t="s">
        <v>3472</v>
      </c>
      <c r="D2550">
        <v>1605</v>
      </c>
      <c r="E2550">
        <v>418</v>
      </c>
      <c r="F2550">
        <v>190</v>
      </c>
      <c r="G2550">
        <v>201</v>
      </c>
      <c r="H2550">
        <v>441</v>
      </c>
      <c r="I2550">
        <v>355</v>
      </c>
      <c r="J2550">
        <v>331</v>
      </c>
      <c r="K2550">
        <v>493</v>
      </c>
      <c r="L2550">
        <v>781</v>
      </c>
      <c r="M2550" s="1">
        <v>1507</v>
      </c>
      <c r="N2550">
        <v>98</v>
      </c>
      <c r="O2550" t="s">
        <v>3473</v>
      </c>
      <c r="P2550" s="1" t="b">
        <f>NOT(OR(Table1[[#This Row],[State]]="Other Foreign Countries", Table1[[#This Row],[State]]="Unknown", Table1[[#This Row],[State]]="Puerto Rico all counties"))</f>
        <v>1</v>
      </c>
    </row>
    <row r="2551" spans="1:16" x14ac:dyDescent="0.25">
      <c r="A2551">
        <v>29199</v>
      </c>
      <c r="B2551" t="s">
        <v>2510</v>
      </c>
      <c r="C2551" t="s">
        <v>2642</v>
      </c>
      <c r="D2551">
        <v>79</v>
      </c>
      <c r="E2551">
        <v>25</v>
      </c>
      <c r="H2551">
        <v>18</v>
      </c>
      <c r="I2551">
        <v>18</v>
      </c>
      <c r="J2551">
        <v>14</v>
      </c>
      <c r="K2551">
        <v>21</v>
      </c>
      <c r="L2551">
        <v>44</v>
      </c>
      <c r="O2551" t="s">
        <v>2643</v>
      </c>
      <c r="P2551" s="1" t="b">
        <f>NOT(OR(Table1[[#This Row],[State]]="Other Foreign Countries", Table1[[#This Row],[State]]="Unknown", Table1[[#This Row],[State]]="Puerto Rico all counties"))</f>
        <v>1</v>
      </c>
    </row>
    <row r="2552" spans="1:16" x14ac:dyDescent="0.25">
      <c r="A2552">
        <v>37165</v>
      </c>
      <c r="B2552" t="s">
        <v>3121</v>
      </c>
      <c r="C2552" t="s">
        <v>2642</v>
      </c>
      <c r="D2552">
        <v>981</v>
      </c>
      <c r="E2552">
        <v>133</v>
      </c>
      <c r="F2552">
        <v>93</v>
      </c>
      <c r="G2552">
        <v>89</v>
      </c>
      <c r="H2552">
        <v>336</v>
      </c>
      <c r="I2552">
        <v>330</v>
      </c>
      <c r="J2552">
        <v>208</v>
      </c>
      <c r="K2552">
        <v>319</v>
      </c>
      <c r="L2552">
        <v>454</v>
      </c>
      <c r="M2552">
        <v>866</v>
      </c>
      <c r="N2552">
        <v>115</v>
      </c>
      <c r="O2552" t="s">
        <v>3257</v>
      </c>
      <c r="P2552" s="1" t="b">
        <f>NOT(OR(Table1[[#This Row],[State]]="Other Foreign Countries", Table1[[#This Row],[State]]="Unknown", Table1[[#This Row],[State]]="Puerto Rico all counties"))</f>
        <v>1</v>
      </c>
    </row>
    <row r="2553" spans="1:16" x14ac:dyDescent="0.25">
      <c r="A2553">
        <v>5127</v>
      </c>
      <c r="B2553" t="s">
        <v>242</v>
      </c>
      <c r="C2553" t="s">
        <v>351</v>
      </c>
      <c r="D2553">
        <v>223</v>
      </c>
      <c r="E2553">
        <v>35</v>
      </c>
      <c r="F2553">
        <v>25</v>
      </c>
      <c r="G2553">
        <v>26</v>
      </c>
      <c r="H2553">
        <v>67</v>
      </c>
      <c r="I2553">
        <v>70</v>
      </c>
      <c r="J2553">
        <v>47</v>
      </c>
      <c r="K2553">
        <v>76</v>
      </c>
      <c r="L2553">
        <v>100</v>
      </c>
      <c r="M2553">
        <v>202</v>
      </c>
      <c r="N2553">
        <v>21</v>
      </c>
      <c r="O2553" t="s">
        <v>352</v>
      </c>
      <c r="P2553" s="1" t="b">
        <f>NOT(OR(Table1[[#This Row],[State]]="Other Foreign Countries", Table1[[#This Row],[State]]="Unknown", Table1[[#This Row],[State]]="Puerto Rico all counties"))</f>
        <v>1</v>
      </c>
    </row>
    <row r="2554" spans="1:16" x14ac:dyDescent="0.25">
      <c r="A2554">
        <v>17171</v>
      </c>
      <c r="B2554" t="s">
        <v>1109</v>
      </c>
      <c r="C2554" t="s">
        <v>351</v>
      </c>
      <c r="D2554">
        <v>92</v>
      </c>
      <c r="E2554">
        <v>14</v>
      </c>
      <c r="F2554">
        <v>12</v>
      </c>
      <c r="G2554">
        <v>14</v>
      </c>
      <c r="H2554">
        <v>30</v>
      </c>
      <c r="I2554">
        <v>22</v>
      </c>
      <c r="J2554">
        <v>23</v>
      </c>
      <c r="K2554">
        <v>28</v>
      </c>
      <c r="L2554">
        <v>41</v>
      </c>
      <c r="O2554" t="s">
        <v>1239</v>
      </c>
      <c r="P2554" s="1" t="b">
        <f>NOT(OR(Table1[[#This Row],[State]]="Other Foreign Countries", Table1[[#This Row],[State]]="Unknown", Table1[[#This Row],[State]]="Puerto Rico all counties"))</f>
        <v>1</v>
      </c>
    </row>
    <row r="2555" spans="1:16" x14ac:dyDescent="0.25">
      <c r="A2555">
        <v>18143</v>
      </c>
      <c r="B2555" t="s">
        <v>1266</v>
      </c>
      <c r="C2555" t="s">
        <v>351</v>
      </c>
      <c r="D2555">
        <v>539</v>
      </c>
      <c r="E2555">
        <v>138</v>
      </c>
      <c r="F2555">
        <v>74</v>
      </c>
      <c r="G2555">
        <v>74</v>
      </c>
      <c r="H2555">
        <v>156</v>
      </c>
      <c r="I2555">
        <v>97</v>
      </c>
      <c r="J2555">
        <v>130</v>
      </c>
      <c r="K2555">
        <v>181</v>
      </c>
      <c r="L2555">
        <v>228</v>
      </c>
      <c r="M2555">
        <v>502</v>
      </c>
      <c r="N2555">
        <v>37</v>
      </c>
      <c r="O2555" t="s">
        <v>1365</v>
      </c>
      <c r="P2555" s="1" t="b">
        <f>NOT(OR(Table1[[#This Row],[State]]="Other Foreign Countries", Table1[[#This Row],[State]]="Unknown", Table1[[#This Row],[State]]="Puerto Rico all counties"))</f>
        <v>1</v>
      </c>
    </row>
    <row r="2556" spans="1:16" x14ac:dyDescent="0.25">
      <c r="A2556">
        <v>19163</v>
      </c>
      <c r="B2556" t="s">
        <v>1399</v>
      </c>
      <c r="C2556" t="s">
        <v>351</v>
      </c>
      <c r="D2556">
        <v>3149</v>
      </c>
      <c r="E2556">
        <v>646</v>
      </c>
      <c r="F2556">
        <v>373</v>
      </c>
      <c r="G2556">
        <v>404</v>
      </c>
      <c r="H2556">
        <v>941</v>
      </c>
      <c r="I2556">
        <v>785</v>
      </c>
      <c r="J2556">
        <v>924</v>
      </c>
      <c r="K2556" s="1">
        <v>1182</v>
      </c>
      <c r="L2556" s="1">
        <v>1043</v>
      </c>
      <c r="M2556" s="1">
        <v>2767</v>
      </c>
      <c r="N2556">
        <v>381</v>
      </c>
      <c r="O2556" t="s">
        <v>1518</v>
      </c>
      <c r="P2556" s="1" t="b">
        <f>NOT(OR(Table1[[#This Row],[State]]="Other Foreign Countries", Table1[[#This Row],[State]]="Unknown", Table1[[#This Row],[State]]="Puerto Rico all counties"))</f>
        <v>1</v>
      </c>
    </row>
    <row r="2557" spans="1:16" x14ac:dyDescent="0.25">
      <c r="A2557">
        <v>20171</v>
      </c>
      <c r="B2557" t="s">
        <v>1543</v>
      </c>
      <c r="C2557" t="s">
        <v>351</v>
      </c>
      <c r="D2557">
        <v>47</v>
      </c>
      <c r="E2557">
        <v>19</v>
      </c>
      <c r="I2557">
        <v>11</v>
      </c>
      <c r="L2557">
        <v>29</v>
      </c>
      <c r="O2557" t="s">
        <v>1680</v>
      </c>
      <c r="P2557" s="1" t="b">
        <f>NOT(OR(Table1[[#This Row],[State]]="Other Foreign Countries", Table1[[#This Row],[State]]="Unknown", Table1[[#This Row],[State]]="Puerto Rico all counties"))</f>
        <v>1</v>
      </c>
    </row>
    <row r="2558" spans="1:16" x14ac:dyDescent="0.25">
      <c r="A2558">
        <v>21209</v>
      </c>
      <c r="B2558" t="s">
        <v>1716</v>
      </c>
      <c r="C2558" t="s">
        <v>351</v>
      </c>
      <c r="D2558">
        <v>1025</v>
      </c>
      <c r="E2558">
        <v>182</v>
      </c>
      <c r="F2558">
        <v>123</v>
      </c>
      <c r="G2558">
        <v>127</v>
      </c>
      <c r="H2558">
        <v>310</v>
      </c>
      <c r="I2558">
        <v>283</v>
      </c>
      <c r="J2558">
        <v>336</v>
      </c>
      <c r="K2558">
        <v>372</v>
      </c>
      <c r="L2558">
        <v>317</v>
      </c>
      <c r="M2558">
        <v>913</v>
      </c>
      <c r="N2558">
        <v>112</v>
      </c>
      <c r="O2558" t="s">
        <v>1871</v>
      </c>
      <c r="P2558" s="1" t="b">
        <f>NOT(OR(Table1[[#This Row],[State]]="Other Foreign Countries", Table1[[#This Row],[State]]="Unknown", Table1[[#This Row],[State]]="Puerto Rico all counties"))</f>
        <v>1</v>
      </c>
    </row>
    <row r="2559" spans="1:16" x14ac:dyDescent="0.25">
      <c r="A2559">
        <v>27139</v>
      </c>
      <c r="B2559" t="s">
        <v>2245</v>
      </c>
      <c r="C2559" t="s">
        <v>351</v>
      </c>
      <c r="D2559">
        <v>2508</v>
      </c>
      <c r="E2559">
        <v>907</v>
      </c>
      <c r="F2559">
        <v>351</v>
      </c>
      <c r="G2559">
        <v>292</v>
      </c>
      <c r="H2559">
        <v>553</v>
      </c>
      <c r="I2559">
        <v>405</v>
      </c>
      <c r="J2559">
        <v>654</v>
      </c>
      <c r="K2559">
        <v>708</v>
      </c>
      <c r="L2559" s="1">
        <v>1146</v>
      </c>
      <c r="M2559" s="1">
        <v>2283</v>
      </c>
      <c r="N2559">
        <v>223</v>
      </c>
      <c r="O2559" t="s">
        <v>2363</v>
      </c>
      <c r="P2559" s="1" t="b">
        <f>NOT(OR(Table1[[#This Row],[State]]="Other Foreign Countries", Table1[[#This Row],[State]]="Unknown", Table1[[#This Row],[State]]="Puerto Rico all counties"))</f>
        <v>1</v>
      </c>
    </row>
    <row r="2560" spans="1:16" x14ac:dyDescent="0.25">
      <c r="A2560">
        <v>28123</v>
      </c>
      <c r="B2560" t="s">
        <v>322</v>
      </c>
      <c r="C2560" t="s">
        <v>351</v>
      </c>
      <c r="D2560">
        <v>307</v>
      </c>
      <c r="E2560">
        <v>56</v>
      </c>
      <c r="F2560">
        <v>27</v>
      </c>
      <c r="G2560">
        <v>37</v>
      </c>
      <c r="H2560">
        <v>89</v>
      </c>
      <c r="I2560">
        <v>98</v>
      </c>
      <c r="J2560">
        <v>55</v>
      </c>
      <c r="K2560">
        <v>117</v>
      </c>
      <c r="L2560">
        <v>135</v>
      </c>
      <c r="M2560">
        <v>284</v>
      </c>
      <c r="N2560">
        <v>23</v>
      </c>
      <c r="O2560" t="s">
        <v>2479</v>
      </c>
      <c r="P2560" s="1" t="b">
        <f>NOT(OR(Table1[[#This Row],[State]]="Other Foreign Countries", Table1[[#This Row],[State]]="Unknown", Table1[[#This Row],[State]]="Puerto Rico all counties"))</f>
        <v>1</v>
      </c>
    </row>
    <row r="2561" spans="1:16" x14ac:dyDescent="0.25">
      <c r="A2561">
        <v>29201</v>
      </c>
      <c r="B2561" t="s">
        <v>2510</v>
      </c>
      <c r="C2561" t="s">
        <v>351</v>
      </c>
      <c r="D2561">
        <v>881</v>
      </c>
      <c r="E2561">
        <v>203</v>
      </c>
      <c r="F2561">
        <v>112</v>
      </c>
      <c r="G2561">
        <v>96</v>
      </c>
      <c r="H2561">
        <v>253</v>
      </c>
      <c r="I2561">
        <v>217</v>
      </c>
      <c r="J2561">
        <v>198</v>
      </c>
      <c r="K2561">
        <v>271</v>
      </c>
      <c r="L2561">
        <v>412</v>
      </c>
      <c r="M2561">
        <v>821</v>
      </c>
      <c r="N2561">
        <v>59</v>
      </c>
      <c r="O2561" t="s">
        <v>2644</v>
      </c>
      <c r="P2561" s="1" t="b">
        <f>NOT(OR(Table1[[#This Row],[State]]="Other Foreign Countries", Table1[[#This Row],[State]]="Unknown", Table1[[#This Row],[State]]="Puerto Rico all counties"))</f>
        <v>1</v>
      </c>
    </row>
    <row r="2562" spans="1:16" x14ac:dyDescent="0.25">
      <c r="A2562">
        <v>47151</v>
      </c>
      <c r="B2562" t="s">
        <v>3951</v>
      </c>
      <c r="C2562" t="s">
        <v>351</v>
      </c>
      <c r="D2562">
        <v>529</v>
      </c>
      <c r="E2562">
        <v>115</v>
      </c>
      <c r="F2562">
        <v>63</v>
      </c>
      <c r="G2562">
        <v>45</v>
      </c>
      <c r="H2562">
        <v>168</v>
      </c>
      <c r="I2562">
        <v>138</v>
      </c>
      <c r="J2562">
        <v>102</v>
      </c>
      <c r="K2562">
        <v>164</v>
      </c>
      <c r="L2562">
        <v>263</v>
      </c>
      <c r="M2562">
        <v>492</v>
      </c>
      <c r="N2562">
        <v>37</v>
      </c>
      <c r="O2562" t="s">
        <v>4049</v>
      </c>
      <c r="P2562" s="1" t="b">
        <f>NOT(OR(Table1[[#This Row],[State]]="Other Foreign Countries", Table1[[#This Row],[State]]="Unknown", Table1[[#This Row],[State]]="Puerto Rico all counties"))</f>
        <v>1</v>
      </c>
    </row>
    <row r="2563" spans="1:16" x14ac:dyDescent="0.25">
      <c r="A2563">
        <v>51169</v>
      </c>
      <c r="B2563" t="s">
        <v>4555</v>
      </c>
      <c r="C2563" t="s">
        <v>351</v>
      </c>
      <c r="D2563">
        <v>436</v>
      </c>
      <c r="E2563">
        <v>86</v>
      </c>
      <c r="F2563">
        <v>63</v>
      </c>
      <c r="G2563">
        <v>46</v>
      </c>
      <c r="H2563">
        <v>127</v>
      </c>
      <c r="I2563">
        <v>114</v>
      </c>
      <c r="J2563">
        <v>78</v>
      </c>
      <c r="K2563">
        <v>132</v>
      </c>
      <c r="L2563">
        <v>226</v>
      </c>
      <c r="M2563">
        <v>408</v>
      </c>
      <c r="N2563">
        <v>28</v>
      </c>
      <c r="O2563" t="s">
        <v>4676</v>
      </c>
      <c r="P2563" s="1" t="b">
        <f>NOT(OR(Table1[[#This Row],[State]]="Other Foreign Countries", Table1[[#This Row],[State]]="Unknown", Table1[[#This Row],[State]]="Puerto Rico all counties"))</f>
        <v>1</v>
      </c>
    </row>
    <row r="2564" spans="1:16" x14ac:dyDescent="0.25">
      <c r="A2564">
        <v>31157</v>
      </c>
      <c r="B2564" t="s">
        <v>2758</v>
      </c>
      <c r="C2564" t="s">
        <v>2874</v>
      </c>
      <c r="D2564">
        <v>1029</v>
      </c>
      <c r="E2564">
        <v>349</v>
      </c>
      <c r="F2564">
        <v>149</v>
      </c>
      <c r="G2564">
        <v>113</v>
      </c>
      <c r="H2564">
        <v>227</v>
      </c>
      <c r="I2564">
        <v>191</v>
      </c>
      <c r="J2564">
        <v>190</v>
      </c>
      <c r="K2564">
        <v>299</v>
      </c>
      <c r="L2564">
        <v>540</v>
      </c>
      <c r="M2564">
        <v>949</v>
      </c>
      <c r="N2564">
        <v>80</v>
      </c>
      <c r="O2564" t="s">
        <v>2875</v>
      </c>
      <c r="P2564" s="1" t="b">
        <f>NOT(OR(Table1[[#This Row],[State]]="Other Foreign Countries", Table1[[#This Row],[State]]="Unknown", Table1[[#This Row],[State]]="Puerto Rico all counties"))</f>
        <v>1</v>
      </c>
    </row>
    <row r="2565" spans="1:16" x14ac:dyDescent="0.25">
      <c r="A2565">
        <v>13251</v>
      </c>
      <c r="B2565" t="s">
        <v>754</v>
      </c>
      <c r="C2565" t="s">
        <v>959</v>
      </c>
      <c r="D2565">
        <v>322</v>
      </c>
      <c r="E2565">
        <v>50</v>
      </c>
      <c r="F2565">
        <v>38</v>
      </c>
      <c r="G2565">
        <v>37</v>
      </c>
      <c r="H2565">
        <v>105</v>
      </c>
      <c r="I2565">
        <v>92</v>
      </c>
      <c r="J2565">
        <v>87</v>
      </c>
      <c r="K2565">
        <v>113</v>
      </c>
      <c r="L2565">
        <v>122</v>
      </c>
      <c r="M2565">
        <v>279</v>
      </c>
      <c r="N2565">
        <v>43</v>
      </c>
      <c r="O2565" t="s">
        <v>960</v>
      </c>
      <c r="P2565" s="1" t="b">
        <f>NOT(OR(Table1[[#This Row],[State]]="Other Foreign Countries", Table1[[#This Row],[State]]="Unknown", Table1[[#This Row],[State]]="Puerto Rico all counties"))</f>
        <v>1</v>
      </c>
    </row>
    <row r="2566" spans="1:16" x14ac:dyDescent="0.25">
      <c r="A2566">
        <v>48415</v>
      </c>
      <c r="B2566" t="s">
        <v>2654</v>
      </c>
      <c r="C2566" t="s">
        <v>4407</v>
      </c>
      <c r="D2566">
        <v>182</v>
      </c>
      <c r="E2566">
        <v>36</v>
      </c>
      <c r="F2566">
        <v>20</v>
      </c>
      <c r="G2566">
        <v>31</v>
      </c>
      <c r="H2566">
        <v>53</v>
      </c>
      <c r="I2566">
        <v>42</v>
      </c>
      <c r="J2566">
        <v>52</v>
      </c>
      <c r="K2566">
        <v>66</v>
      </c>
      <c r="L2566">
        <v>64</v>
      </c>
      <c r="M2566">
        <v>162</v>
      </c>
      <c r="N2566">
        <v>20</v>
      </c>
      <c r="O2566" t="s">
        <v>4408</v>
      </c>
      <c r="P2566" s="1" t="b">
        <f>NOT(OR(Table1[[#This Row],[State]]="Other Foreign Countries", Table1[[#This Row],[State]]="Unknown", Table1[[#This Row],[State]]="Puerto Rico all counties"))</f>
        <v>1</v>
      </c>
    </row>
    <row r="2567" spans="1:16" x14ac:dyDescent="0.25">
      <c r="A2567">
        <v>5129</v>
      </c>
      <c r="B2567" t="s">
        <v>242</v>
      </c>
      <c r="C2567" t="s">
        <v>353</v>
      </c>
      <c r="D2567">
        <v>243</v>
      </c>
      <c r="E2567">
        <v>35</v>
      </c>
      <c r="F2567">
        <v>23</v>
      </c>
      <c r="G2567">
        <v>29</v>
      </c>
      <c r="H2567">
        <v>82</v>
      </c>
      <c r="I2567">
        <v>74</v>
      </c>
      <c r="J2567">
        <v>44</v>
      </c>
      <c r="K2567">
        <v>83</v>
      </c>
      <c r="L2567">
        <v>116</v>
      </c>
      <c r="M2567">
        <v>216</v>
      </c>
      <c r="N2567">
        <v>27</v>
      </c>
      <c r="O2567" t="s">
        <v>354</v>
      </c>
      <c r="P2567" s="1" t="b">
        <f>NOT(OR(Table1[[#This Row],[State]]="Other Foreign Countries", Table1[[#This Row],[State]]="Unknown", Table1[[#This Row],[State]]="Puerto Rico all counties"))</f>
        <v>1</v>
      </c>
    </row>
    <row r="2568" spans="1:16" x14ac:dyDescent="0.25">
      <c r="A2568">
        <v>5131</v>
      </c>
      <c r="B2568" t="s">
        <v>242</v>
      </c>
      <c r="C2568" t="s">
        <v>355</v>
      </c>
      <c r="D2568">
        <v>2860</v>
      </c>
      <c r="E2568">
        <v>469</v>
      </c>
      <c r="F2568">
        <v>290</v>
      </c>
      <c r="G2568">
        <v>364</v>
      </c>
      <c r="H2568">
        <v>927</v>
      </c>
      <c r="I2568">
        <v>810</v>
      </c>
      <c r="J2568">
        <v>711</v>
      </c>
      <c r="K2568" s="1">
        <v>1023</v>
      </c>
      <c r="L2568" s="1">
        <v>1126</v>
      </c>
      <c r="M2568" s="1">
        <v>2593</v>
      </c>
      <c r="N2568">
        <v>267</v>
      </c>
      <c r="O2568" t="s">
        <v>356</v>
      </c>
      <c r="P2568" s="1" t="b">
        <f>NOT(OR(Table1[[#This Row],[State]]="Other Foreign Countries", Table1[[#This Row],[State]]="Unknown", Table1[[#This Row],[State]]="Puerto Rico all counties"))</f>
        <v>1</v>
      </c>
    </row>
    <row r="2569" spans="1:16" x14ac:dyDescent="0.25">
      <c r="A2569">
        <v>8115</v>
      </c>
      <c r="B2569" t="s">
        <v>489</v>
      </c>
      <c r="C2569" t="s">
        <v>599</v>
      </c>
      <c r="D2569">
        <v>43</v>
      </c>
      <c r="E2569">
        <v>13</v>
      </c>
      <c r="I2569">
        <v>12</v>
      </c>
      <c r="L2569">
        <v>32</v>
      </c>
      <c r="O2569" t="s">
        <v>600</v>
      </c>
      <c r="P2569" s="1" t="b">
        <f>NOT(OR(Table1[[#This Row],[State]]="Other Foreign Countries", Table1[[#This Row],[State]]="Unknown", Table1[[#This Row],[State]]="Puerto Rico all counties"))</f>
        <v>1</v>
      </c>
    </row>
    <row r="2570" spans="1:16" x14ac:dyDescent="0.25">
      <c r="A2570">
        <v>20173</v>
      </c>
      <c r="B2570" t="s">
        <v>1543</v>
      </c>
      <c r="C2570" t="s">
        <v>599</v>
      </c>
      <c r="D2570">
        <v>10177</v>
      </c>
      <c r="E2570" s="1">
        <v>2018</v>
      </c>
      <c r="F2570" s="1">
        <v>1128</v>
      </c>
      <c r="G2570" s="1">
        <v>1245</v>
      </c>
      <c r="H2570" s="1">
        <v>2993</v>
      </c>
      <c r="I2570" s="1">
        <v>2793</v>
      </c>
      <c r="J2570" s="1">
        <v>3268</v>
      </c>
      <c r="K2570" s="1">
        <v>3488</v>
      </c>
      <c r="L2570" s="1">
        <v>3421</v>
      </c>
      <c r="M2570" s="1">
        <v>8964</v>
      </c>
      <c r="N2570" s="1">
        <v>1212</v>
      </c>
      <c r="O2570" t="s">
        <v>1681</v>
      </c>
      <c r="P2570" s="1" t="b">
        <f>NOT(OR(Table1[[#This Row],[State]]="Other Foreign Countries", Table1[[#This Row],[State]]="Unknown", Table1[[#This Row],[State]]="Puerto Rico all counties"))</f>
        <v>1</v>
      </c>
    </row>
    <row r="2571" spans="1:16" x14ac:dyDescent="0.25">
      <c r="A2571">
        <v>12117</v>
      </c>
      <c r="B2571" t="s">
        <v>637</v>
      </c>
      <c r="C2571" t="s">
        <v>739</v>
      </c>
      <c r="D2571">
        <v>9847</v>
      </c>
      <c r="E2571" s="1">
        <v>1940</v>
      </c>
      <c r="F2571" s="1">
        <v>1022</v>
      </c>
      <c r="G2571" s="1">
        <v>1125</v>
      </c>
      <c r="H2571" s="1">
        <v>2890</v>
      </c>
      <c r="I2571" s="1">
        <v>2870</v>
      </c>
      <c r="J2571" s="1">
        <v>3134</v>
      </c>
      <c r="K2571" s="1">
        <v>3216</v>
      </c>
      <c r="L2571" s="1">
        <v>3497</v>
      </c>
      <c r="M2571" s="1">
        <v>8561</v>
      </c>
      <c r="N2571" s="1">
        <v>1286</v>
      </c>
      <c r="O2571" t="s">
        <v>740</v>
      </c>
      <c r="P2571" s="1" t="b">
        <f>NOT(OR(Table1[[#This Row],[State]]="Other Foreign Countries", Table1[[#This Row],[State]]="Unknown", Table1[[#This Row],[State]]="Puerto Rico all counties"))</f>
        <v>1</v>
      </c>
    </row>
    <row r="2572" spans="1:16" x14ac:dyDescent="0.25">
      <c r="A2572">
        <v>13253</v>
      </c>
      <c r="B2572" t="s">
        <v>754</v>
      </c>
      <c r="C2572" t="s">
        <v>739</v>
      </c>
      <c r="D2572">
        <v>173</v>
      </c>
      <c r="E2572">
        <v>39</v>
      </c>
      <c r="F2572">
        <v>19</v>
      </c>
      <c r="G2572">
        <v>19</v>
      </c>
      <c r="H2572">
        <v>51</v>
      </c>
      <c r="I2572">
        <v>45</v>
      </c>
      <c r="J2572">
        <v>36</v>
      </c>
      <c r="K2572">
        <v>55</v>
      </c>
      <c r="L2572">
        <v>82</v>
      </c>
      <c r="M2572">
        <v>155</v>
      </c>
      <c r="N2572">
        <v>18</v>
      </c>
      <c r="O2572" t="s">
        <v>961</v>
      </c>
      <c r="P2572" s="1" t="b">
        <f>NOT(OR(Table1[[#This Row],[State]]="Other Foreign Countries", Table1[[#This Row],[State]]="Unknown", Table1[[#This Row],[State]]="Puerto Rico all counties"))</f>
        <v>1</v>
      </c>
    </row>
    <row r="2573" spans="1:16" x14ac:dyDescent="0.25">
      <c r="A2573">
        <v>40133</v>
      </c>
      <c r="B2573" t="s">
        <v>3495</v>
      </c>
      <c r="C2573" t="s">
        <v>739</v>
      </c>
      <c r="D2573">
        <v>637</v>
      </c>
      <c r="E2573">
        <v>106</v>
      </c>
      <c r="F2573">
        <v>50</v>
      </c>
      <c r="G2573">
        <v>82</v>
      </c>
      <c r="H2573">
        <v>211</v>
      </c>
      <c r="I2573">
        <v>188</v>
      </c>
      <c r="J2573">
        <v>132</v>
      </c>
      <c r="K2573">
        <v>209</v>
      </c>
      <c r="L2573">
        <v>296</v>
      </c>
      <c r="M2573">
        <v>584</v>
      </c>
      <c r="N2573">
        <v>52</v>
      </c>
      <c r="O2573" t="s">
        <v>3595</v>
      </c>
      <c r="P2573" s="1" t="b">
        <f>NOT(OR(Table1[[#This Row],[State]]="Other Foreign Countries", Table1[[#This Row],[State]]="Unknown", Table1[[#This Row],[State]]="Puerto Rico all counties"))</f>
        <v>1</v>
      </c>
    </row>
    <row r="2574" spans="1:16" x14ac:dyDescent="0.25">
      <c r="A2574">
        <v>36099</v>
      </c>
      <c r="B2574" t="s">
        <v>3029</v>
      </c>
      <c r="C2574" t="s">
        <v>3101</v>
      </c>
      <c r="D2574">
        <v>511</v>
      </c>
      <c r="E2574">
        <v>120</v>
      </c>
      <c r="F2574">
        <v>66</v>
      </c>
      <c r="G2574">
        <v>80</v>
      </c>
      <c r="H2574">
        <v>139</v>
      </c>
      <c r="I2574">
        <v>106</v>
      </c>
      <c r="J2574">
        <v>128</v>
      </c>
      <c r="K2574">
        <v>139</v>
      </c>
      <c r="L2574">
        <v>244</v>
      </c>
      <c r="M2574">
        <v>467</v>
      </c>
      <c r="N2574">
        <v>44</v>
      </c>
      <c r="O2574" t="s">
        <v>3102</v>
      </c>
      <c r="P2574" s="1" t="b">
        <f>NOT(OR(Table1[[#This Row],[State]]="Other Foreign Countries", Table1[[#This Row],[State]]="Unknown", Table1[[#This Row],[State]]="Puerto Rico all counties"))</f>
        <v>1</v>
      </c>
    </row>
    <row r="2575" spans="1:16" x14ac:dyDescent="0.25">
      <c r="A2575">
        <v>39147</v>
      </c>
      <c r="B2575" t="s">
        <v>1343</v>
      </c>
      <c r="C2575" t="s">
        <v>3101</v>
      </c>
      <c r="D2575">
        <v>778</v>
      </c>
      <c r="E2575">
        <v>223</v>
      </c>
      <c r="F2575">
        <v>115</v>
      </c>
      <c r="G2575">
        <v>106</v>
      </c>
      <c r="H2575">
        <v>202</v>
      </c>
      <c r="I2575">
        <v>132</v>
      </c>
      <c r="J2575">
        <v>188</v>
      </c>
      <c r="K2575">
        <v>221</v>
      </c>
      <c r="L2575">
        <v>369</v>
      </c>
      <c r="M2575">
        <v>733</v>
      </c>
      <c r="N2575">
        <v>44</v>
      </c>
      <c r="O2575" t="s">
        <v>3474</v>
      </c>
      <c r="P2575" s="1" t="b">
        <f>NOT(OR(Table1[[#This Row],[State]]="Other Foreign Countries", Table1[[#This Row],[State]]="Unknown", Table1[[#This Row],[State]]="Puerto Rico all counties"))</f>
        <v>1</v>
      </c>
    </row>
    <row r="2576" spans="1:16" x14ac:dyDescent="0.25">
      <c r="A2576">
        <v>47153</v>
      </c>
      <c r="B2576" t="s">
        <v>3951</v>
      </c>
      <c r="C2576" t="s">
        <v>4050</v>
      </c>
      <c r="D2576">
        <v>436</v>
      </c>
      <c r="E2576">
        <v>66</v>
      </c>
      <c r="F2576">
        <v>33</v>
      </c>
      <c r="G2576">
        <v>41</v>
      </c>
      <c r="H2576">
        <v>157</v>
      </c>
      <c r="I2576">
        <v>139</v>
      </c>
      <c r="J2576">
        <v>95</v>
      </c>
      <c r="K2576">
        <v>140</v>
      </c>
      <c r="L2576">
        <v>201</v>
      </c>
      <c r="M2576">
        <v>412</v>
      </c>
      <c r="N2576">
        <v>24</v>
      </c>
      <c r="O2576" t="s">
        <v>4051</v>
      </c>
      <c r="P2576" s="1" t="b">
        <f>NOT(OR(Table1[[#This Row],[State]]="Other Foreign Countries", Table1[[#This Row],[State]]="Unknown", Table1[[#This Row],[State]]="Puerto Rico all counties"))</f>
        <v>1</v>
      </c>
    </row>
    <row r="2577" spans="1:16" x14ac:dyDescent="0.25">
      <c r="A2577">
        <v>40135</v>
      </c>
      <c r="B2577" t="s">
        <v>3495</v>
      </c>
      <c r="C2577" t="s">
        <v>3596</v>
      </c>
      <c r="D2577">
        <v>1380</v>
      </c>
      <c r="E2577">
        <v>194</v>
      </c>
      <c r="F2577">
        <v>113</v>
      </c>
      <c r="G2577">
        <v>167</v>
      </c>
      <c r="H2577">
        <v>449</v>
      </c>
      <c r="I2577">
        <v>457</v>
      </c>
      <c r="J2577">
        <v>260</v>
      </c>
      <c r="K2577">
        <v>434</v>
      </c>
      <c r="L2577">
        <v>686</v>
      </c>
      <c r="M2577" s="1">
        <v>1276</v>
      </c>
      <c r="N2577">
        <v>104</v>
      </c>
      <c r="O2577" t="s">
        <v>3597</v>
      </c>
      <c r="P2577" s="1" t="b">
        <f>NOT(OR(Table1[[#This Row],[State]]="Other Foreign Countries", Table1[[#This Row],[State]]="Unknown", Table1[[#This Row],[State]]="Puerto Rico all counties"))</f>
        <v>1</v>
      </c>
    </row>
    <row r="2578" spans="1:16" x14ac:dyDescent="0.25">
      <c r="A2578">
        <v>5133</v>
      </c>
      <c r="B2578" t="s">
        <v>242</v>
      </c>
      <c r="C2578" t="s">
        <v>357</v>
      </c>
      <c r="D2578">
        <v>212</v>
      </c>
      <c r="E2578">
        <v>41</v>
      </c>
      <c r="F2578">
        <v>30</v>
      </c>
      <c r="G2578">
        <v>21</v>
      </c>
      <c r="H2578">
        <v>75</v>
      </c>
      <c r="I2578">
        <v>45</v>
      </c>
      <c r="J2578">
        <v>48</v>
      </c>
      <c r="K2578">
        <v>68</v>
      </c>
      <c r="L2578">
        <v>96</v>
      </c>
      <c r="M2578">
        <v>198</v>
      </c>
      <c r="N2578">
        <v>14</v>
      </c>
      <c r="O2578" t="s">
        <v>358</v>
      </c>
      <c r="P2578" s="1" t="b">
        <f>NOT(OR(Table1[[#This Row],[State]]="Other Foreign Countries", Table1[[#This Row],[State]]="Unknown", Table1[[#This Row],[State]]="Puerto Rico all counties"))</f>
        <v>1</v>
      </c>
    </row>
    <row r="2579" spans="1:16" x14ac:dyDescent="0.25">
      <c r="A2579">
        <v>47155</v>
      </c>
      <c r="B2579" t="s">
        <v>3951</v>
      </c>
      <c r="C2579" t="s">
        <v>357</v>
      </c>
      <c r="D2579">
        <v>2633</v>
      </c>
      <c r="E2579">
        <v>617</v>
      </c>
      <c r="F2579">
        <v>294</v>
      </c>
      <c r="G2579">
        <v>319</v>
      </c>
      <c r="H2579">
        <v>727</v>
      </c>
      <c r="I2579">
        <v>676</v>
      </c>
      <c r="J2579">
        <v>538</v>
      </c>
      <c r="K2579">
        <v>729</v>
      </c>
      <c r="L2579" s="1">
        <v>1366</v>
      </c>
      <c r="M2579" s="1">
        <v>2443</v>
      </c>
      <c r="N2579">
        <v>189</v>
      </c>
      <c r="O2579" t="s">
        <v>4052</v>
      </c>
      <c r="P2579" s="1" t="b">
        <f>NOT(OR(Table1[[#This Row],[State]]="Other Foreign Countries", Table1[[#This Row],[State]]="Unknown", Table1[[#This Row],[State]]="Puerto Rico all counties"))</f>
        <v>1</v>
      </c>
    </row>
    <row r="2580" spans="1:16" x14ac:dyDescent="0.25">
      <c r="A2580">
        <v>49041</v>
      </c>
      <c r="B2580" t="s">
        <v>4486</v>
      </c>
      <c r="C2580" t="s">
        <v>357</v>
      </c>
      <c r="D2580">
        <v>365</v>
      </c>
      <c r="E2580">
        <v>93</v>
      </c>
      <c r="F2580">
        <v>48</v>
      </c>
      <c r="G2580">
        <v>51</v>
      </c>
      <c r="H2580">
        <v>102</v>
      </c>
      <c r="I2580">
        <v>71</v>
      </c>
      <c r="J2580">
        <v>73</v>
      </c>
      <c r="K2580">
        <v>104</v>
      </c>
      <c r="L2580">
        <v>188</v>
      </c>
      <c r="M2580">
        <v>345</v>
      </c>
      <c r="N2580">
        <v>20</v>
      </c>
      <c r="O2580" t="s">
        <v>4518</v>
      </c>
      <c r="P2580" s="1" t="b">
        <f>NOT(OR(Table1[[#This Row],[State]]="Other Foreign Countries", Table1[[#This Row],[State]]="Unknown", Table1[[#This Row],[State]]="Puerto Rico all counties"))</f>
        <v>1</v>
      </c>
    </row>
    <row r="2581" spans="1:16" x14ac:dyDescent="0.25">
      <c r="A2581">
        <v>20175</v>
      </c>
      <c r="B2581" t="s">
        <v>1543</v>
      </c>
      <c r="C2581" t="s">
        <v>1682</v>
      </c>
      <c r="D2581">
        <v>109</v>
      </c>
      <c r="E2581">
        <v>25</v>
      </c>
      <c r="F2581">
        <v>14</v>
      </c>
      <c r="G2581">
        <v>13</v>
      </c>
      <c r="H2581">
        <v>34</v>
      </c>
      <c r="I2581">
        <v>23</v>
      </c>
      <c r="J2581">
        <v>34</v>
      </c>
      <c r="K2581">
        <v>22</v>
      </c>
      <c r="L2581">
        <v>53</v>
      </c>
      <c r="O2581" t="s">
        <v>1683</v>
      </c>
      <c r="P2581" s="1" t="b">
        <f>NOT(OR(Table1[[#This Row],[State]]="Other Foreign Countries", Table1[[#This Row],[State]]="Unknown", Table1[[#This Row],[State]]="Puerto Rico all counties"))</f>
        <v>1</v>
      </c>
    </row>
    <row r="2582" spans="1:16" x14ac:dyDescent="0.25">
      <c r="A2582">
        <v>31159</v>
      </c>
      <c r="B2582" t="s">
        <v>2758</v>
      </c>
      <c r="C2582" t="s">
        <v>1682</v>
      </c>
      <c r="D2582">
        <v>501</v>
      </c>
      <c r="E2582">
        <v>205</v>
      </c>
      <c r="F2582">
        <v>63</v>
      </c>
      <c r="G2582">
        <v>42</v>
      </c>
      <c r="H2582">
        <v>108</v>
      </c>
      <c r="I2582">
        <v>83</v>
      </c>
      <c r="J2582">
        <v>103</v>
      </c>
      <c r="K2582">
        <v>124</v>
      </c>
      <c r="L2582">
        <v>274</v>
      </c>
      <c r="M2582">
        <v>477</v>
      </c>
      <c r="N2582">
        <v>24</v>
      </c>
      <c r="O2582" t="s">
        <v>2876</v>
      </c>
      <c r="P2582" s="1" t="b">
        <f>NOT(OR(Table1[[#This Row],[State]]="Other Foreign Countries", Table1[[#This Row],[State]]="Unknown", Table1[[#This Row],[State]]="Puerto Rico all counties"))</f>
        <v>1</v>
      </c>
    </row>
    <row r="2583" spans="1:16" x14ac:dyDescent="0.25">
      <c r="A2583">
        <v>48417</v>
      </c>
      <c r="B2583" t="s">
        <v>2654</v>
      </c>
      <c r="C2583" t="s">
        <v>4409</v>
      </c>
      <c r="D2583">
        <v>50</v>
      </c>
      <c r="H2583">
        <v>16</v>
      </c>
      <c r="I2583">
        <v>10</v>
      </c>
      <c r="J2583">
        <v>12</v>
      </c>
      <c r="K2583">
        <v>22</v>
      </c>
      <c r="L2583">
        <v>16</v>
      </c>
      <c r="O2583" t="s">
        <v>4410</v>
      </c>
      <c r="P2583" s="1" t="b">
        <f>NOT(OR(Table1[[#This Row],[State]]="Other Foreign Countries", Table1[[#This Row],[State]]="Unknown", Table1[[#This Row],[State]]="Puerto Rico all counties"))</f>
        <v>1</v>
      </c>
    </row>
    <row r="2584" spans="1:16" x14ac:dyDescent="0.25">
      <c r="A2584">
        <v>29203</v>
      </c>
      <c r="B2584" t="s">
        <v>2510</v>
      </c>
      <c r="C2584" t="s">
        <v>2645</v>
      </c>
      <c r="D2584">
        <v>256</v>
      </c>
      <c r="E2584">
        <v>55</v>
      </c>
      <c r="F2584">
        <v>26</v>
      </c>
      <c r="G2584">
        <v>27</v>
      </c>
      <c r="H2584">
        <v>62</v>
      </c>
      <c r="I2584">
        <v>86</v>
      </c>
      <c r="J2584">
        <v>52</v>
      </c>
      <c r="K2584">
        <v>85</v>
      </c>
      <c r="L2584">
        <v>119</v>
      </c>
      <c r="M2584">
        <v>230</v>
      </c>
      <c r="N2584">
        <v>26</v>
      </c>
      <c r="O2584" t="s">
        <v>2646</v>
      </c>
      <c r="P2584" s="1" t="b">
        <f>NOT(OR(Table1[[#This Row],[State]]="Other Foreign Countries", Table1[[#This Row],[State]]="Unknown", Table1[[#This Row],[State]]="Puerto Rico all counties"))</f>
        <v>1</v>
      </c>
    </row>
    <row r="2585" spans="1:16" x14ac:dyDescent="0.25">
      <c r="A2585">
        <v>28125</v>
      </c>
      <c r="B2585" t="s">
        <v>322</v>
      </c>
      <c r="C2585" t="s">
        <v>2480</v>
      </c>
      <c r="D2585">
        <v>50</v>
      </c>
      <c r="H2585">
        <v>18</v>
      </c>
      <c r="I2585">
        <v>18</v>
      </c>
      <c r="L2585">
        <v>26</v>
      </c>
      <c r="O2585" t="s">
        <v>2481</v>
      </c>
      <c r="P2585" s="1" t="b">
        <f>NOT(OR(Table1[[#This Row],[State]]="Other Foreign Countries", Table1[[#This Row],[State]]="Unknown", Table1[[#This Row],[State]]="Puerto Rico all counties"))</f>
        <v>1</v>
      </c>
    </row>
    <row r="2586" spans="1:16" x14ac:dyDescent="0.25">
      <c r="A2586">
        <v>5135</v>
      </c>
      <c r="B2586" t="s">
        <v>242</v>
      </c>
      <c r="C2586" t="s">
        <v>359</v>
      </c>
      <c r="D2586">
        <v>618</v>
      </c>
      <c r="E2586">
        <v>98</v>
      </c>
      <c r="F2586">
        <v>58</v>
      </c>
      <c r="G2586">
        <v>70</v>
      </c>
      <c r="H2586">
        <v>208</v>
      </c>
      <c r="I2586">
        <v>184</v>
      </c>
      <c r="J2586">
        <v>100</v>
      </c>
      <c r="K2586">
        <v>217</v>
      </c>
      <c r="L2586">
        <v>301</v>
      </c>
      <c r="M2586">
        <v>549</v>
      </c>
      <c r="N2586">
        <v>69</v>
      </c>
      <c r="O2586" t="s">
        <v>360</v>
      </c>
      <c r="P2586" s="1" t="b">
        <f>NOT(OR(Table1[[#This Row],[State]]="Other Foreign Countries", Table1[[#This Row],[State]]="Unknown", Table1[[#This Row],[State]]="Puerto Rico all counties"))</f>
        <v>1</v>
      </c>
    </row>
    <row r="2587" spans="1:16" x14ac:dyDescent="0.25">
      <c r="A2587">
        <v>6089</v>
      </c>
      <c r="B2587" t="s">
        <v>374</v>
      </c>
      <c r="C2587" t="s">
        <v>461</v>
      </c>
      <c r="D2587">
        <v>4575</v>
      </c>
      <c r="E2587" s="1">
        <v>1014</v>
      </c>
      <c r="F2587">
        <v>508</v>
      </c>
      <c r="G2587">
        <v>574</v>
      </c>
      <c r="H2587" s="1">
        <v>1359</v>
      </c>
      <c r="I2587" s="1">
        <v>1120</v>
      </c>
      <c r="J2587" s="1">
        <v>1167</v>
      </c>
      <c r="K2587" s="1">
        <v>1110</v>
      </c>
      <c r="L2587" s="1">
        <v>2298</v>
      </c>
      <c r="M2587" s="1">
        <v>4139</v>
      </c>
      <c r="N2587">
        <v>436</v>
      </c>
      <c r="O2587" t="s">
        <v>462</v>
      </c>
      <c r="P2587" s="1" t="b">
        <f>NOT(OR(Table1[[#This Row],[State]]="Other Foreign Countries", Table1[[#This Row],[State]]="Unknown", Table1[[#This Row],[State]]="Puerto Rico all counties"))</f>
        <v>1</v>
      </c>
    </row>
    <row r="2588" spans="1:16" x14ac:dyDescent="0.25">
      <c r="A2588">
        <v>55115</v>
      </c>
      <c r="B2588" t="s">
        <v>4906</v>
      </c>
      <c r="C2588" t="s">
        <v>4991</v>
      </c>
      <c r="D2588">
        <v>789</v>
      </c>
      <c r="E2588">
        <v>185</v>
      </c>
      <c r="F2588">
        <v>94</v>
      </c>
      <c r="G2588">
        <v>123</v>
      </c>
      <c r="H2588">
        <v>243</v>
      </c>
      <c r="I2588">
        <v>144</v>
      </c>
      <c r="J2588">
        <v>175</v>
      </c>
      <c r="K2588">
        <v>223</v>
      </c>
      <c r="L2588">
        <v>391</v>
      </c>
      <c r="M2588">
        <v>708</v>
      </c>
      <c r="N2588">
        <v>81</v>
      </c>
      <c r="O2588" t="s">
        <v>4992</v>
      </c>
      <c r="P2588" s="1" t="b">
        <f>NOT(OR(Table1[[#This Row],[State]]="Other Foreign Countries", Table1[[#This Row],[State]]="Unknown", Table1[[#This Row],[State]]="Puerto Rico all counties"))</f>
        <v>1</v>
      </c>
    </row>
    <row r="2589" spans="1:16" x14ac:dyDescent="0.25">
      <c r="A2589">
        <v>20177</v>
      </c>
      <c r="B2589" t="s">
        <v>1543</v>
      </c>
      <c r="C2589" t="s">
        <v>1684</v>
      </c>
      <c r="D2589">
        <v>3976</v>
      </c>
      <c r="E2589">
        <v>710</v>
      </c>
      <c r="F2589">
        <v>404</v>
      </c>
      <c r="G2589">
        <v>494</v>
      </c>
      <c r="H2589" s="1">
        <v>1266</v>
      </c>
      <c r="I2589" s="1">
        <v>1102</v>
      </c>
      <c r="J2589" s="1">
        <v>1013</v>
      </c>
      <c r="K2589" s="1">
        <v>1351</v>
      </c>
      <c r="L2589" s="1">
        <v>1612</v>
      </c>
      <c r="M2589" s="1">
        <v>3506</v>
      </c>
      <c r="N2589">
        <v>470</v>
      </c>
      <c r="O2589" t="s">
        <v>1685</v>
      </c>
      <c r="P2589" s="1" t="b">
        <f>NOT(OR(Table1[[#This Row],[State]]="Other Foreign Countries", Table1[[#This Row],[State]]="Unknown", Table1[[#This Row],[State]]="Puerto Rico all counties"))</f>
        <v>1</v>
      </c>
    </row>
    <row r="2590" spans="1:16" x14ac:dyDescent="0.25">
      <c r="A2590">
        <v>55117</v>
      </c>
      <c r="B2590" t="s">
        <v>4906</v>
      </c>
      <c r="C2590" t="s">
        <v>4993</v>
      </c>
      <c r="D2590">
        <v>1453</v>
      </c>
      <c r="E2590">
        <v>360</v>
      </c>
      <c r="F2590">
        <v>204</v>
      </c>
      <c r="G2590">
        <v>194</v>
      </c>
      <c r="H2590">
        <v>418</v>
      </c>
      <c r="I2590">
        <v>277</v>
      </c>
      <c r="J2590">
        <v>438</v>
      </c>
      <c r="K2590">
        <v>398</v>
      </c>
      <c r="L2590">
        <v>617</v>
      </c>
      <c r="M2590" s="1">
        <v>1302</v>
      </c>
      <c r="N2590">
        <v>150</v>
      </c>
      <c r="O2590" t="s">
        <v>4994</v>
      </c>
      <c r="P2590" s="1" t="b">
        <f>NOT(OR(Table1[[#This Row],[State]]="Other Foreign Countries", Table1[[#This Row],[State]]="Unknown", Table1[[#This Row],[State]]="Puerto Rico all counties"))</f>
        <v>1</v>
      </c>
    </row>
    <row r="2591" spans="1:16" x14ac:dyDescent="0.25">
      <c r="A2591">
        <v>1117</v>
      </c>
      <c r="B2591" t="s">
        <v>15</v>
      </c>
      <c r="C2591" t="s">
        <v>132</v>
      </c>
      <c r="D2591">
        <v>4390</v>
      </c>
      <c r="E2591">
        <v>855</v>
      </c>
      <c r="F2591">
        <v>410</v>
      </c>
      <c r="G2591">
        <v>502</v>
      </c>
      <c r="H2591" s="1">
        <v>1234</v>
      </c>
      <c r="I2591" s="1">
        <v>1389</v>
      </c>
      <c r="J2591" s="1">
        <v>1180</v>
      </c>
      <c r="K2591" s="1">
        <v>1669</v>
      </c>
      <c r="L2591" s="1">
        <v>1541</v>
      </c>
      <c r="M2591" s="1">
        <v>3824</v>
      </c>
      <c r="N2591">
        <v>565</v>
      </c>
      <c r="O2591" t="s">
        <v>133</v>
      </c>
      <c r="P2591" s="1" t="b">
        <f>NOT(OR(Table1[[#This Row],[State]]="Other Foreign Countries", Table1[[#This Row],[State]]="Unknown", Table1[[#This Row],[State]]="Puerto Rico all counties"))</f>
        <v>1</v>
      </c>
    </row>
    <row r="2592" spans="1:16" x14ac:dyDescent="0.25">
      <c r="A2592">
        <v>17173</v>
      </c>
      <c r="B2592" t="s">
        <v>1109</v>
      </c>
      <c r="C2592" t="s">
        <v>132</v>
      </c>
      <c r="D2592">
        <v>394</v>
      </c>
      <c r="E2592">
        <v>85</v>
      </c>
      <c r="F2592">
        <v>46</v>
      </c>
      <c r="G2592">
        <v>38</v>
      </c>
      <c r="H2592">
        <v>132</v>
      </c>
      <c r="I2592">
        <v>93</v>
      </c>
      <c r="J2592">
        <v>86</v>
      </c>
      <c r="K2592">
        <v>121</v>
      </c>
      <c r="L2592">
        <v>187</v>
      </c>
      <c r="M2592">
        <v>365</v>
      </c>
      <c r="N2592">
        <v>29</v>
      </c>
      <c r="O2592" t="s">
        <v>1240</v>
      </c>
      <c r="P2592" s="1" t="b">
        <f>NOT(OR(Table1[[#This Row],[State]]="Other Foreign Countries", Table1[[#This Row],[State]]="Unknown", Table1[[#This Row],[State]]="Puerto Rico all counties"))</f>
        <v>1</v>
      </c>
    </row>
    <row r="2593" spans="1:16" x14ac:dyDescent="0.25">
      <c r="A2593">
        <v>18145</v>
      </c>
      <c r="B2593" t="s">
        <v>1266</v>
      </c>
      <c r="C2593" t="s">
        <v>132</v>
      </c>
      <c r="D2593">
        <v>871</v>
      </c>
      <c r="E2593">
        <v>239</v>
      </c>
      <c r="F2593">
        <v>111</v>
      </c>
      <c r="G2593">
        <v>125</v>
      </c>
      <c r="H2593">
        <v>223</v>
      </c>
      <c r="I2593">
        <v>173</v>
      </c>
      <c r="J2593">
        <v>239</v>
      </c>
      <c r="K2593">
        <v>281</v>
      </c>
      <c r="L2593">
        <v>351</v>
      </c>
      <c r="M2593">
        <v>779</v>
      </c>
      <c r="N2593">
        <v>92</v>
      </c>
      <c r="O2593" t="s">
        <v>1366</v>
      </c>
      <c r="P2593" s="1" t="b">
        <f>NOT(OR(Table1[[#This Row],[State]]="Other Foreign Countries", Table1[[#This Row],[State]]="Unknown", Table1[[#This Row],[State]]="Puerto Rico all counties"))</f>
        <v>1</v>
      </c>
    </row>
    <row r="2594" spans="1:16" x14ac:dyDescent="0.25">
      <c r="A2594">
        <v>19165</v>
      </c>
      <c r="B2594" t="s">
        <v>1399</v>
      </c>
      <c r="C2594" t="s">
        <v>132</v>
      </c>
      <c r="D2594">
        <v>269</v>
      </c>
      <c r="E2594">
        <v>72</v>
      </c>
      <c r="F2594">
        <v>38</v>
      </c>
      <c r="G2594">
        <v>34</v>
      </c>
      <c r="H2594">
        <v>72</v>
      </c>
      <c r="I2594">
        <v>53</v>
      </c>
      <c r="J2594">
        <v>52</v>
      </c>
      <c r="K2594">
        <v>82</v>
      </c>
      <c r="L2594">
        <v>135</v>
      </c>
      <c r="M2594">
        <v>253</v>
      </c>
      <c r="N2594">
        <v>16</v>
      </c>
      <c r="O2594" t="s">
        <v>1519</v>
      </c>
      <c r="P2594" s="1" t="b">
        <f>NOT(OR(Table1[[#This Row],[State]]="Other Foreign Countries", Table1[[#This Row],[State]]="Unknown", Table1[[#This Row],[State]]="Puerto Rico all counties"))</f>
        <v>1</v>
      </c>
    </row>
    <row r="2595" spans="1:16" x14ac:dyDescent="0.25">
      <c r="A2595">
        <v>21211</v>
      </c>
      <c r="B2595" t="s">
        <v>1716</v>
      </c>
      <c r="C2595" t="s">
        <v>132</v>
      </c>
      <c r="D2595">
        <v>862</v>
      </c>
      <c r="E2595">
        <v>188</v>
      </c>
      <c r="F2595">
        <v>103</v>
      </c>
      <c r="G2595">
        <v>121</v>
      </c>
      <c r="H2595">
        <v>235</v>
      </c>
      <c r="I2595">
        <v>215</v>
      </c>
      <c r="J2595">
        <v>234</v>
      </c>
      <c r="K2595">
        <v>300</v>
      </c>
      <c r="L2595">
        <v>328</v>
      </c>
      <c r="M2595">
        <v>779</v>
      </c>
      <c r="N2595">
        <v>83</v>
      </c>
      <c r="O2595" t="s">
        <v>1872</v>
      </c>
      <c r="P2595" s="1" t="b">
        <f>NOT(OR(Table1[[#This Row],[State]]="Other Foreign Countries", Table1[[#This Row],[State]]="Unknown", Table1[[#This Row],[State]]="Puerto Rico all counties"))</f>
        <v>1</v>
      </c>
    </row>
    <row r="2596" spans="1:16" x14ac:dyDescent="0.25">
      <c r="A2596">
        <v>29205</v>
      </c>
      <c r="B2596" t="s">
        <v>2510</v>
      </c>
      <c r="C2596" t="s">
        <v>132</v>
      </c>
      <c r="D2596">
        <v>149</v>
      </c>
      <c r="E2596">
        <v>43</v>
      </c>
      <c r="F2596">
        <v>20</v>
      </c>
      <c r="G2596">
        <v>24</v>
      </c>
      <c r="H2596">
        <v>36</v>
      </c>
      <c r="I2596">
        <v>26</v>
      </c>
      <c r="J2596">
        <v>27</v>
      </c>
      <c r="K2596">
        <v>39</v>
      </c>
      <c r="L2596">
        <v>83</v>
      </c>
      <c r="O2596" t="s">
        <v>2647</v>
      </c>
      <c r="P2596" s="1" t="b">
        <f>NOT(OR(Table1[[#This Row],[State]]="Other Foreign Countries", Table1[[#This Row],[State]]="Unknown", Table1[[#This Row],[State]]="Puerto Rico all counties"))</f>
        <v>1</v>
      </c>
    </row>
    <row r="2597" spans="1:16" x14ac:dyDescent="0.25">
      <c r="A2597">
        <v>39149</v>
      </c>
      <c r="B2597" t="s">
        <v>1343</v>
      </c>
      <c r="C2597" t="s">
        <v>132</v>
      </c>
      <c r="D2597">
        <v>706</v>
      </c>
      <c r="E2597">
        <v>171</v>
      </c>
      <c r="F2597">
        <v>96</v>
      </c>
      <c r="G2597">
        <v>123</v>
      </c>
      <c r="H2597">
        <v>170</v>
      </c>
      <c r="I2597">
        <v>146</v>
      </c>
      <c r="J2597">
        <v>217</v>
      </c>
      <c r="K2597">
        <v>184</v>
      </c>
      <c r="L2597">
        <v>305</v>
      </c>
      <c r="M2597">
        <v>648</v>
      </c>
      <c r="N2597">
        <v>58</v>
      </c>
      <c r="O2597" t="s">
        <v>3475</v>
      </c>
      <c r="P2597" s="1" t="b">
        <f>NOT(OR(Table1[[#This Row],[State]]="Other Foreign Countries", Table1[[#This Row],[State]]="Unknown", Table1[[#This Row],[State]]="Puerto Rico all counties"))</f>
        <v>1</v>
      </c>
    </row>
    <row r="2598" spans="1:16" x14ac:dyDescent="0.25">
      <c r="A2598">
        <v>47157</v>
      </c>
      <c r="B2598" t="s">
        <v>3951</v>
      </c>
      <c r="C2598" t="s">
        <v>132</v>
      </c>
      <c r="D2598">
        <v>15521</v>
      </c>
      <c r="E2598" s="1">
        <v>3222</v>
      </c>
      <c r="F2598" s="1">
        <v>1647</v>
      </c>
      <c r="G2598" s="1">
        <v>1730</v>
      </c>
      <c r="H2598" s="1">
        <v>4565</v>
      </c>
      <c r="I2598" s="1">
        <v>4357</v>
      </c>
      <c r="J2598" s="1">
        <v>3214</v>
      </c>
      <c r="K2598" s="1">
        <v>6026</v>
      </c>
      <c r="L2598" s="1">
        <v>6281</v>
      </c>
      <c r="M2598" s="1">
        <v>13148</v>
      </c>
      <c r="N2598" s="1">
        <v>2373</v>
      </c>
      <c r="O2598" t="s">
        <v>4053</v>
      </c>
      <c r="P2598" s="1" t="b">
        <f>NOT(OR(Table1[[#This Row],[State]]="Other Foreign Countries", Table1[[#This Row],[State]]="Unknown", Table1[[#This Row],[State]]="Puerto Rico all counties"))</f>
        <v>1</v>
      </c>
    </row>
    <row r="2599" spans="1:16" x14ac:dyDescent="0.25">
      <c r="A2599">
        <v>48419</v>
      </c>
      <c r="B2599" t="s">
        <v>2654</v>
      </c>
      <c r="C2599" t="s">
        <v>132</v>
      </c>
      <c r="D2599">
        <v>364</v>
      </c>
      <c r="E2599">
        <v>63</v>
      </c>
      <c r="F2599">
        <v>41</v>
      </c>
      <c r="G2599">
        <v>41</v>
      </c>
      <c r="H2599">
        <v>110</v>
      </c>
      <c r="I2599">
        <v>109</v>
      </c>
      <c r="J2599">
        <v>93</v>
      </c>
      <c r="K2599">
        <v>110</v>
      </c>
      <c r="L2599">
        <v>161</v>
      </c>
      <c r="M2599">
        <v>333</v>
      </c>
      <c r="N2599">
        <v>31</v>
      </c>
      <c r="O2599" t="s">
        <v>4411</v>
      </c>
      <c r="P2599" s="1" t="b">
        <f>NOT(OR(Table1[[#This Row],[State]]="Other Foreign Countries", Table1[[#This Row],[State]]="Unknown", Table1[[#This Row],[State]]="Puerto Rico all counties"))</f>
        <v>1</v>
      </c>
    </row>
    <row r="2600" spans="1:16" x14ac:dyDescent="0.25">
      <c r="A2600">
        <v>51171</v>
      </c>
      <c r="B2600" t="s">
        <v>4555</v>
      </c>
      <c r="C2600" t="s">
        <v>4677</v>
      </c>
      <c r="D2600">
        <v>809</v>
      </c>
      <c r="E2600">
        <v>151</v>
      </c>
      <c r="F2600">
        <v>101</v>
      </c>
      <c r="G2600">
        <v>97</v>
      </c>
      <c r="H2600">
        <v>238</v>
      </c>
      <c r="I2600">
        <v>222</v>
      </c>
      <c r="J2600">
        <v>207</v>
      </c>
      <c r="K2600">
        <v>270</v>
      </c>
      <c r="L2600">
        <v>332</v>
      </c>
      <c r="M2600">
        <v>728</v>
      </c>
      <c r="N2600">
        <v>81</v>
      </c>
      <c r="O2600" t="s">
        <v>4678</v>
      </c>
      <c r="P2600" s="1" t="b">
        <f>NOT(OR(Table1[[#This Row],[State]]="Other Foreign Countries", Table1[[#This Row],[State]]="Unknown", Table1[[#This Row],[State]]="Puerto Rico all counties"))</f>
        <v>1</v>
      </c>
    </row>
    <row r="2601" spans="1:16" x14ac:dyDescent="0.25">
      <c r="A2601">
        <v>27141</v>
      </c>
      <c r="B2601" t="s">
        <v>2245</v>
      </c>
      <c r="C2601" t="s">
        <v>2364</v>
      </c>
      <c r="D2601">
        <v>2806</v>
      </c>
      <c r="E2601" s="1">
        <v>1225</v>
      </c>
      <c r="F2601">
        <v>362</v>
      </c>
      <c r="G2601">
        <v>296</v>
      </c>
      <c r="H2601">
        <v>519</v>
      </c>
      <c r="I2601">
        <v>404</v>
      </c>
      <c r="J2601">
        <v>718</v>
      </c>
      <c r="K2601">
        <v>721</v>
      </c>
      <c r="L2601" s="1">
        <v>1367</v>
      </c>
      <c r="M2601" s="1">
        <v>2598</v>
      </c>
      <c r="N2601">
        <v>206</v>
      </c>
      <c r="O2601" t="s">
        <v>2365</v>
      </c>
      <c r="P2601" s="1" t="b">
        <f>NOT(OR(Table1[[#This Row],[State]]="Other Foreign Countries", Table1[[#This Row],[State]]="Unknown", Table1[[#This Row],[State]]="Puerto Rico all counties"))</f>
        <v>1</v>
      </c>
    </row>
    <row r="2602" spans="1:16" x14ac:dyDescent="0.25">
      <c r="A2602">
        <v>20179</v>
      </c>
      <c r="B2602" t="s">
        <v>1543</v>
      </c>
      <c r="C2602" t="s">
        <v>1686</v>
      </c>
      <c r="D2602">
        <v>37</v>
      </c>
      <c r="H2602">
        <v>12</v>
      </c>
      <c r="L2602">
        <v>19</v>
      </c>
      <c r="O2602" t="s">
        <v>1687</v>
      </c>
      <c r="P2602" s="1" t="b">
        <f>NOT(OR(Table1[[#This Row],[State]]="Other Foreign Countries", Table1[[#This Row],[State]]="Unknown", Table1[[#This Row],[State]]="Puerto Rico all counties"))</f>
        <v>1</v>
      </c>
    </row>
    <row r="2603" spans="1:16" x14ac:dyDescent="0.25">
      <c r="A2603">
        <v>30091</v>
      </c>
      <c r="B2603" t="s">
        <v>2665</v>
      </c>
      <c r="C2603" t="s">
        <v>1686</v>
      </c>
      <c r="D2603">
        <v>68</v>
      </c>
      <c r="E2603">
        <v>19</v>
      </c>
      <c r="G2603">
        <v>13</v>
      </c>
      <c r="H2603">
        <v>17</v>
      </c>
      <c r="J2603">
        <v>16</v>
      </c>
      <c r="K2603">
        <v>27</v>
      </c>
      <c r="L2603">
        <v>25</v>
      </c>
      <c r="O2603" t="s">
        <v>2739</v>
      </c>
      <c r="P2603" s="1" t="b">
        <f>NOT(OR(Table1[[#This Row],[State]]="Other Foreign Countries", Table1[[#This Row],[State]]="Unknown", Table1[[#This Row],[State]]="Puerto Rico all counties"))</f>
        <v>1</v>
      </c>
    </row>
    <row r="2604" spans="1:16" x14ac:dyDescent="0.25">
      <c r="A2604">
        <v>31161</v>
      </c>
      <c r="B2604" t="s">
        <v>2758</v>
      </c>
      <c r="C2604" t="s">
        <v>1686</v>
      </c>
      <c r="D2604">
        <v>136</v>
      </c>
      <c r="E2604">
        <v>34</v>
      </c>
      <c r="F2604">
        <v>16</v>
      </c>
      <c r="G2604">
        <v>19</v>
      </c>
      <c r="H2604">
        <v>37</v>
      </c>
      <c r="I2604">
        <v>30</v>
      </c>
      <c r="J2604">
        <v>20</v>
      </c>
      <c r="K2604">
        <v>44</v>
      </c>
      <c r="L2604">
        <v>72</v>
      </c>
      <c r="O2604" t="s">
        <v>2877</v>
      </c>
      <c r="P2604" s="1" t="b">
        <f>NOT(OR(Table1[[#This Row],[State]]="Other Foreign Countries", Table1[[#This Row],[State]]="Unknown", Table1[[#This Row],[State]]="Puerto Rico all counties"))</f>
        <v>1</v>
      </c>
    </row>
    <row r="2605" spans="1:16" x14ac:dyDescent="0.25">
      <c r="A2605">
        <v>38083</v>
      </c>
      <c r="B2605" t="s">
        <v>3286</v>
      </c>
      <c r="C2605" t="s">
        <v>1686</v>
      </c>
      <c r="D2605">
        <v>18</v>
      </c>
      <c r="O2605" t="s">
        <v>3352</v>
      </c>
      <c r="P2605" s="1" t="b">
        <f>NOT(OR(Table1[[#This Row],[State]]="Other Foreign Countries", Table1[[#This Row],[State]]="Unknown", Table1[[#This Row],[State]]="Puerto Rico all counties"))</f>
        <v>1</v>
      </c>
    </row>
    <row r="2606" spans="1:16" x14ac:dyDescent="0.25">
      <c r="A2606">
        <v>56033</v>
      </c>
      <c r="B2606" t="s">
        <v>3117</v>
      </c>
      <c r="C2606" t="s">
        <v>1686</v>
      </c>
      <c r="D2606">
        <v>1138</v>
      </c>
      <c r="E2606">
        <v>251</v>
      </c>
      <c r="F2606">
        <v>131</v>
      </c>
      <c r="G2606">
        <v>122</v>
      </c>
      <c r="H2606">
        <v>340</v>
      </c>
      <c r="I2606">
        <v>294</v>
      </c>
      <c r="J2606">
        <v>280</v>
      </c>
      <c r="K2606">
        <v>393</v>
      </c>
      <c r="L2606">
        <v>465</v>
      </c>
      <c r="M2606" s="1">
        <v>1003</v>
      </c>
      <c r="N2606">
        <v>135</v>
      </c>
      <c r="O2606" t="s">
        <v>5035</v>
      </c>
      <c r="P2606" s="1" t="b">
        <f>NOT(OR(Table1[[#This Row],[State]]="Other Foreign Countries", Table1[[#This Row],[State]]="Unknown", Table1[[#This Row],[State]]="Puerto Rico all counties"))</f>
        <v>1</v>
      </c>
    </row>
    <row r="2607" spans="1:16" x14ac:dyDescent="0.25">
      <c r="A2607">
        <v>20181</v>
      </c>
      <c r="B2607" t="s">
        <v>1543</v>
      </c>
      <c r="C2607" t="s">
        <v>1688</v>
      </c>
      <c r="D2607">
        <v>93</v>
      </c>
      <c r="E2607">
        <v>34</v>
      </c>
      <c r="F2607">
        <v>11</v>
      </c>
      <c r="G2607">
        <v>11</v>
      </c>
      <c r="H2607">
        <v>24</v>
      </c>
      <c r="I2607">
        <v>13</v>
      </c>
      <c r="J2607">
        <v>20</v>
      </c>
      <c r="K2607">
        <v>21</v>
      </c>
      <c r="L2607">
        <v>52</v>
      </c>
      <c r="O2607" t="s">
        <v>1689</v>
      </c>
      <c r="P2607" s="1" t="b">
        <f>NOT(OR(Table1[[#This Row],[State]]="Other Foreign Countries", Table1[[#This Row],[State]]="Unknown", Table1[[#This Row],[State]]="Puerto Rico all counties"))</f>
        <v>1</v>
      </c>
    </row>
    <row r="2608" spans="1:16" x14ac:dyDescent="0.25">
      <c r="A2608">
        <v>31163</v>
      </c>
      <c r="B2608" t="s">
        <v>2758</v>
      </c>
      <c r="C2608" t="s">
        <v>1688</v>
      </c>
      <c r="D2608">
        <v>107</v>
      </c>
      <c r="E2608">
        <v>45</v>
      </c>
      <c r="F2608">
        <v>10</v>
      </c>
      <c r="G2608">
        <v>15</v>
      </c>
      <c r="H2608">
        <v>19</v>
      </c>
      <c r="I2608">
        <v>18</v>
      </c>
      <c r="J2608">
        <v>16</v>
      </c>
      <c r="K2608">
        <v>18</v>
      </c>
      <c r="L2608">
        <v>73</v>
      </c>
      <c r="O2608" t="s">
        <v>2878</v>
      </c>
      <c r="P2608" s="1" t="b">
        <f>NOT(OR(Table1[[#This Row],[State]]="Other Foreign Countries", Table1[[#This Row],[State]]="Unknown", Table1[[#This Row],[State]]="Puerto Rico all counties"))</f>
        <v>1</v>
      </c>
    </row>
    <row r="2609" spans="1:16" x14ac:dyDescent="0.25">
      <c r="A2609">
        <v>41055</v>
      </c>
      <c r="B2609" t="s">
        <v>2607</v>
      </c>
      <c r="C2609" t="s">
        <v>1688</v>
      </c>
      <c r="D2609">
        <v>71</v>
      </c>
      <c r="E2609">
        <v>23</v>
      </c>
      <c r="H2609">
        <v>15</v>
      </c>
      <c r="I2609">
        <v>12</v>
      </c>
      <c r="J2609">
        <v>21</v>
      </c>
      <c r="K2609">
        <v>17</v>
      </c>
      <c r="L2609">
        <v>33</v>
      </c>
      <c r="O2609" t="s">
        <v>3651</v>
      </c>
      <c r="P2609" s="1" t="b">
        <f>NOT(OR(Table1[[#This Row],[State]]="Other Foreign Countries", Table1[[#This Row],[State]]="Unknown", Table1[[#This Row],[State]]="Puerto Rico all counties"))</f>
        <v>1</v>
      </c>
    </row>
    <row r="2610" spans="1:16" x14ac:dyDescent="0.25">
      <c r="A2610">
        <v>48421</v>
      </c>
      <c r="B2610" t="s">
        <v>2654</v>
      </c>
      <c r="C2610" t="s">
        <v>1688</v>
      </c>
      <c r="D2610">
        <v>17</v>
      </c>
      <c r="O2610" t="s">
        <v>4412</v>
      </c>
      <c r="P2610" s="1" t="b">
        <f>NOT(OR(Table1[[#This Row],[State]]="Other Foreign Countries", Table1[[#This Row],[State]]="Unknown", Table1[[#This Row],[State]]="Puerto Rico all counties"))</f>
        <v>1</v>
      </c>
    </row>
    <row r="2611" spans="1:16" x14ac:dyDescent="0.25">
      <c r="A2611">
        <v>26155</v>
      </c>
      <c r="B2611" t="s">
        <v>2099</v>
      </c>
      <c r="C2611" t="s">
        <v>2235</v>
      </c>
      <c r="D2611">
        <v>1300</v>
      </c>
      <c r="E2611">
        <v>363</v>
      </c>
      <c r="F2611">
        <v>135</v>
      </c>
      <c r="G2611">
        <v>147</v>
      </c>
      <c r="H2611">
        <v>386</v>
      </c>
      <c r="I2611">
        <v>269</v>
      </c>
      <c r="J2611">
        <v>311</v>
      </c>
      <c r="K2611">
        <v>351</v>
      </c>
      <c r="L2611">
        <v>638</v>
      </c>
      <c r="M2611" s="1">
        <v>1196</v>
      </c>
      <c r="N2611">
        <v>103</v>
      </c>
      <c r="O2611" t="s">
        <v>2236</v>
      </c>
      <c r="P2611" s="1" t="b">
        <f>NOT(OR(Table1[[#This Row],[State]]="Other Foreign Countries", Table1[[#This Row],[State]]="Unknown", Table1[[#This Row],[State]]="Puerto Rico all counties"))</f>
        <v>1</v>
      </c>
    </row>
    <row r="2612" spans="1:16" x14ac:dyDescent="0.25">
      <c r="A2612">
        <v>16079</v>
      </c>
      <c r="B2612" t="s">
        <v>1032</v>
      </c>
      <c r="C2612" t="s">
        <v>1100</v>
      </c>
      <c r="D2612">
        <v>377</v>
      </c>
      <c r="E2612">
        <v>102</v>
      </c>
      <c r="F2612">
        <v>51</v>
      </c>
      <c r="G2612">
        <v>45</v>
      </c>
      <c r="H2612">
        <v>113</v>
      </c>
      <c r="I2612">
        <v>66</v>
      </c>
      <c r="J2612">
        <v>68</v>
      </c>
      <c r="K2612">
        <v>117</v>
      </c>
      <c r="L2612">
        <v>192</v>
      </c>
      <c r="M2612">
        <v>353</v>
      </c>
      <c r="N2612">
        <v>24</v>
      </c>
      <c r="O2612" t="s">
        <v>1101</v>
      </c>
      <c r="P2612" s="1" t="b">
        <f>NOT(OR(Table1[[#This Row],[State]]="Other Foreign Countries", Table1[[#This Row],[State]]="Unknown", Table1[[#This Row],[State]]="Puerto Rico all counties"))</f>
        <v>1</v>
      </c>
    </row>
    <row r="2613" spans="1:16" x14ac:dyDescent="0.25">
      <c r="A2613">
        <v>27143</v>
      </c>
      <c r="B2613" t="s">
        <v>2245</v>
      </c>
      <c r="C2613" t="s">
        <v>2366</v>
      </c>
      <c r="D2613">
        <v>391</v>
      </c>
      <c r="E2613">
        <v>169</v>
      </c>
      <c r="F2613">
        <v>53</v>
      </c>
      <c r="G2613">
        <v>48</v>
      </c>
      <c r="H2613">
        <v>77</v>
      </c>
      <c r="I2613">
        <v>44</v>
      </c>
      <c r="J2613">
        <v>74</v>
      </c>
      <c r="K2613">
        <v>75</v>
      </c>
      <c r="L2613">
        <v>242</v>
      </c>
      <c r="M2613">
        <v>361</v>
      </c>
      <c r="N2613">
        <v>30</v>
      </c>
      <c r="O2613" t="s">
        <v>2367</v>
      </c>
      <c r="P2613" s="1" t="b">
        <f>NOT(OR(Table1[[#This Row],[State]]="Other Foreign Countries", Table1[[#This Row],[State]]="Unknown", Table1[[#This Row],[State]]="Puerto Rico all counties"))</f>
        <v>1</v>
      </c>
    </row>
    <row r="2614" spans="1:16" x14ac:dyDescent="0.25">
      <c r="A2614">
        <v>6091</v>
      </c>
      <c r="B2614" t="s">
        <v>374</v>
      </c>
      <c r="C2614" t="s">
        <v>463</v>
      </c>
      <c r="D2614">
        <v>67</v>
      </c>
      <c r="E2614">
        <v>18</v>
      </c>
      <c r="F2614">
        <v>10</v>
      </c>
      <c r="G2614">
        <v>10</v>
      </c>
      <c r="H2614">
        <v>17</v>
      </c>
      <c r="I2614">
        <v>12</v>
      </c>
      <c r="J2614">
        <v>11</v>
      </c>
      <c r="K2614">
        <v>12</v>
      </c>
      <c r="L2614">
        <v>44</v>
      </c>
      <c r="O2614" t="s">
        <v>464</v>
      </c>
      <c r="P2614" s="1" t="b">
        <f>NOT(OR(Table1[[#This Row],[State]]="Other Foreign Countries", Table1[[#This Row],[State]]="Unknown", Table1[[#This Row],[State]]="Puerto Rico all counties"))</f>
        <v>1</v>
      </c>
    </row>
    <row r="2615" spans="1:16" x14ac:dyDescent="0.25">
      <c r="A2615">
        <v>35051</v>
      </c>
      <c r="B2615" t="s">
        <v>2971</v>
      </c>
      <c r="C2615" t="s">
        <v>463</v>
      </c>
      <c r="D2615">
        <v>420</v>
      </c>
      <c r="E2615">
        <v>78</v>
      </c>
      <c r="F2615">
        <v>30</v>
      </c>
      <c r="G2615">
        <v>52</v>
      </c>
      <c r="H2615">
        <v>137</v>
      </c>
      <c r="I2615">
        <v>123</v>
      </c>
      <c r="J2615">
        <v>44</v>
      </c>
      <c r="K2615">
        <v>106</v>
      </c>
      <c r="L2615">
        <v>270</v>
      </c>
      <c r="M2615">
        <v>373</v>
      </c>
      <c r="N2615">
        <v>47</v>
      </c>
      <c r="O2615" t="s">
        <v>3019</v>
      </c>
      <c r="P2615" s="1" t="b">
        <f>NOT(OR(Table1[[#This Row],[State]]="Other Foreign Countries", Table1[[#This Row],[State]]="Unknown", Table1[[#This Row],[State]]="Puerto Rico all counties"))</f>
        <v>1</v>
      </c>
    </row>
    <row r="2616" spans="1:16" x14ac:dyDescent="0.25">
      <c r="A2616">
        <v>30093</v>
      </c>
      <c r="B2616" t="s">
        <v>2665</v>
      </c>
      <c r="C2616" t="s">
        <v>2740</v>
      </c>
      <c r="D2616">
        <v>880</v>
      </c>
      <c r="E2616">
        <v>223</v>
      </c>
      <c r="F2616">
        <v>118</v>
      </c>
      <c r="G2616">
        <v>97</v>
      </c>
      <c r="H2616">
        <v>244</v>
      </c>
      <c r="I2616">
        <v>198</v>
      </c>
      <c r="J2616">
        <v>231</v>
      </c>
      <c r="K2616">
        <v>273</v>
      </c>
      <c r="L2616">
        <v>376</v>
      </c>
      <c r="M2616">
        <v>789</v>
      </c>
      <c r="N2616">
        <v>91</v>
      </c>
      <c r="O2616" t="s">
        <v>2741</v>
      </c>
      <c r="P2616" s="1" t="b">
        <f>NOT(OR(Table1[[#This Row],[State]]="Other Foreign Countries", Table1[[#This Row],[State]]="Unknown", Table1[[#This Row],[State]]="Puerto Rico all counties"))</f>
        <v>1</v>
      </c>
    </row>
    <row r="2617" spans="1:16" x14ac:dyDescent="0.25">
      <c r="A2617">
        <v>21213</v>
      </c>
      <c r="B2617" t="s">
        <v>1716</v>
      </c>
      <c r="C2617" t="s">
        <v>1873</v>
      </c>
      <c r="D2617">
        <v>415</v>
      </c>
      <c r="E2617">
        <v>80</v>
      </c>
      <c r="F2617">
        <v>37</v>
      </c>
      <c r="G2617">
        <v>46</v>
      </c>
      <c r="H2617">
        <v>149</v>
      </c>
      <c r="I2617">
        <v>103</v>
      </c>
      <c r="J2617">
        <v>102</v>
      </c>
      <c r="K2617">
        <v>139</v>
      </c>
      <c r="L2617">
        <v>174</v>
      </c>
      <c r="M2617">
        <v>376</v>
      </c>
      <c r="N2617">
        <v>39</v>
      </c>
      <c r="O2617" t="s">
        <v>1874</v>
      </c>
      <c r="P2617" s="1" t="b">
        <f>NOT(OR(Table1[[#This Row],[State]]="Other Foreign Countries", Table1[[#This Row],[State]]="Unknown", Table1[[#This Row],[State]]="Puerto Rico all counties"))</f>
        <v>1</v>
      </c>
    </row>
    <row r="2618" spans="1:16" x14ac:dyDescent="0.25">
      <c r="A2618">
        <v>28127</v>
      </c>
      <c r="B2618" t="s">
        <v>322</v>
      </c>
      <c r="C2618" t="s">
        <v>1873</v>
      </c>
      <c r="D2618">
        <v>505</v>
      </c>
      <c r="E2618">
        <v>85</v>
      </c>
      <c r="F2618">
        <v>44</v>
      </c>
      <c r="G2618">
        <v>56</v>
      </c>
      <c r="H2618">
        <v>175</v>
      </c>
      <c r="I2618">
        <v>145</v>
      </c>
      <c r="J2618">
        <v>116</v>
      </c>
      <c r="K2618">
        <v>169</v>
      </c>
      <c r="L2618">
        <v>220</v>
      </c>
      <c r="M2618">
        <v>445</v>
      </c>
      <c r="N2618">
        <v>60</v>
      </c>
      <c r="O2618" t="s">
        <v>2482</v>
      </c>
      <c r="P2618" s="1" t="b">
        <f>NOT(OR(Table1[[#This Row],[State]]="Other Foreign Countries", Table1[[#This Row],[State]]="Unknown", Table1[[#This Row],[State]]="Puerto Rico all counties"))</f>
        <v>1</v>
      </c>
    </row>
    <row r="2619" spans="1:16" x14ac:dyDescent="0.25">
      <c r="A2619">
        <v>19167</v>
      </c>
      <c r="B2619" t="s">
        <v>1399</v>
      </c>
      <c r="C2619" t="s">
        <v>1520</v>
      </c>
      <c r="D2619">
        <v>363</v>
      </c>
      <c r="E2619">
        <v>109</v>
      </c>
      <c r="F2619">
        <v>41</v>
      </c>
      <c r="G2619">
        <v>63</v>
      </c>
      <c r="H2619">
        <v>78</v>
      </c>
      <c r="I2619">
        <v>72</v>
      </c>
      <c r="J2619">
        <v>62</v>
      </c>
      <c r="K2619">
        <v>59</v>
      </c>
      <c r="L2619">
        <v>242</v>
      </c>
      <c r="M2619">
        <v>342</v>
      </c>
      <c r="N2619">
        <v>21</v>
      </c>
      <c r="O2619" t="s">
        <v>1521</v>
      </c>
      <c r="P2619" s="1" t="b">
        <f>NOT(OR(Table1[[#This Row],[State]]="Other Foreign Countries", Table1[[#This Row],[State]]="Unknown", Table1[[#This Row],[State]]="Puerto Rico all counties"))</f>
        <v>1</v>
      </c>
    </row>
    <row r="2620" spans="1:16" x14ac:dyDescent="0.25">
      <c r="A2620">
        <v>31165</v>
      </c>
      <c r="B2620" t="s">
        <v>2758</v>
      </c>
      <c r="C2620" t="s">
        <v>1520</v>
      </c>
      <c r="D2620">
        <v>19</v>
      </c>
      <c r="O2620" t="s">
        <v>2879</v>
      </c>
      <c r="P2620" s="1" t="b">
        <f>NOT(OR(Table1[[#This Row],[State]]="Other Foreign Countries", Table1[[#This Row],[State]]="Unknown", Table1[[#This Row],[State]]="Puerto Rico all counties"))</f>
        <v>1</v>
      </c>
    </row>
    <row r="2621" spans="1:16" x14ac:dyDescent="0.25">
      <c r="A2621">
        <v>38085</v>
      </c>
      <c r="B2621" t="s">
        <v>3286</v>
      </c>
      <c r="C2621" t="s">
        <v>1520</v>
      </c>
      <c r="D2621">
        <v>37</v>
      </c>
      <c r="H2621">
        <v>17</v>
      </c>
      <c r="J2621">
        <v>10</v>
      </c>
      <c r="K2621">
        <v>14</v>
      </c>
      <c r="L2621">
        <v>13</v>
      </c>
      <c r="O2621" t="s">
        <v>3353</v>
      </c>
      <c r="P2621" s="1" t="b">
        <f>NOT(OR(Table1[[#This Row],[State]]="Other Foreign Countries", Table1[[#This Row],[State]]="Unknown", Table1[[#This Row],[State]]="Puerto Rico all counties"))</f>
        <v>1</v>
      </c>
    </row>
    <row r="2622" spans="1:16" x14ac:dyDescent="0.25">
      <c r="A2622">
        <v>6093</v>
      </c>
      <c r="B2622" t="s">
        <v>374</v>
      </c>
      <c r="C2622" t="s">
        <v>465</v>
      </c>
      <c r="D2622">
        <v>1006</v>
      </c>
      <c r="E2622">
        <v>270</v>
      </c>
      <c r="F2622">
        <v>119</v>
      </c>
      <c r="G2622">
        <v>136</v>
      </c>
      <c r="H2622">
        <v>265</v>
      </c>
      <c r="I2622">
        <v>216</v>
      </c>
      <c r="J2622">
        <v>187</v>
      </c>
      <c r="K2622">
        <v>256</v>
      </c>
      <c r="L2622">
        <v>563</v>
      </c>
      <c r="M2622">
        <v>931</v>
      </c>
      <c r="N2622">
        <v>75</v>
      </c>
      <c r="O2622" t="s">
        <v>466</v>
      </c>
      <c r="P2622" s="1" t="b">
        <f>NOT(OR(Table1[[#This Row],[State]]="Other Foreign Countries", Table1[[#This Row],[State]]="Unknown", Table1[[#This Row],[State]]="Puerto Rico all counties"))</f>
        <v>1</v>
      </c>
    </row>
    <row r="2623" spans="1:16" x14ac:dyDescent="0.25">
      <c r="A2623">
        <v>2220</v>
      </c>
      <c r="B2623" t="s">
        <v>150</v>
      </c>
      <c r="C2623" t="s">
        <v>199</v>
      </c>
      <c r="D2623">
        <v>140</v>
      </c>
      <c r="E2623">
        <v>32</v>
      </c>
      <c r="F2623">
        <v>22</v>
      </c>
      <c r="G2623">
        <v>17</v>
      </c>
      <c r="H2623">
        <v>44</v>
      </c>
      <c r="I2623">
        <v>25</v>
      </c>
      <c r="J2623">
        <v>31</v>
      </c>
      <c r="K2623">
        <v>52</v>
      </c>
      <c r="L2623">
        <v>57</v>
      </c>
      <c r="M2623">
        <v>126</v>
      </c>
      <c r="N2623">
        <v>14</v>
      </c>
      <c r="O2623" t="s">
        <v>200</v>
      </c>
      <c r="P2623" s="1" t="b">
        <f>NOT(OR(Table1[[#This Row],[State]]="Other Foreign Countries", Table1[[#This Row],[State]]="Unknown", Table1[[#This Row],[State]]="Puerto Rico all counties"))</f>
        <v>1</v>
      </c>
    </row>
    <row r="2624" spans="1:16" x14ac:dyDescent="0.25">
      <c r="A2624">
        <v>53057</v>
      </c>
      <c r="B2624" t="s">
        <v>144</v>
      </c>
      <c r="C2624" t="s">
        <v>4813</v>
      </c>
      <c r="D2624">
        <v>3044</v>
      </c>
      <c r="E2624">
        <v>657</v>
      </c>
      <c r="F2624">
        <v>448</v>
      </c>
      <c r="G2624">
        <v>404</v>
      </c>
      <c r="H2624">
        <v>905</v>
      </c>
      <c r="I2624">
        <v>630</v>
      </c>
      <c r="J2624">
        <v>811</v>
      </c>
      <c r="K2624" s="1">
        <v>1000</v>
      </c>
      <c r="L2624" s="1">
        <v>1233</v>
      </c>
      <c r="M2624" s="1">
        <v>2696</v>
      </c>
      <c r="N2624">
        <v>348</v>
      </c>
      <c r="O2624" t="s">
        <v>4814</v>
      </c>
      <c r="P2624" s="1" t="b">
        <f>NOT(OR(Table1[[#This Row],[State]]="Other Foreign Countries", Table1[[#This Row],[State]]="Unknown", Table1[[#This Row],[State]]="Puerto Rico all counties"))</f>
        <v>1</v>
      </c>
    </row>
    <row r="2625" spans="1:16" x14ac:dyDescent="0.25">
      <c r="A2625">
        <v>2230</v>
      </c>
      <c r="B2625" t="s">
        <v>150</v>
      </c>
      <c r="C2625" t="s">
        <v>201</v>
      </c>
      <c r="D2625">
        <v>16</v>
      </c>
      <c r="O2625" t="s">
        <v>202</v>
      </c>
      <c r="P2625" s="1" t="b">
        <f>NOT(OR(Table1[[#This Row],[State]]="Other Foreign Countries", Table1[[#This Row],[State]]="Unknown", Table1[[#This Row],[State]]="Puerto Rico all counties"))</f>
        <v>1</v>
      </c>
    </row>
    <row r="2626" spans="1:16" x14ac:dyDescent="0.25">
      <c r="A2626">
        <v>53059</v>
      </c>
      <c r="B2626" t="s">
        <v>144</v>
      </c>
      <c r="C2626" t="s">
        <v>4815</v>
      </c>
      <c r="D2626">
        <v>314</v>
      </c>
      <c r="E2626">
        <v>68</v>
      </c>
      <c r="F2626">
        <v>48</v>
      </c>
      <c r="G2626">
        <v>41</v>
      </c>
      <c r="H2626">
        <v>77</v>
      </c>
      <c r="I2626">
        <v>80</v>
      </c>
      <c r="J2626">
        <v>80</v>
      </c>
      <c r="K2626">
        <v>91</v>
      </c>
      <c r="L2626">
        <v>143</v>
      </c>
      <c r="M2626">
        <v>273</v>
      </c>
      <c r="N2626">
        <v>41</v>
      </c>
      <c r="O2626" t="s">
        <v>4816</v>
      </c>
      <c r="P2626" s="1" t="b">
        <f>NOT(OR(Table1[[#This Row],[State]]="Other Foreign Countries", Table1[[#This Row],[State]]="Unknown", Table1[[#This Row],[State]]="Puerto Rico all counties"))</f>
        <v>1</v>
      </c>
    </row>
    <row r="2627" spans="1:16" x14ac:dyDescent="0.25">
      <c r="A2627">
        <v>38087</v>
      </c>
      <c r="B2627" t="s">
        <v>3286</v>
      </c>
      <c r="C2627" t="s">
        <v>3354</v>
      </c>
      <c r="D2627">
        <v>17</v>
      </c>
      <c r="O2627" t="s">
        <v>3355</v>
      </c>
      <c r="P2627" s="1" t="b">
        <f>NOT(OR(Table1[[#This Row],[State]]="Other Foreign Countries", Table1[[#This Row],[State]]="Unknown", Table1[[#This Row],[State]]="Puerto Rico all counties"))</f>
        <v>1</v>
      </c>
    </row>
    <row r="2628" spans="1:16" x14ac:dyDescent="0.25">
      <c r="A2628">
        <v>20183</v>
      </c>
      <c r="B2628" t="s">
        <v>1543</v>
      </c>
      <c r="C2628" t="s">
        <v>1690</v>
      </c>
      <c r="D2628">
        <v>80</v>
      </c>
      <c r="E2628">
        <v>22</v>
      </c>
      <c r="F2628">
        <v>10</v>
      </c>
      <c r="G2628">
        <v>13</v>
      </c>
      <c r="H2628">
        <v>20</v>
      </c>
      <c r="I2628">
        <v>15</v>
      </c>
      <c r="J2628">
        <v>13</v>
      </c>
      <c r="K2628">
        <v>18</v>
      </c>
      <c r="L2628">
        <v>49</v>
      </c>
      <c r="O2628" t="s">
        <v>1691</v>
      </c>
      <c r="P2628" s="1" t="b">
        <f>NOT(OR(Table1[[#This Row],[State]]="Other Foreign Countries", Table1[[#This Row],[State]]="Unknown", Table1[[#This Row],[State]]="Puerto Rico all counties"))</f>
        <v>1</v>
      </c>
    </row>
    <row r="2629" spans="1:16" x14ac:dyDescent="0.25">
      <c r="A2629">
        <v>28129</v>
      </c>
      <c r="B2629" t="s">
        <v>322</v>
      </c>
      <c r="C2629" t="s">
        <v>1690</v>
      </c>
      <c r="D2629">
        <v>232</v>
      </c>
      <c r="E2629">
        <v>28</v>
      </c>
      <c r="F2629">
        <v>27</v>
      </c>
      <c r="G2629">
        <v>41</v>
      </c>
      <c r="H2629">
        <v>71</v>
      </c>
      <c r="I2629">
        <v>65</v>
      </c>
      <c r="J2629">
        <v>44</v>
      </c>
      <c r="K2629">
        <v>80</v>
      </c>
      <c r="L2629">
        <v>108</v>
      </c>
      <c r="M2629">
        <v>202</v>
      </c>
      <c r="N2629">
        <v>30</v>
      </c>
      <c r="O2629" t="s">
        <v>2483</v>
      </c>
      <c r="P2629" s="1" t="b">
        <f>NOT(OR(Table1[[#This Row],[State]]="Other Foreign Countries", Table1[[#This Row],[State]]="Unknown", Table1[[#This Row],[State]]="Puerto Rico all counties"))</f>
        <v>1</v>
      </c>
    </row>
    <row r="2630" spans="1:16" x14ac:dyDescent="0.25">
      <c r="A2630">
        <v>47159</v>
      </c>
      <c r="B2630" t="s">
        <v>3951</v>
      </c>
      <c r="C2630" t="s">
        <v>1690</v>
      </c>
      <c r="D2630">
        <v>427</v>
      </c>
      <c r="E2630">
        <v>94</v>
      </c>
      <c r="F2630">
        <v>47</v>
      </c>
      <c r="G2630">
        <v>59</v>
      </c>
      <c r="H2630">
        <v>115</v>
      </c>
      <c r="I2630">
        <v>112</v>
      </c>
      <c r="J2630">
        <v>127</v>
      </c>
      <c r="K2630">
        <v>145</v>
      </c>
      <c r="L2630">
        <v>155</v>
      </c>
      <c r="M2630">
        <v>392</v>
      </c>
      <c r="N2630">
        <v>35</v>
      </c>
      <c r="O2630" t="s">
        <v>4054</v>
      </c>
      <c r="P2630" s="1" t="b">
        <f>NOT(OR(Table1[[#This Row],[State]]="Other Foreign Countries", Table1[[#This Row],[State]]="Unknown", Table1[[#This Row],[State]]="Puerto Rico all counties"))</f>
        <v>1</v>
      </c>
    </row>
    <row r="2631" spans="1:16" x14ac:dyDescent="0.25">
      <c r="A2631">
        <v>48423</v>
      </c>
      <c r="B2631" t="s">
        <v>2654</v>
      </c>
      <c r="C2631" t="s">
        <v>1690</v>
      </c>
      <c r="D2631">
        <v>4922</v>
      </c>
      <c r="E2631">
        <v>820</v>
      </c>
      <c r="F2631">
        <v>538</v>
      </c>
      <c r="G2631">
        <v>635</v>
      </c>
      <c r="H2631" s="1">
        <v>1491</v>
      </c>
      <c r="I2631" s="1">
        <v>1438</v>
      </c>
      <c r="J2631" s="1">
        <v>1447</v>
      </c>
      <c r="K2631" s="1">
        <v>1497</v>
      </c>
      <c r="L2631" s="1">
        <v>1978</v>
      </c>
      <c r="M2631" s="1">
        <v>4367</v>
      </c>
      <c r="N2631">
        <v>555</v>
      </c>
      <c r="O2631" t="s">
        <v>4413</v>
      </c>
      <c r="P2631" s="1" t="b">
        <f>NOT(OR(Table1[[#This Row],[State]]="Other Foreign Countries", Table1[[#This Row],[State]]="Unknown", Table1[[#This Row],[State]]="Puerto Rico all counties"))</f>
        <v>1</v>
      </c>
    </row>
    <row r="2632" spans="1:16" x14ac:dyDescent="0.25">
      <c r="A2632">
        <v>51173</v>
      </c>
      <c r="B2632" t="s">
        <v>4555</v>
      </c>
      <c r="C2632" t="s">
        <v>4679</v>
      </c>
      <c r="D2632">
        <v>526</v>
      </c>
      <c r="E2632">
        <v>101</v>
      </c>
      <c r="F2632">
        <v>71</v>
      </c>
      <c r="G2632">
        <v>73</v>
      </c>
      <c r="H2632">
        <v>154</v>
      </c>
      <c r="I2632">
        <v>127</v>
      </c>
      <c r="J2632">
        <v>104</v>
      </c>
      <c r="K2632">
        <v>154</v>
      </c>
      <c r="L2632">
        <v>268</v>
      </c>
      <c r="M2632">
        <v>493</v>
      </c>
      <c r="N2632">
        <v>33</v>
      </c>
      <c r="O2632" t="s">
        <v>4680</v>
      </c>
      <c r="P2632" s="1" t="b">
        <f>NOT(OR(Table1[[#This Row],[State]]="Other Foreign Countries", Table1[[#This Row],[State]]="Unknown", Table1[[#This Row],[State]]="Puerto Rico all counties"))</f>
        <v>1</v>
      </c>
    </row>
    <row r="2633" spans="1:16" x14ac:dyDescent="0.25">
      <c r="A2633">
        <v>53061</v>
      </c>
      <c r="B2633" t="s">
        <v>144</v>
      </c>
      <c r="C2633" t="s">
        <v>4817</v>
      </c>
      <c r="D2633">
        <v>12801</v>
      </c>
      <c r="E2633" s="1">
        <v>2906</v>
      </c>
      <c r="F2633" s="1">
        <v>1708</v>
      </c>
      <c r="G2633" s="1">
        <v>1769</v>
      </c>
      <c r="H2633" s="1">
        <v>3835</v>
      </c>
      <c r="I2633" s="1">
        <v>2583</v>
      </c>
      <c r="J2633" s="1">
        <v>4493</v>
      </c>
      <c r="K2633" s="1">
        <v>4338</v>
      </c>
      <c r="L2633" s="1">
        <v>3970</v>
      </c>
      <c r="M2633" s="1">
        <v>11281</v>
      </c>
      <c r="N2633" s="1">
        <v>1516</v>
      </c>
      <c r="O2633" t="s">
        <v>4818</v>
      </c>
      <c r="P2633" s="1" t="b">
        <f>NOT(OR(Table1[[#This Row],[State]]="Other Foreign Countries", Table1[[#This Row],[State]]="Unknown", Table1[[#This Row],[State]]="Puerto Rico all counties"))</f>
        <v>1</v>
      </c>
    </row>
    <row r="2634" spans="1:16" x14ac:dyDescent="0.25">
      <c r="A2634">
        <v>42109</v>
      </c>
      <c r="B2634" t="s">
        <v>3665</v>
      </c>
      <c r="C2634" t="s">
        <v>3747</v>
      </c>
      <c r="D2634">
        <v>439</v>
      </c>
      <c r="E2634">
        <v>109</v>
      </c>
      <c r="F2634">
        <v>54</v>
      </c>
      <c r="G2634">
        <v>74</v>
      </c>
      <c r="H2634">
        <v>111</v>
      </c>
      <c r="I2634">
        <v>91</v>
      </c>
      <c r="J2634">
        <v>108</v>
      </c>
      <c r="K2634">
        <v>130</v>
      </c>
      <c r="L2634">
        <v>201</v>
      </c>
      <c r="M2634">
        <v>403</v>
      </c>
      <c r="N2634">
        <v>36</v>
      </c>
      <c r="O2634" t="s">
        <v>3748</v>
      </c>
      <c r="P2634" s="1" t="b">
        <f>NOT(OR(Table1[[#This Row],[State]]="Other Foreign Countries", Table1[[#This Row],[State]]="Unknown", Table1[[#This Row],[State]]="Puerto Rico all counties"))</f>
        <v>1</v>
      </c>
    </row>
    <row r="2635" spans="1:16" x14ac:dyDescent="0.25">
      <c r="A2635">
        <v>35053</v>
      </c>
      <c r="B2635" t="s">
        <v>2971</v>
      </c>
      <c r="C2635" t="s">
        <v>3020</v>
      </c>
      <c r="D2635">
        <v>304</v>
      </c>
      <c r="E2635">
        <v>54</v>
      </c>
      <c r="F2635">
        <v>30</v>
      </c>
      <c r="G2635">
        <v>33</v>
      </c>
      <c r="H2635">
        <v>113</v>
      </c>
      <c r="I2635">
        <v>74</v>
      </c>
      <c r="J2635">
        <v>47</v>
      </c>
      <c r="K2635">
        <v>87</v>
      </c>
      <c r="L2635">
        <v>170</v>
      </c>
      <c r="M2635">
        <v>279</v>
      </c>
      <c r="N2635">
        <v>25</v>
      </c>
      <c r="O2635" t="s">
        <v>3021</v>
      </c>
      <c r="P2635" s="1" t="b">
        <f>NOT(OR(Table1[[#This Row],[State]]="Other Foreign Countries", Table1[[#This Row],[State]]="Unknown", Table1[[#This Row],[State]]="Puerto Rico all counties"))</f>
        <v>1</v>
      </c>
    </row>
    <row r="2636" spans="1:16" x14ac:dyDescent="0.25">
      <c r="A2636">
        <v>6095</v>
      </c>
      <c r="B2636" t="s">
        <v>374</v>
      </c>
      <c r="C2636" t="s">
        <v>467</v>
      </c>
      <c r="D2636">
        <v>13981</v>
      </c>
      <c r="E2636" s="1">
        <v>2828</v>
      </c>
      <c r="F2636" s="1">
        <v>1450</v>
      </c>
      <c r="G2636" s="1">
        <v>1529</v>
      </c>
      <c r="H2636" s="1">
        <v>3744</v>
      </c>
      <c r="I2636" s="1">
        <v>4430</v>
      </c>
      <c r="J2636" s="1">
        <v>3227</v>
      </c>
      <c r="K2636" s="1">
        <v>4420</v>
      </c>
      <c r="L2636" s="1">
        <v>6333</v>
      </c>
      <c r="M2636" s="1">
        <v>12062</v>
      </c>
      <c r="N2636" s="1">
        <v>1918</v>
      </c>
      <c r="O2636" t="s">
        <v>468</v>
      </c>
      <c r="P2636" s="1" t="b">
        <f>NOT(OR(Table1[[#This Row],[State]]="Other Foreign Countries", Table1[[#This Row],[State]]="Unknown", Table1[[#This Row],[State]]="Puerto Rico all counties"))</f>
        <v>1</v>
      </c>
    </row>
    <row r="2637" spans="1:16" x14ac:dyDescent="0.25">
      <c r="A2637">
        <v>23025</v>
      </c>
      <c r="B2637" t="s">
        <v>2004</v>
      </c>
      <c r="C2637" t="s">
        <v>2024</v>
      </c>
      <c r="D2637">
        <v>1616</v>
      </c>
      <c r="E2637">
        <v>326</v>
      </c>
      <c r="F2637">
        <v>176</v>
      </c>
      <c r="G2637">
        <v>148</v>
      </c>
      <c r="H2637">
        <v>529</v>
      </c>
      <c r="I2637">
        <v>437</v>
      </c>
      <c r="J2637">
        <v>358</v>
      </c>
      <c r="K2637">
        <v>525</v>
      </c>
      <c r="L2637">
        <v>733</v>
      </c>
      <c r="M2637" s="1">
        <v>1474</v>
      </c>
      <c r="N2637">
        <v>142</v>
      </c>
      <c r="O2637" t="s">
        <v>2025</v>
      </c>
      <c r="P2637" s="1" t="b">
        <f>NOT(OR(Table1[[#This Row],[State]]="Other Foreign Countries", Table1[[#This Row],[State]]="Unknown", Table1[[#This Row],[State]]="Puerto Rico all counties"))</f>
        <v>1</v>
      </c>
    </row>
    <row r="2638" spans="1:16" x14ac:dyDescent="0.25">
      <c r="A2638">
        <v>24039</v>
      </c>
      <c r="B2638" t="s">
        <v>2031</v>
      </c>
      <c r="C2638" t="s">
        <v>2024</v>
      </c>
      <c r="D2638">
        <v>403</v>
      </c>
      <c r="E2638">
        <v>57</v>
      </c>
      <c r="F2638">
        <v>43</v>
      </c>
      <c r="G2638">
        <v>49</v>
      </c>
      <c r="H2638">
        <v>142</v>
      </c>
      <c r="I2638">
        <v>112</v>
      </c>
      <c r="J2638">
        <v>87</v>
      </c>
      <c r="K2638">
        <v>119</v>
      </c>
      <c r="L2638">
        <v>197</v>
      </c>
      <c r="M2638">
        <v>375</v>
      </c>
      <c r="N2638">
        <v>28</v>
      </c>
      <c r="O2638" t="s">
        <v>2064</v>
      </c>
      <c r="P2638" s="1" t="b">
        <f>NOT(OR(Table1[[#This Row],[State]]="Other Foreign Countries", Table1[[#This Row],[State]]="Unknown", Table1[[#This Row],[State]]="Puerto Rico all counties"))</f>
        <v>1</v>
      </c>
    </row>
    <row r="2639" spans="1:16" x14ac:dyDescent="0.25">
      <c r="A2639">
        <v>34035</v>
      </c>
      <c r="B2639" t="s">
        <v>2938</v>
      </c>
      <c r="C2639" t="s">
        <v>2024</v>
      </c>
      <c r="D2639">
        <v>1974</v>
      </c>
      <c r="E2639">
        <v>432</v>
      </c>
      <c r="F2639">
        <v>183</v>
      </c>
      <c r="G2639">
        <v>215</v>
      </c>
      <c r="H2639">
        <v>559</v>
      </c>
      <c r="I2639">
        <v>585</v>
      </c>
      <c r="J2639">
        <v>607</v>
      </c>
      <c r="K2639">
        <v>496</v>
      </c>
      <c r="L2639">
        <v>871</v>
      </c>
      <c r="M2639" s="1">
        <v>1811</v>
      </c>
      <c r="N2639">
        <v>163</v>
      </c>
      <c r="O2639" t="s">
        <v>2967</v>
      </c>
      <c r="P2639" s="1" t="b">
        <f>NOT(OR(Table1[[#This Row],[State]]="Other Foreign Countries", Table1[[#This Row],[State]]="Unknown", Table1[[#This Row],[State]]="Puerto Rico all counties"))</f>
        <v>1</v>
      </c>
    </row>
    <row r="2640" spans="1:16" x14ac:dyDescent="0.25">
      <c r="A2640">
        <v>42111</v>
      </c>
      <c r="B2640" t="s">
        <v>3665</v>
      </c>
      <c r="C2640" t="s">
        <v>2024</v>
      </c>
      <c r="D2640">
        <v>1423</v>
      </c>
      <c r="E2640">
        <v>303</v>
      </c>
      <c r="F2640">
        <v>189</v>
      </c>
      <c r="G2640">
        <v>178</v>
      </c>
      <c r="H2640">
        <v>409</v>
      </c>
      <c r="I2640">
        <v>344</v>
      </c>
      <c r="J2640">
        <v>292</v>
      </c>
      <c r="K2640">
        <v>419</v>
      </c>
      <c r="L2640">
        <v>712</v>
      </c>
      <c r="M2640" s="1">
        <v>1327</v>
      </c>
      <c r="N2640">
        <v>96</v>
      </c>
      <c r="O2640" t="s">
        <v>3749</v>
      </c>
      <c r="P2640" s="1" t="b">
        <f>NOT(OR(Table1[[#This Row],[State]]="Other Foreign Countries", Table1[[#This Row],[State]]="Unknown", Table1[[#This Row],[State]]="Puerto Rico all counties"))</f>
        <v>1</v>
      </c>
    </row>
    <row r="2641" spans="1:16" x14ac:dyDescent="0.25">
      <c r="A2641">
        <v>48425</v>
      </c>
      <c r="B2641" t="s">
        <v>2654</v>
      </c>
      <c r="C2641" t="s">
        <v>4414</v>
      </c>
      <c r="D2641">
        <v>201</v>
      </c>
      <c r="E2641">
        <v>37</v>
      </c>
      <c r="F2641">
        <v>21</v>
      </c>
      <c r="G2641">
        <v>28</v>
      </c>
      <c r="H2641">
        <v>62</v>
      </c>
      <c r="I2641">
        <v>53</v>
      </c>
      <c r="J2641">
        <v>72</v>
      </c>
      <c r="K2641">
        <v>73</v>
      </c>
      <c r="L2641">
        <v>56</v>
      </c>
      <c r="M2641">
        <v>178</v>
      </c>
      <c r="N2641">
        <v>23</v>
      </c>
      <c r="O2641" t="s">
        <v>4415</v>
      </c>
      <c r="P2641" s="1" t="b">
        <f>NOT(OR(Table1[[#This Row],[State]]="Other Foreign Countries", Table1[[#This Row],[State]]="Unknown", Table1[[#This Row],[State]]="Puerto Rico all counties"))</f>
        <v>1</v>
      </c>
    </row>
    <row r="2642" spans="1:16" x14ac:dyDescent="0.25">
      <c r="A2642">
        <v>6097</v>
      </c>
      <c r="B2642" t="s">
        <v>374</v>
      </c>
      <c r="C2642" t="s">
        <v>469</v>
      </c>
      <c r="D2642">
        <v>5304</v>
      </c>
      <c r="E2642" s="1">
        <v>1331</v>
      </c>
      <c r="F2642">
        <v>531</v>
      </c>
      <c r="G2642">
        <v>531</v>
      </c>
      <c r="H2642" s="1">
        <v>1456</v>
      </c>
      <c r="I2642" s="1">
        <v>1455</v>
      </c>
      <c r="J2642" s="1">
        <v>1222</v>
      </c>
      <c r="K2642" s="1">
        <v>1272</v>
      </c>
      <c r="L2642" s="1">
        <v>2810</v>
      </c>
      <c r="M2642" s="1">
        <v>4784</v>
      </c>
      <c r="N2642">
        <v>519</v>
      </c>
      <c r="O2642" t="s">
        <v>470</v>
      </c>
      <c r="P2642" s="1" t="b">
        <f>NOT(OR(Table1[[#This Row],[State]]="Other Foreign Countries", Table1[[#This Row],[State]]="Unknown", Table1[[#This Row],[State]]="Puerto Rico all counties"))</f>
        <v>1</v>
      </c>
    </row>
    <row r="2643" spans="1:16" x14ac:dyDescent="0.25">
      <c r="A2643">
        <v>9170</v>
      </c>
      <c r="B2643" t="s">
        <v>609</v>
      </c>
      <c r="C2643" t="s">
        <v>622</v>
      </c>
      <c r="D2643">
        <v>5542</v>
      </c>
      <c r="E2643" s="1">
        <v>1408</v>
      </c>
      <c r="F2643">
        <v>660</v>
      </c>
      <c r="G2643">
        <v>659</v>
      </c>
      <c r="H2643" s="1">
        <v>1500</v>
      </c>
      <c r="I2643" s="1">
        <v>1315</v>
      </c>
      <c r="J2643" s="1">
        <v>1629</v>
      </c>
      <c r="K2643" s="1">
        <v>1419</v>
      </c>
      <c r="L2643" s="1">
        <v>2494</v>
      </c>
      <c r="M2643" s="1">
        <v>4981</v>
      </c>
      <c r="N2643">
        <v>560</v>
      </c>
      <c r="O2643" t="s">
        <v>623</v>
      </c>
      <c r="P2643" s="1" t="b">
        <f>NOT(OR(Table1[[#This Row],[State]]="Other Foreign Countries", Table1[[#This Row],[State]]="Unknown", Table1[[#This Row],[State]]="Puerto Rico all counties"))</f>
        <v>1</v>
      </c>
    </row>
    <row r="2644" spans="1:16" x14ac:dyDescent="0.25">
      <c r="A2644">
        <v>51175</v>
      </c>
      <c r="B2644" t="s">
        <v>4555</v>
      </c>
      <c r="C2644" t="s">
        <v>4681</v>
      </c>
      <c r="D2644">
        <v>501</v>
      </c>
      <c r="E2644">
        <v>89</v>
      </c>
      <c r="F2644">
        <v>52</v>
      </c>
      <c r="G2644">
        <v>62</v>
      </c>
      <c r="H2644">
        <v>162</v>
      </c>
      <c r="I2644">
        <v>136</v>
      </c>
      <c r="J2644">
        <v>129</v>
      </c>
      <c r="K2644">
        <v>191</v>
      </c>
      <c r="L2644">
        <v>181</v>
      </c>
      <c r="M2644">
        <v>430</v>
      </c>
      <c r="N2644">
        <v>71</v>
      </c>
      <c r="O2644" t="s">
        <v>4682</v>
      </c>
      <c r="P2644" s="1" t="b">
        <f>NOT(OR(Table1[[#This Row],[State]]="Other Foreign Countries", Table1[[#This Row],[State]]="Unknown", Table1[[#This Row],[State]]="Puerto Rico all counties"))</f>
        <v>1</v>
      </c>
    </row>
    <row r="2645" spans="1:16" x14ac:dyDescent="0.25">
      <c r="A2645">
        <v>2240</v>
      </c>
      <c r="B2645" t="s">
        <v>150</v>
      </c>
      <c r="C2645" t="s">
        <v>203</v>
      </c>
      <c r="D2645">
        <v>369</v>
      </c>
      <c r="E2645">
        <v>69</v>
      </c>
      <c r="F2645">
        <v>34</v>
      </c>
      <c r="G2645">
        <v>60</v>
      </c>
      <c r="H2645">
        <v>118</v>
      </c>
      <c r="I2645">
        <v>88</v>
      </c>
      <c r="J2645">
        <v>110</v>
      </c>
      <c r="K2645">
        <v>158</v>
      </c>
      <c r="L2645">
        <v>101</v>
      </c>
      <c r="M2645">
        <v>324</v>
      </c>
      <c r="N2645">
        <v>45</v>
      </c>
      <c r="O2645" t="s">
        <v>204</v>
      </c>
      <c r="P2645" s="1" t="b">
        <f>NOT(OR(Table1[[#This Row],[State]]="Other Foreign Countries", Table1[[#This Row],[State]]="Unknown", Table1[[#This Row],[State]]="Puerto Rico all counties"))</f>
        <v>1</v>
      </c>
    </row>
    <row r="2646" spans="1:16" x14ac:dyDescent="0.25">
      <c r="A2646">
        <v>9180</v>
      </c>
      <c r="B2646" t="s">
        <v>609</v>
      </c>
      <c r="C2646" t="s">
        <v>624</v>
      </c>
      <c r="D2646">
        <v>6329</v>
      </c>
      <c r="E2646" s="1">
        <v>1411</v>
      </c>
      <c r="F2646">
        <v>763</v>
      </c>
      <c r="G2646">
        <v>900</v>
      </c>
      <c r="H2646" s="1">
        <v>1932</v>
      </c>
      <c r="I2646" s="1">
        <v>1323</v>
      </c>
      <c r="J2646" s="1">
        <v>2044</v>
      </c>
      <c r="K2646" s="1">
        <v>2204</v>
      </c>
      <c r="L2646" s="1">
        <v>2081</v>
      </c>
      <c r="M2646" s="1">
        <v>5641</v>
      </c>
      <c r="N2646">
        <v>688</v>
      </c>
      <c r="O2646" t="s">
        <v>625</v>
      </c>
      <c r="P2646" s="1" t="b">
        <f>NOT(OR(Table1[[#This Row],[State]]="Other Foreign Countries", Table1[[#This Row],[State]]="Unknown", Table1[[#This Row],[State]]="Puerto Rico all counties"))</f>
        <v>1</v>
      </c>
    </row>
    <row r="2647" spans="1:16" x14ac:dyDescent="0.25">
      <c r="A2647">
        <v>13255</v>
      </c>
      <c r="B2647" t="s">
        <v>754</v>
      </c>
      <c r="C2647" t="s">
        <v>962</v>
      </c>
      <c r="D2647">
        <v>1713</v>
      </c>
      <c r="E2647">
        <v>326</v>
      </c>
      <c r="F2647">
        <v>179</v>
      </c>
      <c r="G2647">
        <v>194</v>
      </c>
      <c r="H2647">
        <v>486</v>
      </c>
      <c r="I2647">
        <v>528</v>
      </c>
      <c r="J2647">
        <v>382</v>
      </c>
      <c r="K2647">
        <v>542</v>
      </c>
      <c r="L2647">
        <v>789</v>
      </c>
      <c r="M2647" s="1">
        <v>1451</v>
      </c>
      <c r="N2647">
        <v>262</v>
      </c>
      <c r="O2647" t="s">
        <v>963</v>
      </c>
      <c r="P2647" s="1" t="b">
        <f>NOT(OR(Table1[[#This Row],[State]]="Other Foreign Countries", Table1[[#This Row],[State]]="Unknown", Table1[[#This Row],[State]]="Puerto Rico all counties"))</f>
        <v>1</v>
      </c>
    </row>
    <row r="2648" spans="1:16" x14ac:dyDescent="0.25">
      <c r="A2648">
        <v>45083</v>
      </c>
      <c r="B2648" t="s">
        <v>3772</v>
      </c>
      <c r="C2648" t="s">
        <v>3839</v>
      </c>
      <c r="D2648">
        <v>6640</v>
      </c>
      <c r="E2648" s="1">
        <v>1128</v>
      </c>
      <c r="F2648">
        <v>692</v>
      </c>
      <c r="G2648">
        <v>806</v>
      </c>
      <c r="H2648" s="1">
        <v>2090</v>
      </c>
      <c r="I2648" s="1">
        <v>1924</v>
      </c>
      <c r="J2648" s="1">
        <v>2075</v>
      </c>
      <c r="K2648" s="1">
        <v>2107</v>
      </c>
      <c r="L2648" s="1">
        <v>2458</v>
      </c>
      <c r="M2648" s="1">
        <v>5837</v>
      </c>
      <c r="N2648">
        <v>802</v>
      </c>
      <c r="O2648" t="s">
        <v>3840</v>
      </c>
      <c r="P2648" s="1" t="b">
        <f>NOT(OR(Table1[[#This Row],[State]]="Other Foreign Countries", Table1[[#This Row],[State]]="Unknown", Table1[[#This Row],[State]]="Puerto Rico all counties"))</f>
        <v>1</v>
      </c>
    </row>
    <row r="2649" spans="1:16" x14ac:dyDescent="0.25">
      <c r="A2649">
        <v>18147</v>
      </c>
      <c r="B2649" t="s">
        <v>1266</v>
      </c>
      <c r="C2649" t="s">
        <v>1367</v>
      </c>
      <c r="D2649">
        <v>518</v>
      </c>
      <c r="E2649">
        <v>199</v>
      </c>
      <c r="F2649">
        <v>55</v>
      </c>
      <c r="G2649">
        <v>62</v>
      </c>
      <c r="H2649">
        <v>122</v>
      </c>
      <c r="I2649">
        <v>80</v>
      </c>
      <c r="J2649">
        <v>86</v>
      </c>
      <c r="K2649">
        <v>144</v>
      </c>
      <c r="L2649">
        <v>288</v>
      </c>
      <c r="M2649">
        <v>482</v>
      </c>
      <c r="N2649">
        <v>36</v>
      </c>
      <c r="O2649" t="s">
        <v>1368</v>
      </c>
      <c r="P2649" s="1" t="b">
        <f>NOT(OR(Table1[[#This Row],[State]]="Other Foreign Countries", Table1[[#This Row],[State]]="Unknown", Table1[[#This Row],[State]]="Puerto Rico all counties"))</f>
        <v>1</v>
      </c>
    </row>
    <row r="2650" spans="1:16" x14ac:dyDescent="0.25">
      <c r="A2650">
        <v>21215</v>
      </c>
      <c r="B2650" t="s">
        <v>1716</v>
      </c>
      <c r="C2650" t="s">
        <v>1367</v>
      </c>
      <c r="D2650">
        <v>457</v>
      </c>
      <c r="E2650">
        <v>100</v>
      </c>
      <c r="F2650">
        <v>58</v>
      </c>
      <c r="G2650">
        <v>64</v>
      </c>
      <c r="H2650">
        <v>130</v>
      </c>
      <c r="I2650">
        <v>105</v>
      </c>
      <c r="J2650">
        <v>118</v>
      </c>
      <c r="K2650">
        <v>185</v>
      </c>
      <c r="L2650">
        <v>154</v>
      </c>
      <c r="M2650">
        <v>412</v>
      </c>
      <c r="N2650">
        <v>45</v>
      </c>
      <c r="O2650" t="s">
        <v>1875</v>
      </c>
      <c r="P2650" s="1" t="b">
        <f>NOT(OR(Table1[[#This Row],[State]]="Other Foreign Countries", Table1[[#This Row],[State]]="Unknown", Table1[[#This Row],[State]]="Puerto Rico all counties"))</f>
        <v>1</v>
      </c>
    </row>
    <row r="2651" spans="1:16" x14ac:dyDescent="0.25">
      <c r="A2651">
        <v>46115</v>
      </c>
      <c r="B2651" t="s">
        <v>3846</v>
      </c>
      <c r="C2651" t="s">
        <v>3934</v>
      </c>
      <c r="D2651">
        <v>99</v>
      </c>
      <c r="E2651">
        <v>26</v>
      </c>
      <c r="F2651">
        <v>16</v>
      </c>
      <c r="G2651">
        <v>10</v>
      </c>
      <c r="H2651">
        <v>28</v>
      </c>
      <c r="I2651">
        <v>19</v>
      </c>
      <c r="J2651">
        <v>16</v>
      </c>
      <c r="K2651">
        <v>30</v>
      </c>
      <c r="L2651">
        <v>53</v>
      </c>
      <c r="O2651" t="s">
        <v>3935</v>
      </c>
      <c r="P2651" s="1" t="b">
        <f>NOT(OR(Table1[[#This Row],[State]]="Other Foreign Countries", Table1[[#This Row],[State]]="Unknown", Table1[[#This Row],[State]]="Puerto Rico all counties"))</f>
        <v>1</v>
      </c>
    </row>
    <row r="2652" spans="1:16" x14ac:dyDescent="0.25">
      <c r="A2652">
        <v>53063</v>
      </c>
      <c r="B2652" t="s">
        <v>144</v>
      </c>
      <c r="C2652" t="s">
        <v>4819</v>
      </c>
      <c r="D2652">
        <v>15426</v>
      </c>
      <c r="E2652" s="1">
        <v>3403</v>
      </c>
      <c r="F2652" s="1">
        <v>1894</v>
      </c>
      <c r="G2652" s="1">
        <v>2054</v>
      </c>
      <c r="H2652" s="1">
        <v>4318</v>
      </c>
      <c r="I2652" s="1">
        <v>3757</v>
      </c>
      <c r="J2652" s="1">
        <v>4112</v>
      </c>
      <c r="K2652" s="1">
        <v>5291</v>
      </c>
      <c r="L2652" s="1">
        <v>6023</v>
      </c>
      <c r="M2652" s="1">
        <v>13509</v>
      </c>
      <c r="N2652" s="1">
        <v>1916</v>
      </c>
      <c r="O2652" t="s">
        <v>4820</v>
      </c>
      <c r="P2652" s="1" t="b">
        <f>NOT(OR(Table1[[#This Row],[State]]="Other Foreign Countries", Table1[[#This Row],[State]]="Unknown", Table1[[#This Row],[State]]="Puerto Rico all counties"))</f>
        <v>1</v>
      </c>
    </row>
    <row r="2653" spans="1:16" x14ac:dyDescent="0.25">
      <c r="A2653">
        <v>51177</v>
      </c>
      <c r="B2653" t="s">
        <v>4555</v>
      </c>
      <c r="C2653" t="s">
        <v>4683</v>
      </c>
      <c r="D2653">
        <v>7521</v>
      </c>
      <c r="E2653">
        <v>894</v>
      </c>
      <c r="F2653">
        <v>690</v>
      </c>
      <c r="G2653">
        <v>812</v>
      </c>
      <c r="H2653" s="1">
        <v>2159</v>
      </c>
      <c r="I2653" s="1">
        <v>2966</v>
      </c>
      <c r="J2653" s="1">
        <v>2225</v>
      </c>
      <c r="K2653" s="1">
        <v>3510</v>
      </c>
      <c r="L2653" s="1">
        <v>1786</v>
      </c>
      <c r="M2653" s="1">
        <v>6236</v>
      </c>
      <c r="N2653" s="1">
        <v>1285</v>
      </c>
      <c r="O2653" t="s">
        <v>4684</v>
      </c>
      <c r="P2653" s="1" t="b">
        <f>NOT(OR(Table1[[#This Row],[State]]="Other Foreign Countries", Table1[[#This Row],[State]]="Unknown", Table1[[#This Row],[State]]="Puerto Rico all counties"))</f>
        <v>1</v>
      </c>
    </row>
    <row r="2654" spans="1:16" x14ac:dyDescent="0.25">
      <c r="A2654">
        <v>22087</v>
      </c>
      <c r="B2654" t="s">
        <v>1892</v>
      </c>
      <c r="C2654" t="s">
        <v>1966</v>
      </c>
      <c r="D2654">
        <v>619</v>
      </c>
      <c r="E2654">
        <v>120</v>
      </c>
      <c r="F2654">
        <v>59</v>
      </c>
      <c r="G2654">
        <v>79</v>
      </c>
      <c r="H2654">
        <v>183</v>
      </c>
      <c r="I2654">
        <v>178</v>
      </c>
      <c r="J2654">
        <v>205</v>
      </c>
      <c r="K2654">
        <v>217</v>
      </c>
      <c r="L2654">
        <v>197</v>
      </c>
      <c r="M2654">
        <v>525</v>
      </c>
      <c r="N2654">
        <v>92</v>
      </c>
      <c r="O2654" t="s">
        <v>1967</v>
      </c>
      <c r="P2654" s="1" t="b">
        <f>NOT(OR(Table1[[#This Row],[State]]="Other Foreign Countries", Table1[[#This Row],[State]]="Unknown", Table1[[#This Row],[State]]="Puerto Rico all counties"))</f>
        <v>1</v>
      </c>
    </row>
    <row r="2655" spans="1:16" x14ac:dyDescent="0.25">
      <c r="A2655">
        <v>22089</v>
      </c>
      <c r="B2655" t="s">
        <v>1892</v>
      </c>
      <c r="C2655" t="s">
        <v>1968</v>
      </c>
      <c r="D2655">
        <v>829</v>
      </c>
      <c r="E2655">
        <v>179</v>
      </c>
      <c r="F2655">
        <v>95</v>
      </c>
      <c r="G2655">
        <v>107</v>
      </c>
      <c r="H2655">
        <v>240</v>
      </c>
      <c r="I2655">
        <v>208</v>
      </c>
      <c r="J2655">
        <v>189</v>
      </c>
      <c r="K2655">
        <v>311</v>
      </c>
      <c r="L2655">
        <v>329</v>
      </c>
      <c r="M2655">
        <v>728</v>
      </c>
      <c r="N2655">
        <v>100</v>
      </c>
      <c r="O2655" t="s">
        <v>1969</v>
      </c>
      <c r="P2655" s="1" t="b">
        <f>NOT(OR(Table1[[#This Row],[State]]="Other Foreign Countries", Table1[[#This Row],[State]]="Unknown", Table1[[#This Row],[State]]="Puerto Rico all counties"))</f>
        <v>1</v>
      </c>
    </row>
    <row r="2656" spans="1:16" x14ac:dyDescent="0.25">
      <c r="A2656">
        <v>29183</v>
      </c>
      <c r="B2656" t="s">
        <v>2510</v>
      </c>
      <c r="C2656" t="s">
        <v>1968</v>
      </c>
      <c r="D2656">
        <v>6818</v>
      </c>
      <c r="E2656" s="1">
        <v>1452</v>
      </c>
      <c r="F2656">
        <v>821</v>
      </c>
      <c r="G2656">
        <v>875</v>
      </c>
      <c r="H2656" s="1">
        <v>1986</v>
      </c>
      <c r="I2656" s="1">
        <v>1684</v>
      </c>
      <c r="J2656" s="1">
        <v>2185</v>
      </c>
      <c r="K2656" s="1">
        <v>2102</v>
      </c>
      <c r="L2656" s="1">
        <v>2531</v>
      </c>
      <c r="M2656" s="1">
        <v>6059</v>
      </c>
      <c r="N2656">
        <v>757</v>
      </c>
      <c r="O2656" t="s">
        <v>2633</v>
      </c>
      <c r="P2656" s="1" t="b">
        <f>NOT(OR(Table1[[#This Row],[State]]="Other Foreign Countries", Table1[[#This Row],[State]]="Unknown", Table1[[#This Row],[State]]="Puerto Rico all counties"))</f>
        <v>1</v>
      </c>
    </row>
    <row r="2657" spans="1:16" x14ac:dyDescent="0.25">
      <c r="A2657">
        <v>1115</v>
      </c>
      <c r="B2657" t="s">
        <v>15</v>
      </c>
      <c r="C2657" t="s">
        <v>130</v>
      </c>
      <c r="D2657">
        <v>2139</v>
      </c>
      <c r="E2657">
        <v>415</v>
      </c>
      <c r="F2657">
        <v>219</v>
      </c>
      <c r="G2657">
        <v>253</v>
      </c>
      <c r="H2657">
        <v>613</v>
      </c>
      <c r="I2657">
        <v>639</v>
      </c>
      <c r="J2657">
        <v>550</v>
      </c>
      <c r="K2657">
        <v>712</v>
      </c>
      <c r="L2657">
        <v>877</v>
      </c>
      <c r="M2657" s="1">
        <v>1902</v>
      </c>
      <c r="N2657">
        <v>237</v>
      </c>
      <c r="O2657" t="s">
        <v>131</v>
      </c>
      <c r="P2657" s="1" t="b">
        <f>NOT(OR(Table1[[#This Row],[State]]="Other Foreign Countries", Table1[[#This Row],[State]]="Unknown", Table1[[#This Row],[State]]="Puerto Rico all counties"))</f>
        <v>1</v>
      </c>
    </row>
    <row r="2658" spans="1:16" x14ac:dyDescent="0.25">
      <c r="A2658">
        <v>17163</v>
      </c>
      <c r="B2658" t="s">
        <v>1109</v>
      </c>
      <c r="C2658" t="s">
        <v>130</v>
      </c>
      <c r="D2658">
        <v>11766</v>
      </c>
      <c r="E2658" s="1">
        <v>1638</v>
      </c>
      <c r="F2658" s="1">
        <v>1133</v>
      </c>
      <c r="G2658" s="1">
        <v>1220</v>
      </c>
      <c r="H2658" s="1">
        <v>3826</v>
      </c>
      <c r="I2658" s="1">
        <v>3949</v>
      </c>
      <c r="J2658" s="1">
        <v>3001</v>
      </c>
      <c r="K2658" s="1">
        <v>5494</v>
      </c>
      <c r="L2658" s="1">
        <v>3271</v>
      </c>
      <c r="M2658" s="1">
        <v>9433</v>
      </c>
      <c r="N2658" s="1">
        <v>2332</v>
      </c>
      <c r="O2658" t="s">
        <v>1233</v>
      </c>
      <c r="P2658" s="1" t="b">
        <f>NOT(OR(Table1[[#This Row],[State]]="Other Foreign Countries", Table1[[#This Row],[State]]="Unknown", Table1[[#This Row],[State]]="Puerto Rico all counties"))</f>
        <v>1</v>
      </c>
    </row>
    <row r="2659" spans="1:16" x14ac:dyDescent="0.25">
      <c r="A2659">
        <v>26147</v>
      </c>
      <c r="B2659" t="s">
        <v>2099</v>
      </c>
      <c r="C2659" t="s">
        <v>130</v>
      </c>
      <c r="D2659">
        <v>3314</v>
      </c>
      <c r="E2659">
        <v>923</v>
      </c>
      <c r="F2659">
        <v>378</v>
      </c>
      <c r="G2659">
        <v>421</v>
      </c>
      <c r="H2659">
        <v>887</v>
      </c>
      <c r="I2659">
        <v>705</v>
      </c>
      <c r="J2659">
        <v>793</v>
      </c>
      <c r="K2659">
        <v>949</v>
      </c>
      <c r="L2659" s="1">
        <v>1572</v>
      </c>
      <c r="M2659" s="1">
        <v>3058</v>
      </c>
      <c r="N2659">
        <v>255</v>
      </c>
      <c r="O2659" t="s">
        <v>2229</v>
      </c>
      <c r="P2659" s="1" t="b">
        <f>NOT(OR(Table1[[#This Row],[State]]="Other Foreign Countries", Table1[[#This Row],[State]]="Unknown", Table1[[#This Row],[State]]="Puerto Rico all counties"))</f>
        <v>1</v>
      </c>
    </row>
    <row r="2660" spans="1:16" x14ac:dyDescent="0.25">
      <c r="A2660">
        <v>29185</v>
      </c>
      <c r="B2660" t="s">
        <v>2510</v>
      </c>
      <c r="C2660" t="s">
        <v>130</v>
      </c>
      <c r="D2660">
        <v>271</v>
      </c>
      <c r="E2660">
        <v>57</v>
      </c>
      <c r="F2660">
        <v>44</v>
      </c>
      <c r="G2660">
        <v>30</v>
      </c>
      <c r="H2660">
        <v>88</v>
      </c>
      <c r="I2660">
        <v>52</v>
      </c>
      <c r="J2660">
        <v>57</v>
      </c>
      <c r="K2660">
        <v>74</v>
      </c>
      <c r="L2660">
        <v>140</v>
      </c>
      <c r="M2660">
        <v>244</v>
      </c>
      <c r="N2660">
        <v>27</v>
      </c>
      <c r="O2660" t="s">
        <v>2634</v>
      </c>
      <c r="P2660" s="1" t="b">
        <f>NOT(OR(Table1[[#This Row],[State]]="Other Foreign Countries", Table1[[#This Row],[State]]="Unknown", Table1[[#This Row],[State]]="Puerto Rico all counties"))</f>
        <v>1</v>
      </c>
    </row>
    <row r="2661" spans="1:16" x14ac:dyDescent="0.25">
      <c r="A2661">
        <v>55109</v>
      </c>
      <c r="B2661" t="s">
        <v>4906</v>
      </c>
      <c r="C2661" t="s">
        <v>4985</v>
      </c>
      <c r="D2661">
        <v>2189</v>
      </c>
      <c r="E2661">
        <v>688</v>
      </c>
      <c r="F2661">
        <v>302</v>
      </c>
      <c r="G2661">
        <v>295</v>
      </c>
      <c r="H2661">
        <v>511</v>
      </c>
      <c r="I2661">
        <v>393</v>
      </c>
      <c r="J2661">
        <v>593</v>
      </c>
      <c r="K2661">
        <v>642</v>
      </c>
      <c r="L2661">
        <v>954</v>
      </c>
      <c r="M2661" s="1">
        <v>1999</v>
      </c>
      <c r="N2661">
        <v>187</v>
      </c>
      <c r="O2661" t="s">
        <v>4986</v>
      </c>
      <c r="P2661" s="1" t="b">
        <f>NOT(OR(Table1[[#This Row],[State]]="Other Foreign Countries", Table1[[#This Row],[State]]="Unknown", Table1[[#This Row],[State]]="Puerto Rico all counties"))</f>
        <v>1</v>
      </c>
    </row>
    <row r="2662" spans="1:16" x14ac:dyDescent="0.25">
      <c r="A2662">
        <v>5123</v>
      </c>
      <c r="B2662" t="s">
        <v>242</v>
      </c>
      <c r="C2662" t="s">
        <v>347</v>
      </c>
      <c r="D2662">
        <v>383</v>
      </c>
      <c r="E2662">
        <v>74</v>
      </c>
      <c r="F2662">
        <v>41</v>
      </c>
      <c r="G2662">
        <v>45</v>
      </c>
      <c r="H2662">
        <v>117</v>
      </c>
      <c r="I2662">
        <v>106</v>
      </c>
      <c r="J2662">
        <v>39</v>
      </c>
      <c r="K2662">
        <v>137</v>
      </c>
      <c r="L2662">
        <v>207</v>
      </c>
      <c r="M2662">
        <v>347</v>
      </c>
      <c r="N2662">
        <v>36</v>
      </c>
      <c r="O2662" t="s">
        <v>348</v>
      </c>
      <c r="P2662" s="1" t="b">
        <f>NOT(OR(Table1[[#This Row],[State]]="Other Foreign Countries", Table1[[#This Row],[State]]="Unknown", Table1[[#This Row],[State]]="Puerto Rico all counties"))</f>
        <v>1</v>
      </c>
    </row>
    <row r="2663" spans="1:16" x14ac:dyDescent="0.25">
      <c r="A2663">
        <v>29187</v>
      </c>
      <c r="B2663" t="s">
        <v>2510</v>
      </c>
      <c r="C2663" t="s">
        <v>2637</v>
      </c>
      <c r="D2663">
        <v>1614</v>
      </c>
      <c r="E2663">
        <v>347</v>
      </c>
      <c r="F2663">
        <v>152</v>
      </c>
      <c r="G2663">
        <v>205</v>
      </c>
      <c r="H2663">
        <v>507</v>
      </c>
      <c r="I2663">
        <v>403</v>
      </c>
      <c r="J2663">
        <v>409</v>
      </c>
      <c r="K2663">
        <v>512</v>
      </c>
      <c r="L2663">
        <v>693</v>
      </c>
      <c r="M2663" s="1">
        <v>1486</v>
      </c>
      <c r="N2663">
        <v>127</v>
      </c>
      <c r="O2663" t="s">
        <v>2638</v>
      </c>
      <c r="P2663" s="1" t="b">
        <f>NOT(OR(Table1[[#This Row],[State]]="Other Foreign Countries", Table1[[#This Row],[State]]="Unknown", Table1[[#This Row],[State]]="Puerto Rico all counties"))</f>
        <v>1</v>
      </c>
    </row>
    <row r="2664" spans="1:16" x14ac:dyDescent="0.25">
      <c r="A2664">
        <v>22091</v>
      </c>
      <c r="B2664" t="s">
        <v>1892</v>
      </c>
      <c r="C2664" t="s">
        <v>1970</v>
      </c>
      <c r="D2664">
        <v>176</v>
      </c>
      <c r="E2664">
        <v>31</v>
      </c>
      <c r="F2664">
        <v>18</v>
      </c>
      <c r="G2664">
        <v>11</v>
      </c>
      <c r="H2664">
        <v>71</v>
      </c>
      <c r="I2664">
        <v>45</v>
      </c>
      <c r="J2664">
        <v>35</v>
      </c>
      <c r="K2664">
        <v>58</v>
      </c>
      <c r="L2664">
        <v>83</v>
      </c>
      <c r="M2664">
        <v>154</v>
      </c>
      <c r="N2664">
        <v>22</v>
      </c>
      <c r="O2664" t="s">
        <v>1971</v>
      </c>
      <c r="P2664" s="1" t="b">
        <f>NOT(OR(Table1[[#This Row],[State]]="Other Foreign Countries", Table1[[#This Row],[State]]="Unknown", Table1[[#This Row],[State]]="Puerto Rico all counties"))</f>
        <v>1</v>
      </c>
    </row>
    <row r="2665" spans="1:16" x14ac:dyDescent="0.25">
      <c r="A2665">
        <v>22093</v>
      </c>
      <c r="B2665" t="s">
        <v>1892</v>
      </c>
      <c r="C2665" t="s">
        <v>1972</v>
      </c>
      <c r="D2665">
        <v>277</v>
      </c>
      <c r="E2665">
        <v>54</v>
      </c>
      <c r="F2665">
        <v>28</v>
      </c>
      <c r="G2665">
        <v>44</v>
      </c>
      <c r="H2665">
        <v>93</v>
      </c>
      <c r="I2665">
        <v>58</v>
      </c>
      <c r="J2665">
        <v>22</v>
      </c>
      <c r="K2665">
        <v>89</v>
      </c>
      <c r="L2665">
        <v>166</v>
      </c>
      <c r="M2665">
        <v>249</v>
      </c>
      <c r="N2665">
        <v>28</v>
      </c>
      <c r="O2665" t="s">
        <v>1973</v>
      </c>
      <c r="P2665" s="1" t="b">
        <f>NOT(OR(Table1[[#This Row],[State]]="Other Foreign Countries", Table1[[#This Row],[State]]="Unknown", Table1[[#This Row],[State]]="Puerto Rico all counties"))</f>
        <v>1</v>
      </c>
    </row>
    <row r="2666" spans="1:16" x14ac:dyDescent="0.25">
      <c r="A2666">
        <v>22095</v>
      </c>
      <c r="B2666" t="s">
        <v>1892</v>
      </c>
      <c r="C2666" t="s">
        <v>1974</v>
      </c>
      <c r="D2666">
        <v>771</v>
      </c>
      <c r="E2666">
        <v>135</v>
      </c>
      <c r="F2666">
        <v>72</v>
      </c>
      <c r="G2666">
        <v>96</v>
      </c>
      <c r="H2666">
        <v>245</v>
      </c>
      <c r="I2666">
        <v>223</v>
      </c>
      <c r="J2666">
        <v>128</v>
      </c>
      <c r="K2666">
        <v>262</v>
      </c>
      <c r="L2666">
        <v>381</v>
      </c>
      <c r="M2666">
        <v>674</v>
      </c>
      <c r="N2666">
        <v>97</v>
      </c>
      <c r="O2666" t="s">
        <v>1975</v>
      </c>
      <c r="P2666" s="1" t="b">
        <f>NOT(OR(Table1[[#This Row],[State]]="Other Foreign Countries", Table1[[#This Row],[State]]="Unknown", Table1[[#This Row],[State]]="Puerto Rico all counties"))</f>
        <v>1</v>
      </c>
    </row>
    <row r="2667" spans="1:16" x14ac:dyDescent="0.25">
      <c r="A2667">
        <v>12109</v>
      </c>
      <c r="B2667" t="s">
        <v>637</v>
      </c>
      <c r="C2667" t="s">
        <v>731</v>
      </c>
      <c r="D2667">
        <v>10745</v>
      </c>
      <c r="E2667" s="1">
        <v>1741</v>
      </c>
      <c r="F2667">
        <v>976</v>
      </c>
      <c r="G2667" s="1">
        <v>1120</v>
      </c>
      <c r="H2667" s="1">
        <v>2788</v>
      </c>
      <c r="I2667" s="1">
        <v>4120</v>
      </c>
      <c r="J2667" s="1">
        <v>2928</v>
      </c>
      <c r="K2667" s="1">
        <v>4519</v>
      </c>
      <c r="L2667" s="1">
        <v>3298</v>
      </c>
      <c r="M2667" s="1">
        <v>9252</v>
      </c>
      <c r="N2667" s="1">
        <v>1492</v>
      </c>
      <c r="O2667" t="s">
        <v>732</v>
      </c>
      <c r="P2667" s="1" t="b">
        <f>NOT(OR(Table1[[#This Row],[State]]="Other Foreign Countries", Table1[[#This Row],[State]]="Unknown", Table1[[#This Row],[State]]="Puerto Rico all counties"))</f>
        <v>1</v>
      </c>
    </row>
    <row r="2668" spans="1:16" x14ac:dyDescent="0.25">
      <c r="A2668">
        <v>18141</v>
      </c>
      <c r="B2668" t="s">
        <v>1266</v>
      </c>
      <c r="C2668" t="s">
        <v>1363</v>
      </c>
      <c r="D2668">
        <v>3646</v>
      </c>
      <c r="E2668" s="1">
        <v>1161</v>
      </c>
      <c r="F2668">
        <v>470</v>
      </c>
      <c r="G2668">
        <v>443</v>
      </c>
      <c r="H2668">
        <v>853</v>
      </c>
      <c r="I2668">
        <v>719</v>
      </c>
      <c r="J2668">
        <v>965</v>
      </c>
      <c r="K2668">
        <v>955</v>
      </c>
      <c r="L2668" s="1">
        <v>1726</v>
      </c>
      <c r="M2668" s="1">
        <v>3336</v>
      </c>
      <c r="N2668">
        <v>309</v>
      </c>
      <c r="O2668" t="s">
        <v>1364</v>
      </c>
      <c r="P2668" s="1" t="b">
        <f>NOT(OR(Table1[[#This Row],[State]]="Other Foreign Countries", Table1[[#This Row],[State]]="Unknown", Table1[[#This Row],[State]]="Puerto Rico all counties"))</f>
        <v>1</v>
      </c>
    </row>
    <row r="2669" spans="1:16" x14ac:dyDescent="0.25">
      <c r="A2669">
        <v>26149</v>
      </c>
      <c r="B2669" t="s">
        <v>2099</v>
      </c>
      <c r="C2669" t="s">
        <v>1363</v>
      </c>
      <c r="D2669">
        <v>779</v>
      </c>
      <c r="E2669">
        <v>141</v>
      </c>
      <c r="F2669">
        <v>92</v>
      </c>
      <c r="G2669">
        <v>102</v>
      </c>
      <c r="H2669">
        <v>255</v>
      </c>
      <c r="I2669">
        <v>189</v>
      </c>
      <c r="J2669">
        <v>216</v>
      </c>
      <c r="K2669">
        <v>191</v>
      </c>
      <c r="L2669">
        <v>372</v>
      </c>
      <c r="M2669">
        <v>710</v>
      </c>
      <c r="N2669">
        <v>69</v>
      </c>
      <c r="O2669" t="s">
        <v>2230</v>
      </c>
      <c r="P2669" s="1" t="b">
        <f>NOT(OR(Table1[[#This Row],[State]]="Other Foreign Countries", Table1[[#This Row],[State]]="Unknown", Table1[[#This Row],[State]]="Puerto Rico all counties"))</f>
        <v>1</v>
      </c>
    </row>
    <row r="2670" spans="1:16" x14ac:dyDescent="0.25">
      <c r="A2670">
        <v>22097</v>
      </c>
      <c r="B2670" t="s">
        <v>1892</v>
      </c>
      <c r="C2670" t="s">
        <v>1976</v>
      </c>
      <c r="D2670">
        <v>1567</v>
      </c>
      <c r="E2670">
        <v>322</v>
      </c>
      <c r="F2670">
        <v>154</v>
      </c>
      <c r="G2670">
        <v>202</v>
      </c>
      <c r="H2670">
        <v>458</v>
      </c>
      <c r="I2670">
        <v>431</v>
      </c>
      <c r="J2670">
        <v>335</v>
      </c>
      <c r="K2670">
        <v>557</v>
      </c>
      <c r="L2670">
        <v>675</v>
      </c>
      <c r="M2670" s="1">
        <v>1406</v>
      </c>
      <c r="N2670">
        <v>161</v>
      </c>
      <c r="O2670" t="s">
        <v>1977</v>
      </c>
      <c r="P2670" s="1" t="b">
        <f>NOT(OR(Table1[[#This Row],[State]]="Other Foreign Countries", Table1[[#This Row],[State]]="Unknown", Table1[[#This Row],[State]]="Puerto Rico all counties"))</f>
        <v>1</v>
      </c>
    </row>
    <row r="2671" spans="1:16" x14ac:dyDescent="0.25">
      <c r="A2671">
        <v>36089</v>
      </c>
      <c r="B2671" t="s">
        <v>3029</v>
      </c>
      <c r="C2671" t="s">
        <v>3092</v>
      </c>
      <c r="D2671">
        <v>1962</v>
      </c>
      <c r="E2671">
        <v>381</v>
      </c>
      <c r="F2671">
        <v>215</v>
      </c>
      <c r="G2671">
        <v>266</v>
      </c>
      <c r="H2671">
        <v>644</v>
      </c>
      <c r="I2671">
        <v>456</v>
      </c>
      <c r="J2671">
        <v>470</v>
      </c>
      <c r="K2671">
        <v>710</v>
      </c>
      <c r="L2671">
        <v>782</v>
      </c>
      <c r="M2671" s="1">
        <v>1815</v>
      </c>
      <c r="N2671">
        <v>147</v>
      </c>
      <c r="O2671" t="s">
        <v>3093</v>
      </c>
      <c r="P2671" s="1" t="b">
        <f>NOT(OR(Table1[[#This Row],[State]]="Other Foreign Countries", Table1[[#This Row],[State]]="Unknown", Table1[[#This Row],[State]]="Puerto Rico all counties"))</f>
        <v>1</v>
      </c>
    </row>
    <row r="2672" spans="1:16" x14ac:dyDescent="0.25">
      <c r="A2672">
        <v>27137</v>
      </c>
      <c r="B2672" t="s">
        <v>2245</v>
      </c>
      <c r="C2672" t="s">
        <v>2361</v>
      </c>
      <c r="D2672">
        <v>5704</v>
      </c>
      <c r="E2672" s="1">
        <v>2096</v>
      </c>
      <c r="F2672">
        <v>693</v>
      </c>
      <c r="G2672">
        <v>642</v>
      </c>
      <c r="H2672" s="1">
        <v>1230</v>
      </c>
      <c r="I2672" s="1">
        <v>1043</v>
      </c>
      <c r="J2672">
        <v>960</v>
      </c>
      <c r="K2672" s="1">
        <v>1568</v>
      </c>
      <c r="L2672" s="1">
        <v>3176</v>
      </c>
      <c r="M2672" s="1">
        <v>5259</v>
      </c>
      <c r="N2672">
        <v>417</v>
      </c>
      <c r="O2672" t="s">
        <v>2362</v>
      </c>
      <c r="P2672" s="1" t="b">
        <f>NOT(OR(Table1[[#This Row],[State]]="Other Foreign Countries", Table1[[#This Row],[State]]="Unknown", Table1[[#This Row],[State]]="Puerto Rico all counties"))</f>
        <v>1</v>
      </c>
    </row>
    <row r="2673" spans="1:16" x14ac:dyDescent="0.25">
      <c r="A2673">
        <v>29189</v>
      </c>
      <c r="B2673" t="s">
        <v>2510</v>
      </c>
      <c r="C2673" t="s">
        <v>2361</v>
      </c>
      <c r="D2673">
        <v>12088</v>
      </c>
      <c r="E2673" s="1">
        <v>2488</v>
      </c>
      <c r="F2673" s="1">
        <v>1461</v>
      </c>
      <c r="G2673" s="1">
        <v>1594</v>
      </c>
      <c r="H2673" s="1">
        <v>3596</v>
      </c>
      <c r="I2673" s="1">
        <v>2949</v>
      </c>
      <c r="J2673" s="1">
        <v>2974</v>
      </c>
      <c r="K2673" s="1">
        <v>3609</v>
      </c>
      <c r="L2673" s="1">
        <v>5505</v>
      </c>
      <c r="M2673" s="1">
        <v>10511</v>
      </c>
      <c r="N2673" s="1">
        <v>1574</v>
      </c>
      <c r="O2673" t="s">
        <v>2639</v>
      </c>
      <c r="P2673" s="1" t="b">
        <f>NOT(OR(Table1[[#This Row],[State]]="Other Foreign Countries", Table1[[#This Row],[State]]="Unknown", Table1[[#This Row],[State]]="Puerto Rico all counties"))</f>
        <v>1</v>
      </c>
    </row>
    <row r="2674" spans="1:16" x14ac:dyDescent="0.25">
      <c r="A2674">
        <v>29510</v>
      </c>
      <c r="B2674" t="s">
        <v>2510</v>
      </c>
      <c r="C2674" t="s">
        <v>2663</v>
      </c>
      <c r="D2674">
        <v>3360</v>
      </c>
      <c r="E2674">
        <v>671</v>
      </c>
      <c r="F2674">
        <v>404</v>
      </c>
      <c r="G2674">
        <v>454</v>
      </c>
      <c r="H2674" s="1">
        <v>1033</v>
      </c>
      <c r="I2674">
        <v>798</v>
      </c>
      <c r="J2674" s="1">
        <v>1053</v>
      </c>
      <c r="K2674" s="1">
        <v>1051</v>
      </c>
      <c r="L2674" s="1">
        <v>1256</v>
      </c>
      <c r="M2674" s="1">
        <v>2842</v>
      </c>
      <c r="N2674">
        <v>517</v>
      </c>
      <c r="O2674" t="s">
        <v>2664</v>
      </c>
      <c r="P2674" s="1" t="b">
        <f>NOT(OR(Table1[[#This Row],[State]]="Other Foreign Countries", Table1[[#This Row],[State]]="Unknown", Table1[[#This Row],[State]]="Puerto Rico all counties"))</f>
        <v>1</v>
      </c>
    </row>
    <row r="2675" spans="1:16" x14ac:dyDescent="0.25">
      <c r="A2675">
        <v>12111</v>
      </c>
      <c r="B2675" t="s">
        <v>637</v>
      </c>
      <c r="C2675" t="s">
        <v>733</v>
      </c>
      <c r="D2675">
        <v>8864</v>
      </c>
      <c r="E2675" s="1">
        <v>1770</v>
      </c>
      <c r="F2675">
        <v>764</v>
      </c>
      <c r="G2675">
        <v>960</v>
      </c>
      <c r="H2675" s="1">
        <v>2711</v>
      </c>
      <c r="I2675" s="1">
        <v>2659</v>
      </c>
      <c r="J2675" s="1">
        <v>2210</v>
      </c>
      <c r="K2675" s="1">
        <v>2705</v>
      </c>
      <c r="L2675" s="1">
        <v>3949</v>
      </c>
      <c r="M2675" s="1">
        <v>7758</v>
      </c>
      <c r="N2675" s="1">
        <v>1106</v>
      </c>
      <c r="O2675" t="s">
        <v>734</v>
      </c>
      <c r="P2675" s="1" t="b">
        <f>NOT(OR(Table1[[#This Row],[State]]="Other Foreign Countries", Table1[[#This Row],[State]]="Unknown", Table1[[#This Row],[State]]="Puerto Rico all counties"))</f>
        <v>1</v>
      </c>
    </row>
    <row r="2676" spans="1:16" x14ac:dyDescent="0.25">
      <c r="A2676">
        <v>22099</v>
      </c>
      <c r="B2676" t="s">
        <v>1892</v>
      </c>
      <c r="C2676" t="s">
        <v>1978</v>
      </c>
      <c r="D2676">
        <v>940</v>
      </c>
      <c r="E2676">
        <v>184</v>
      </c>
      <c r="F2676">
        <v>81</v>
      </c>
      <c r="G2676">
        <v>89</v>
      </c>
      <c r="H2676">
        <v>309</v>
      </c>
      <c r="I2676">
        <v>277</v>
      </c>
      <c r="J2676">
        <v>231</v>
      </c>
      <c r="K2676">
        <v>316</v>
      </c>
      <c r="L2676">
        <v>393</v>
      </c>
      <c r="M2676">
        <v>863</v>
      </c>
      <c r="N2676">
        <v>77</v>
      </c>
      <c r="O2676" t="s">
        <v>1979</v>
      </c>
      <c r="P2676" s="1" t="b">
        <f>NOT(OR(Table1[[#This Row],[State]]="Other Foreign Countries", Table1[[#This Row],[State]]="Unknown", Table1[[#This Row],[State]]="Puerto Rico all counties"))</f>
        <v>1</v>
      </c>
    </row>
    <row r="2677" spans="1:16" x14ac:dyDescent="0.25">
      <c r="A2677">
        <v>22101</v>
      </c>
      <c r="B2677" t="s">
        <v>1892</v>
      </c>
      <c r="C2677" t="s">
        <v>1980</v>
      </c>
      <c r="D2677">
        <v>705</v>
      </c>
      <c r="E2677">
        <v>180</v>
      </c>
      <c r="F2677">
        <v>70</v>
      </c>
      <c r="G2677">
        <v>73</v>
      </c>
      <c r="H2677">
        <v>219</v>
      </c>
      <c r="I2677">
        <v>163</v>
      </c>
      <c r="J2677">
        <v>134</v>
      </c>
      <c r="K2677">
        <v>220</v>
      </c>
      <c r="L2677">
        <v>351</v>
      </c>
      <c r="M2677">
        <v>634</v>
      </c>
      <c r="N2677">
        <v>71</v>
      </c>
      <c r="O2677" t="s">
        <v>1981</v>
      </c>
      <c r="P2677" s="1" t="b">
        <f>NOT(OR(Table1[[#This Row],[State]]="Other Foreign Countries", Table1[[#This Row],[State]]="Unknown", Table1[[#This Row],[State]]="Puerto Rico all counties"))</f>
        <v>1</v>
      </c>
    </row>
    <row r="2678" spans="1:16" x14ac:dyDescent="0.25">
      <c r="A2678">
        <v>24037</v>
      </c>
      <c r="B2678" t="s">
        <v>2031</v>
      </c>
      <c r="C2678" t="s">
        <v>2062</v>
      </c>
      <c r="D2678">
        <v>6141</v>
      </c>
      <c r="E2678">
        <v>946</v>
      </c>
      <c r="F2678">
        <v>665</v>
      </c>
      <c r="G2678">
        <v>788</v>
      </c>
      <c r="H2678" s="1">
        <v>1778</v>
      </c>
      <c r="I2678" s="1">
        <v>1964</v>
      </c>
      <c r="J2678" s="1">
        <v>2050</v>
      </c>
      <c r="K2678" s="1">
        <v>2875</v>
      </c>
      <c r="L2678" s="1">
        <v>1216</v>
      </c>
      <c r="M2678" s="1">
        <v>5213</v>
      </c>
      <c r="N2678">
        <v>928</v>
      </c>
      <c r="O2678" t="s">
        <v>2063</v>
      </c>
      <c r="P2678" s="1" t="b">
        <f>NOT(OR(Table1[[#This Row],[State]]="Other Foreign Countries", Table1[[#This Row],[State]]="Unknown", Table1[[#This Row],[State]]="Puerto Rico all counties"))</f>
        <v>1</v>
      </c>
    </row>
    <row r="2679" spans="1:16" x14ac:dyDescent="0.25">
      <c r="A2679">
        <v>22103</v>
      </c>
      <c r="B2679" t="s">
        <v>1892</v>
      </c>
      <c r="C2679" t="s">
        <v>1982</v>
      </c>
      <c r="D2679">
        <v>7061</v>
      </c>
      <c r="E2679" s="1">
        <v>1345</v>
      </c>
      <c r="F2679">
        <v>612</v>
      </c>
      <c r="G2679">
        <v>799</v>
      </c>
      <c r="H2679" s="1">
        <v>2173</v>
      </c>
      <c r="I2679" s="1">
        <v>2132</v>
      </c>
      <c r="J2679" s="1">
        <v>1907</v>
      </c>
      <c r="K2679" s="1">
        <v>2718</v>
      </c>
      <c r="L2679" s="1">
        <v>2436</v>
      </c>
      <c r="M2679" s="1">
        <v>6111</v>
      </c>
      <c r="N2679">
        <v>950</v>
      </c>
      <c r="O2679" t="s">
        <v>1983</v>
      </c>
      <c r="P2679" s="1" t="b">
        <f>NOT(OR(Table1[[#This Row],[State]]="Other Foreign Countries", Table1[[#This Row],[State]]="Unknown", Table1[[#This Row],[State]]="Puerto Rico all counties"))</f>
        <v>1</v>
      </c>
    </row>
    <row r="2680" spans="1:16" x14ac:dyDescent="0.25">
      <c r="A2680">
        <v>20185</v>
      </c>
      <c r="B2680" t="s">
        <v>1543</v>
      </c>
      <c r="C2680" t="s">
        <v>1692</v>
      </c>
      <c r="D2680">
        <v>50</v>
      </c>
      <c r="E2680">
        <v>12</v>
      </c>
      <c r="H2680">
        <v>14</v>
      </c>
      <c r="I2680">
        <v>10</v>
      </c>
      <c r="J2680">
        <v>14</v>
      </c>
      <c r="K2680">
        <v>12</v>
      </c>
      <c r="L2680">
        <v>24</v>
      </c>
      <c r="O2680" t="s">
        <v>1693</v>
      </c>
      <c r="P2680" s="1" t="b">
        <f>NOT(OR(Table1[[#This Row],[State]]="Other Foreign Countries", Table1[[#This Row],[State]]="Unknown", Table1[[#This Row],[State]]="Puerto Rico all counties"))</f>
        <v>1</v>
      </c>
    </row>
    <row r="2681" spans="1:16" x14ac:dyDescent="0.25">
      <c r="A2681">
        <v>51179</v>
      </c>
      <c r="B2681" t="s">
        <v>4555</v>
      </c>
      <c r="C2681" t="s">
        <v>1692</v>
      </c>
      <c r="D2681">
        <v>12753</v>
      </c>
      <c r="E2681" s="1">
        <v>1347</v>
      </c>
      <c r="F2681" s="1">
        <v>1046</v>
      </c>
      <c r="G2681" s="1">
        <v>1266</v>
      </c>
      <c r="H2681" s="1">
        <v>3408</v>
      </c>
      <c r="I2681" s="1">
        <v>5686</v>
      </c>
      <c r="J2681" s="1">
        <v>3674</v>
      </c>
      <c r="K2681" s="1">
        <v>6790</v>
      </c>
      <c r="L2681" s="1">
        <v>2289</v>
      </c>
      <c r="M2681" s="1">
        <v>10245</v>
      </c>
      <c r="N2681" s="1">
        <v>2508</v>
      </c>
      <c r="O2681" t="s">
        <v>4685</v>
      </c>
      <c r="P2681" s="1" t="b">
        <f>NOT(OR(Table1[[#This Row],[State]]="Other Foreign Countries", Table1[[#This Row],[State]]="Unknown", Table1[[#This Row],[State]]="Puerto Rico all counties"))</f>
        <v>1</v>
      </c>
    </row>
    <row r="2682" spans="1:16" x14ac:dyDescent="0.25">
      <c r="A2682">
        <v>6099</v>
      </c>
      <c r="B2682" t="s">
        <v>374</v>
      </c>
      <c r="C2682" t="s">
        <v>471</v>
      </c>
      <c r="D2682">
        <v>6048</v>
      </c>
      <c r="E2682" s="1">
        <v>1382</v>
      </c>
      <c r="F2682">
        <v>639</v>
      </c>
      <c r="G2682">
        <v>700</v>
      </c>
      <c r="H2682" s="1">
        <v>1852</v>
      </c>
      <c r="I2682" s="1">
        <v>1475</v>
      </c>
      <c r="J2682" s="1">
        <v>2002</v>
      </c>
      <c r="K2682" s="1">
        <v>1478</v>
      </c>
      <c r="L2682" s="1">
        <v>2568</v>
      </c>
      <c r="M2682" s="1">
        <v>5516</v>
      </c>
      <c r="N2682">
        <v>532</v>
      </c>
      <c r="O2682" t="s">
        <v>472</v>
      </c>
      <c r="P2682" s="1" t="b">
        <f>NOT(OR(Table1[[#This Row],[State]]="Other Foreign Countries", Table1[[#This Row],[State]]="Unknown", Table1[[#This Row],[State]]="Puerto Rico all counties"))</f>
        <v>1</v>
      </c>
    </row>
    <row r="2683" spans="1:16" x14ac:dyDescent="0.25">
      <c r="A2683">
        <v>46117</v>
      </c>
      <c r="B2683" t="s">
        <v>3846</v>
      </c>
      <c r="C2683" t="s">
        <v>3936</v>
      </c>
      <c r="D2683">
        <v>75</v>
      </c>
      <c r="E2683">
        <v>11</v>
      </c>
      <c r="F2683">
        <v>13</v>
      </c>
      <c r="G2683">
        <v>12</v>
      </c>
      <c r="H2683">
        <v>23</v>
      </c>
      <c r="I2683">
        <v>16</v>
      </c>
      <c r="L2683">
        <v>49</v>
      </c>
      <c r="O2683" t="s">
        <v>3937</v>
      </c>
      <c r="P2683" s="1" t="b">
        <f>NOT(OR(Table1[[#This Row],[State]]="Other Foreign Countries", Table1[[#This Row],[State]]="Unknown", Table1[[#This Row],[State]]="Puerto Rico all counties"))</f>
        <v>1</v>
      </c>
    </row>
    <row r="2684" spans="1:16" x14ac:dyDescent="0.25">
      <c r="A2684">
        <v>37167</v>
      </c>
      <c r="B2684" t="s">
        <v>3121</v>
      </c>
      <c r="C2684" t="s">
        <v>3258</v>
      </c>
      <c r="D2684">
        <v>1175</v>
      </c>
      <c r="E2684">
        <v>174</v>
      </c>
      <c r="F2684">
        <v>136</v>
      </c>
      <c r="G2684">
        <v>120</v>
      </c>
      <c r="H2684">
        <v>405</v>
      </c>
      <c r="I2684">
        <v>340</v>
      </c>
      <c r="J2684">
        <v>366</v>
      </c>
      <c r="K2684">
        <v>344</v>
      </c>
      <c r="L2684">
        <v>465</v>
      </c>
      <c r="M2684" s="1">
        <v>1044</v>
      </c>
      <c r="N2684">
        <v>131</v>
      </c>
      <c r="O2684" t="s">
        <v>3259</v>
      </c>
      <c r="P2684" s="1" t="b">
        <f>NOT(OR(Table1[[#This Row],[State]]="Other Foreign Countries", Table1[[#This Row],[State]]="Unknown", Table1[[#This Row],[State]]="Puerto Rico all counties"))</f>
        <v>1</v>
      </c>
    </row>
    <row r="2685" spans="1:16" x14ac:dyDescent="0.25">
      <c r="A2685">
        <v>20187</v>
      </c>
      <c r="B2685" t="s">
        <v>1543</v>
      </c>
      <c r="C2685" t="s">
        <v>1694</v>
      </c>
      <c r="D2685">
        <v>12</v>
      </c>
      <c r="O2685" t="s">
        <v>1695</v>
      </c>
      <c r="P2685" s="1" t="b">
        <f>NOT(OR(Table1[[#This Row],[State]]="Other Foreign Countries", Table1[[#This Row],[State]]="Unknown", Table1[[#This Row],[State]]="Puerto Rico all counties"))</f>
        <v>1</v>
      </c>
    </row>
    <row r="2686" spans="1:16" x14ac:dyDescent="0.25">
      <c r="A2686">
        <v>31167</v>
      </c>
      <c r="B2686" t="s">
        <v>2758</v>
      </c>
      <c r="C2686" t="s">
        <v>1694</v>
      </c>
      <c r="D2686">
        <v>132</v>
      </c>
      <c r="E2686">
        <v>61</v>
      </c>
      <c r="F2686">
        <v>11</v>
      </c>
      <c r="G2686">
        <v>22</v>
      </c>
      <c r="H2686">
        <v>28</v>
      </c>
      <c r="I2686">
        <v>10</v>
      </c>
      <c r="J2686">
        <v>22</v>
      </c>
      <c r="K2686">
        <v>33</v>
      </c>
      <c r="L2686">
        <v>77</v>
      </c>
      <c r="M2686">
        <v>121</v>
      </c>
      <c r="N2686">
        <v>11</v>
      </c>
      <c r="O2686" t="s">
        <v>2880</v>
      </c>
      <c r="P2686" s="1" t="b">
        <f>NOT(OR(Table1[[#This Row],[State]]="Other Foreign Countries", Table1[[#This Row],[State]]="Unknown", Table1[[#This Row],[State]]="Puerto Rico all counties"))</f>
        <v>1</v>
      </c>
    </row>
    <row r="2687" spans="1:16" x14ac:dyDescent="0.25">
      <c r="A2687">
        <v>17175</v>
      </c>
      <c r="B2687" t="s">
        <v>1109</v>
      </c>
      <c r="C2687" t="s">
        <v>1241</v>
      </c>
      <c r="D2687">
        <v>75</v>
      </c>
      <c r="E2687">
        <v>19</v>
      </c>
      <c r="H2687">
        <v>20</v>
      </c>
      <c r="I2687">
        <v>22</v>
      </c>
      <c r="J2687">
        <v>23</v>
      </c>
      <c r="K2687">
        <v>18</v>
      </c>
      <c r="L2687">
        <v>34</v>
      </c>
      <c r="O2687" t="s">
        <v>1242</v>
      </c>
      <c r="P2687" s="1" t="b">
        <f>NOT(OR(Table1[[#This Row],[State]]="Other Foreign Countries", Table1[[#This Row],[State]]="Unknown", Table1[[#This Row],[State]]="Puerto Rico all counties"))</f>
        <v>1</v>
      </c>
    </row>
    <row r="2688" spans="1:16" x14ac:dyDescent="0.25">
      <c r="A2688">
        <v>38089</v>
      </c>
      <c r="B2688" t="s">
        <v>3286</v>
      </c>
      <c r="C2688" t="s">
        <v>1241</v>
      </c>
      <c r="D2688">
        <v>597</v>
      </c>
      <c r="E2688">
        <v>110</v>
      </c>
      <c r="F2688">
        <v>48</v>
      </c>
      <c r="G2688">
        <v>67</v>
      </c>
      <c r="H2688">
        <v>239</v>
      </c>
      <c r="I2688">
        <v>133</v>
      </c>
      <c r="J2688">
        <v>214</v>
      </c>
      <c r="K2688">
        <v>175</v>
      </c>
      <c r="L2688">
        <v>208</v>
      </c>
      <c r="M2688">
        <v>545</v>
      </c>
      <c r="N2688">
        <v>52</v>
      </c>
      <c r="O2688" t="s">
        <v>3356</v>
      </c>
      <c r="P2688" s="1" t="b">
        <f>NOT(OR(Table1[[#This Row],[State]]="Other Foreign Countries", Table1[[#This Row],[State]]="Unknown", Table1[[#This Row],[State]]="Puerto Rico all counties"))</f>
        <v>1</v>
      </c>
    </row>
    <row r="2689" spans="1:16" x14ac:dyDescent="0.25">
      <c r="A2689">
        <v>39151</v>
      </c>
      <c r="B2689" t="s">
        <v>1343</v>
      </c>
      <c r="C2689" t="s">
        <v>1241</v>
      </c>
      <c r="D2689">
        <v>6204</v>
      </c>
      <c r="E2689" s="1">
        <v>1420</v>
      </c>
      <c r="F2689">
        <v>809</v>
      </c>
      <c r="G2689">
        <v>737</v>
      </c>
      <c r="H2689" s="1">
        <v>1835</v>
      </c>
      <c r="I2689" s="1">
        <v>1403</v>
      </c>
      <c r="J2689" s="1">
        <v>1694</v>
      </c>
      <c r="K2689" s="1">
        <v>1862</v>
      </c>
      <c r="L2689" s="1">
        <v>2648</v>
      </c>
      <c r="M2689" s="1">
        <v>5594</v>
      </c>
      <c r="N2689">
        <v>610</v>
      </c>
      <c r="O2689" t="s">
        <v>3476</v>
      </c>
      <c r="P2689" s="1" t="b">
        <f>NOT(OR(Table1[[#This Row],[State]]="Other Foreign Countries", Table1[[#This Row],[State]]="Unknown", Table1[[#This Row],[State]]="Puerto Rico all counties"))</f>
        <v>1</v>
      </c>
    </row>
    <row r="2690" spans="1:16" x14ac:dyDescent="0.25">
      <c r="A2690">
        <v>18149</v>
      </c>
      <c r="B2690" t="s">
        <v>1266</v>
      </c>
      <c r="C2690" t="s">
        <v>1369</v>
      </c>
      <c r="D2690">
        <v>398</v>
      </c>
      <c r="E2690">
        <v>95</v>
      </c>
      <c r="F2690">
        <v>48</v>
      </c>
      <c r="G2690">
        <v>55</v>
      </c>
      <c r="H2690">
        <v>113</v>
      </c>
      <c r="I2690">
        <v>87</v>
      </c>
      <c r="J2690">
        <v>96</v>
      </c>
      <c r="K2690">
        <v>100</v>
      </c>
      <c r="L2690">
        <v>202</v>
      </c>
      <c r="M2690">
        <v>370</v>
      </c>
      <c r="N2690">
        <v>28</v>
      </c>
      <c r="O2690" t="s">
        <v>1370</v>
      </c>
      <c r="P2690" s="1" t="b">
        <f>NOT(OR(Table1[[#This Row],[State]]="Other Foreign Countries", Table1[[#This Row],[State]]="Unknown", Table1[[#This Row],[State]]="Puerto Rico all counties"))</f>
        <v>1</v>
      </c>
    </row>
    <row r="2691" spans="1:16" x14ac:dyDescent="0.25">
      <c r="A2691">
        <v>48427</v>
      </c>
      <c r="B2691" t="s">
        <v>2654</v>
      </c>
      <c r="C2691" t="s">
        <v>4416</v>
      </c>
      <c r="D2691">
        <v>382</v>
      </c>
      <c r="E2691">
        <v>67</v>
      </c>
      <c r="F2691">
        <v>35</v>
      </c>
      <c r="G2691">
        <v>32</v>
      </c>
      <c r="H2691">
        <v>131</v>
      </c>
      <c r="I2691">
        <v>117</v>
      </c>
      <c r="J2691">
        <v>113</v>
      </c>
      <c r="K2691">
        <v>108</v>
      </c>
      <c r="L2691">
        <v>161</v>
      </c>
      <c r="M2691">
        <v>362</v>
      </c>
      <c r="N2691">
        <v>20</v>
      </c>
      <c r="O2691" t="s">
        <v>4417</v>
      </c>
      <c r="P2691" s="1" t="b">
        <f>NOT(OR(Table1[[#This Row],[State]]="Other Foreign Countries", Table1[[#This Row],[State]]="Unknown", Table1[[#This Row],[State]]="Puerto Rico all counties"))</f>
        <v>1</v>
      </c>
    </row>
    <row r="2692" spans="1:16" x14ac:dyDescent="0.25">
      <c r="A2692">
        <v>51790</v>
      </c>
      <c r="B2692" t="s">
        <v>4555</v>
      </c>
      <c r="C2692" t="s">
        <v>4760</v>
      </c>
      <c r="D2692">
        <v>421</v>
      </c>
      <c r="E2692">
        <v>98</v>
      </c>
      <c r="F2692">
        <v>59</v>
      </c>
      <c r="G2692">
        <v>46</v>
      </c>
      <c r="H2692">
        <v>132</v>
      </c>
      <c r="I2692">
        <v>86</v>
      </c>
      <c r="J2692">
        <v>117</v>
      </c>
      <c r="K2692">
        <v>136</v>
      </c>
      <c r="L2692">
        <v>168</v>
      </c>
      <c r="M2692">
        <v>358</v>
      </c>
      <c r="N2692">
        <v>63</v>
      </c>
      <c r="O2692" t="s">
        <v>4761</v>
      </c>
      <c r="P2692" s="1" t="b">
        <f>NOT(OR(Table1[[#This Row],[State]]="Other Foreign Countries", Table1[[#This Row],[State]]="Unknown", Table1[[#This Row],[State]]="Puerto Rico all counties"))</f>
        <v>1</v>
      </c>
    </row>
    <row r="2693" spans="1:16" x14ac:dyDescent="0.25">
      <c r="A2693">
        <v>29186</v>
      </c>
      <c r="B2693" t="s">
        <v>2510</v>
      </c>
      <c r="C2693" t="s">
        <v>2635</v>
      </c>
      <c r="D2693">
        <v>403</v>
      </c>
      <c r="E2693">
        <v>90</v>
      </c>
      <c r="F2693">
        <v>44</v>
      </c>
      <c r="G2693">
        <v>57</v>
      </c>
      <c r="H2693">
        <v>113</v>
      </c>
      <c r="I2693">
        <v>99</v>
      </c>
      <c r="J2693">
        <v>84</v>
      </c>
      <c r="K2693">
        <v>114</v>
      </c>
      <c r="L2693">
        <v>205</v>
      </c>
      <c r="M2693">
        <v>372</v>
      </c>
      <c r="N2693">
        <v>31</v>
      </c>
      <c r="O2693" t="s">
        <v>2636</v>
      </c>
      <c r="P2693" s="1" t="b">
        <f>NOT(OR(Table1[[#This Row],[State]]="Other Foreign Countries", Table1[[#This Row],[State]]="Unknown", Table1[[#This Row],[State]]="Puerto Rico all counties"))</f>
        <v>1</v>
      </c>
    </row>
    <row r="2694" spans="1:16" x14ac:dyDescent="0.25">
      <c r="A2694">
        <v>27145</v>
      </c>
      <c r="B2694" t="s">
        <v>2245</v>
      </c>
      <c r="C2694" t="s">
        <v>2368</v>
      </c>
      <c r="D2694">
        <v>4755</v>
      </c>
      <c r="E2694" s="1">
        <v>1991</v>
      </c>
      <c r="F2694">
        <v>501</v>
      </c>
      <c r="G2694">
        <v>464</v>
      </c>
      <c r="H2694" s="1">
        <v>1030</v>
      </c>
      <c r="I2694">
        <v>769</v>
      </c>
      <c r="J2694">
        <v>811</v>
      </c>
      <c r="K2694" s="1">
        <v>1119</v>
      </c>
      <c r="L2694" s="1">
        <v>2825</v>
      </c>
      <c r="M2694" s="1">
        <v>4412</v>
      </c>
      <c r="N2694">
        <v>340</v>
      </c>
      <c r="O2694" t="s">
        <v>2369</v>
      </c>
      <c r="P2694" s="1" t="b">
        <f>NOT(OR(Table1[[#This Row],[State]]="Other Foreign Countries", Table1[[#This Row],[State]]="Unknown", Table1[[#This Row],[State]]="Puerto Rico all counties"))</f>
        <v>1</v>
      </c>
    </row>
    <row r="2695" spans="1:16" x14ac:dyDescent="0.25">
      <c r="A2695">
        <v>27147</v>
      </c>
      <c r="B2695" t="s">
        <v>2245</v>
      </c>
      <c r="C2695" t="s">
        <v>2370</v>
      </c>
      <c r="D2695">
        <v>746</v>
      </c>
      <c r="E2695">
        <v>280</v>
      </c>
      <c r="F2695">
        <v>117</v>
      </c>
      <c r="G2695">
        <v>90</v>
      </c>
      <c r="H2695">
        <v>167</v>
      </c>
      <c r="I2695">
        <v>92</v>
      </c>
      <c r="J2695">
        <v>189</v>
      </c>
      <c r="K2695">
        <v>178</v>
      </c>
      <c r="L2695">
        <v>379</v>
      </c>
      <c r="M2695">
        <v>697</v>
      </c>
      <c r="N2695">
        <v>49</v>
      </c>
      <c r="O2695" t="s">
        <v>2371</v>
      </c>
      <c r="P2695" s="1" t="b">
        <f>NOT(OR(Table1[[#This Row],[State]]="Other Foreign Countries", Table1[[#This Row],[State]]="Unknown", Table1[[#This Row],[State]]="Puerto Rico all counties"))</f>
        <v>1</v>
      </c>
    </row>
    <row r="2696" spans="1:16" x14ac:dyDescent="0.25">
      <c r="A2696">
        <v>38091</v>
      </c>
      <c r="B2696" t="s">
        <v>3286</v>
      </c>
      <c r="C2696" t="s">
        <v>2370</v>
      </c>
      <c r="D2696">
        <v>57</v>
      </c>
      <c r="E2696">
        <v>20</v>
      </c>
      <c r="H2696">
        <v>11</v>
      </c>
      <c r="I2696">
        <v>15</v>
      </c>
      <c r="L2696">
        <v>43</v>
      </c>
      <c r="O2696" t="s">
        <v>3357</v>
      </c>
      <c r="P2696" s="1" t="b">
        <f>NOT(OR(Table1[[#This Row],[State]]="Other Foreign Countries", Table1[[#This Row],[State]]="Unknown", Table1[[#This Row],[State]]="Puerto Rico all counties"))</f>
        <v>1</v>
      </c>
    </row>
    <row r="2697" spans="1:16" x14ac:dyDescent="0.25">
      <c r="A2697">
        <v>13257</v>
      </c>
      <c r="B2697" t="s">
        <v>754</v>
      </c>
      <c r="C2697" t="s">
        <v>964</v>
      </c>
      <c r="D2697">
        <v>528</v>
      </c>
      <c r="E2697">
        <v>130</v>
      </c>
      <c r="F2697">
        <v>63</v>
      </c>
      <c r="G2697">
        <v>56</v>
      </c>
      <c r="H2697">
        <v>156</v>
      </c>
      <c r="I2697">
        <v>123</v>
      </c>
      <c r="J2697">
        <v>125</v>
      </c>
      <c r="K2697">
        <v>132</v>
      </c>
      <c r="L2697">
        <v>271</v>
      </c>
      <c r="M2697">
        <v>482</v>
      </c>
      <c r="N2697">
        <v>46</v>
      </c>
      <c r="O2697" t="s">
        <v>965</v>
      </c>
      <c r="P2697" s="1" t="b">
        <f>NOT(OR(Table1[[#This Row],[State]]="Other Foreign Countries", Table1[[#This Row],[State]]="Unknown", Table1[[#This Row],[State]]="Puerto Rico all counties"))</f>
        <v>1</v>
      </c>
    </row>
    <row r="2698" spans="1:16" x14ac:dyDescent="0.25">
      <c r="A2698">
        <v>40137</v>
      </c>
      <c r="B2698" t="s">
        <v>3495</v>
      </c>
      <c r="C2698" t="s">
        <v>964</v>
      </c>
      <c r="D2698">
        <v>1526</v>
      </c>
      <c r="E2698">
        <v>251</v>
      </c>
      <c r="F2698">
        <v>137</v>
      </c>
      <c r="G2698">
        <v>160</v>
      </c>
      <c r="H2698">
        <v>452</v>
      </c>
      <c r="I2698">
        <v>526</v>
      </c>
      <c r="J2698">
        <v>304</v>
      </c>
      <c r="K2698">
        <v>471</v>
      </c>
      <c r="L2698">
        <v>750</v>
      </c>
      <c r="M2698" s="1">
        <v>1400</v>
      </c>
      <c r="N2698">
        <v>126</v>
      </c>
      <c r="O2698" t="s">
        <v>3598</v>
      </c>
      <c r="P2698" s="1" t="b">
        <f>NOT(OR(Table1[[#This Row],[State]]="Other Foreign Countries", Table1[[#This Row],[State]]="Unknown", Table1[[#This Row],[State]]="Puerto Rico all counties"))</f>
        <v>1</v>
      </c>
    </row>
    <row r="2699" spans="1:16" x14ac:dyDescent="0.25">
      <c r="A2699">
        <v>48429</v>
      </c>
      <c r="B2699" t="s">
        <v>2654</v>
      </c>
      <c r="C2699" t="s">
        <v>964</v>
      </c>
      <c r="D2699">
        <v>165</v>
      </c>
      <c r="E2699">
        <v>26</v>
      </c>
      <c r="F2699">
        <v>20</v>
      </c>
      <c r="G2699">
        <v>19</v>
      </c>
      <c r="H2699">
        <v>64</v>
      </c>
      <c r="I2699">
        <v>36</v>
      </c>
      <c r="J2699">
        <v>36</v>
      </c>
      <c r="K2699">
        <v>41</v>
      </c>
      <c r="L2699">
        <v>88</v>
      </c>
      <c r="M2699">
        <v>155</v>
      </c>
      <c r="N2699">
        <v>10</v>
      </c>
      <c r="O2699" t="s">
        <v>4418</v>
      </c>
      <c r="P2699" s="1" t="b">
        <f>NOT(OR(Table1[[#This Row],[State]]="Other Foreign Countries", Table1[[#This Row],[State]]="Unknown", Table1[[#This Row],[State]]="Puerto Rico all counties"))</f>
        <v>1</v>
      </c>
    </row>
    <row r="2700" spans="1:16" x14ac:dyDescent="0.25">
      <c r="A2700">
        <v>17177</v>
      </c>
      <c r="B2700" t="s">
        <v>1109</v>
      </c>
      <c r="C2700" t="s">
        <v>1243</v>
      </c>
      <c r="D2700">
        <v>575</v>
      </c>
      <c r="E2700">
        <v>145</v>
      </c>
      <c r="F2700">
        <v>93</v>
      </c>
      <c r="G2700">
        <v>64</v>
      </c>
      <c r="H2700">
        <v>154</v>
      </c>
      <c r="I2700">
        <v>119</v>
      </c>
      <c r="J2700">
        <v>144</v>
      </c>
      <c r="K2700">
        <v>141</v>
      </c>
      <c r="L2700">
        <v>290</v>
      </c>
      <c r="M2700">
        <v>521</v>
      </c>
      <c r="N2700">
        <v>54</v>
      </c>
      <c r="O2700" t="s">
        <v>1244</v>
      </c>
      <c r="P2700" s="1" t="b">
        <f>NOT(OR(Table1[[#This Row],[State]]="Other Foreign Countries", Table1[[#This Row],[State]]="Unknown", Table1[[#This Row],[State]]="Puerto Rico all counties"))</f>
        <v>1</v>
      </c>
    </row>
    <row r="2701" spans="1:16" x14ac:dyDescent="0.25">
      <c r="A2701">
        <v>48431</v>
      </c>
      <c r="B2701" t="s">
        <v>2654</v>
      </c>
      <c r="C2701" t="s">
        <v>4419</v>
      </c>
      <c r="D2701">
        <v>14</v>
      </c>
      <c r="O2701" t="s">
        <v>4420</v>
      </c>
      <c r="P2701" s="1" t="b">
        <f>NOT(OR(Table1[[#This Row],[State]]="Other Foreign Countries", Table1[[#This Row],[State]]="Unknown", Table1[[#This Row],[State]]="Puerto Rico all counties"))</f>
        <v>1</v>
      </c>
    </row>
    <row r="2702" spans="1:16" x14ac:dyDescent="0.25">
      <c r="A2702">
        <v>18151</v>
      </c>
      <c r="B2702" t="s">
        <v>1266</v>
      </c>
      <c r="C2702" t="s">
        <v>1371</v>
      </c>
      <c r="D2702">
        <v>685</v>
      </c>
      <c r="E2702">
        <v>211</v>
      </c>
      <c r="F2702">
        <v>84</v>
      </c>
      <c r="G2702">
        <v>100</v>
      </c>
      <c r="H2702">
        <v>156</v>
      </c>
      <c r="I2702">
        <v>134</v>
      </c>
      <c r="J2702">
        <v>154</v>
      </c>
      <c r="K2702">
        <v>177</v>
      </c>
      <c r="L2702">
        <v>354</v>
      </c>
      <c r="M2702">
        <v>643</v>
      </c>
      <c r="N2702">
        <v>42</v>
      </c>
      <c r="O2702" t="s">
        <v>1372</v>
      </c>
      <c r="P2702" s="1" t="b">
        <f>NOT(OR(Table1[[#This Row],[State]]="Other Foreign Countries", Table1[[#This Row],[State]]="Unknown", Table1[[#This Row],[State]]="Puerto Rico all counties"))</f>
        <v>1</v>
      </c>
    </row>
    <row r="2703" spans="1:16" x14ac:dyDescent="0.25">
      <c r="A2703">
        <v>36101</v>
      </c>
      <c r="B2703" t="s">
        <v>3029</v>
      </c>
      <c r="C2703" t="s">
        <v>1371</v>
      </c>
      <c r="D2703">
        <v>2120</v>
      </c>
      <c r="E2703">
        <v>391</v>
      </c>
      <c r="F2703">
        <v>224</v>
      </c>
      <c r="G2703">
        <v>244</v>
      </c>
      <c r="H2703">
        <v>707</v>
      </c>
      <c r="I2703">
        <v>554</v>
      </c>
      <c r="J2703">
        <v>549</v>
      </c>
      <c r="K2703">
        <v>666</v>
      </c>
      <c r="L2703">
        <v>905</v>
      </c>
      <c r="M2703" s="1">
        <v>1883</v>
      </c>
      <c r="N2703">
        <v>237</v>
      </c>
      <c r="O2703" t="s">
        <v>3103</v>
      </c>
      <c r="P2703" s="1" t="b">
        <f>NOT(OR(Table1[[#This Row],[State]]="Other Foreign Countries", Table1[[#This Row],[State]]="Unknown", Table1[[#This Row],[State]]="Puerto Rico all counties"))</f>
        <v>1</v>
      </c>
    </row>
    <row r="2704" spans="1:16" x14ac:dyDescent="0.25">
      <c r="A2704">
        <v>20189</v>
      </c>
      <c r="B2704" t="s">
        <v>1543</v>
      </c>
      <c r="C2704" t="s">
        <v>1696</v>
      </c>
      <c r="D2704">
        <v>34</v>
      </c>
      <c r="H2704">
        <v>10</v>
      </c>
      <c r="K2704">
        <v>14</v>
      </c>
      <c r="O2704" t="s">
        <v>1697</v>
      </c>
      <c r="P2704" s="1" t="b">
        <f>NOT(OR(Table1[[#This Row],[State]]="Other Foreign Countries", Table1[[#This Row],[State]]="Unknown", Table1[[#This Row],[State]]="Puerto Rico all counties"))</f>
        <v>1</v>
      </c>
    </row>
    <row r="2705" spans="1:16" x14ac:dyDescent="0.25">
      <c r="A2705">
        <v>27149</v>
      </c>
      <c r="B2705" t="s">
        <v>2245</v>
      </c>
      <c r="C2705" t="s">
        <v>1696</v>
      </c>
      <c r="D2705">
        <v>139</v>
      </c>
      <c r="E2705">
        <v>61</v>
      </c>
      <c r="F2705">
        <v>26</v>
      </c>
      <c r="H2705">
        <v>26</v>
      </c>
      <c r="J2705">
        <v>20</v>
      </c>
      <c r="K2705">
        <v>28</v>
      </c>
      <c r="L2705">
        <v>91</v>
      </c>
      <c r="O2705" t="s">
        <v>2372</v>
      </c>
      <c r="P2705" s="1" t="b">
        <f>NOT(OR(Table1[[#This Row],[State]]="Other Foreign Countries", Table1[[#This Row],[State]]="Unknown", Table1[[#This Row],[State]]="Puerto Rico all counties"))</f>
        <v>1</v>
      </c>
    </row>
    <row r="2706" spans="1:16" x14ac:dyDescent="0.25">
      <c r="A2706">
        <v>53065</v>
      </c>
      <c r="B2706" t="s">
        <v>144</v>
      </c>
      <c r="C2706" t="s">
        <v>1696</v>
      </c>
      <c r="D2706">
        <v>1934</v>
      </c>
      <c r="E2706">
        <v>393</v>
      </c>
      <c r="F2706">
        <v>180</v>
      </c>
      <c r="G2706">
        <v>226</v>
      </c>
      <c r="H2706">
        <v>576</v>
      </c>
      <c r="I2706">
        <v>559</v>
      </c>
      <c r="J2706">
        <v>359</v>
      </c>
      <c r="K2706">
        <v>598</v>
      </c>
      <c r="L2706">
        <v>977</v>
      </c>
      <c r="M2706" s="1">
        <v>1737</v>
      </c>
      <c r="N2706">
        <v>196</v>
      </c>
      <c r="O2706" t="s">
        <v>4821</v>
      </c>
      <c r="P2706" s="1" t="b">
        <f>NOT(OR(Table1[[#This Row],[State]]="Other Foreign Countries", Table1[[#This Row],[State]]="Unknown", Table1[[#This Row],[State]]="Puerto Rico all counties"))</f>
        <v>1</v>
      </c>
    </row>
    <row r="2707" spans="1:16" x14ac:dyDescent="0.25">
      <c r="A2707">
        <v>13259</v>
      </c>
      <c r="B2707" t="s">
        <v>754</v>
      </c>
      <c r="C2707" t="s">
        <v>966</v>
      </c>
      <c r="D2707">
        <v>126</v>
      </c>
      <c r="E2707">
        <v>18</v>
      </c>
      <c r="H2707">
        <v>33</v>
      </c>
      <c r="I2707">
        <v>57</v>
      </c>
      <c r="J2707">
        <v>21</v>
      </c>
      <c r="K2707">
        <v>53</v>
      </c>
      <c r="L2707">
        <v>52</v>
      </c>
      <c r="M2707">
        <v>109</v>
      </c>
      <c r="N2707">
        <v>17</v>
      </c>
      <c r="O2707" t="s">
        <v>967</v>
      </c>
      <c r="P2707" s="1" t="b">
        <f>NOT(OR(Table1[[#This Row],[State]]="Other Foreign Countries", Table1[[#This Row],[State]]="Unknown", Table1[[#This Row],[State]]="Puerto Rico all counties"))</f>
        <v>1</v>
      </c>
    </row>
    <row r="2708" spans="1:16" x14ac:dyDescent="0.25">
      <c r="A2708">
        <v>47161</v>
      </c>
      <c r="B2708" t="s">
        <v>3951</v>
      </c>
      <c r="C2708" t="s">
        <v>966</v>
      </c>
      <c r="D2708">
        <v>1126</v>
      </c>
      <c r="E2708">
        <v>136</v>
      </c>
      <c r="F2708">
        <v>94</v>
      </c>
      <c r="G2708">
        <v>106</v>
      </c>
      <c r="H2708">
        <v>361</v>
      </c>
      <c r="I2708">
        <v>429</v>
      </c>
      <c r="J2708">
        <v>300</v>
      </c>
      <c r="K2708">
        <v>478</v>
      </c>
      <c r="L2708">
        <v>348</v>
      </c>
      <c r="M2708">
        <v>973</v>
      </c>
      <c r="N2708">
        <v>153</v>
      </c>
      <c r="O2708" t="s">
        <v>4055</v>
      </c>
      <c r="P2708" s="1" t="b">
        <f>NOT(OR(Table1[[#This Row],[State]]="Other Foreign Countries", Table1[[#This Row],[State]]="Unknown", Table1[[#This Row],[State]]="Puerto Rico all counties"))</f>
        <v>1</v>
      </c>
    </row>
    <row r="2709" spans="1:16" x14ac:dyDescent="0.25">
      <c r="A2709">
        <v>30095</v>
      </c>
      <c r="B2709" t="s">
        <v>2665</v>
      </c>
      <c r="C2709" t="s">
        <v>2742</v>
      </c>
      <c r="D2709">
        <v>288</v>
      </c>
      <c r="E2709">
        <v>77</v>
      </c>
      <c r="F2709">
        <v>29</v>
      </c>
      <c r="G2709">
        <v>28</v>
      </c>
      <c r="H2709">
        <v>80</v>
      </c>
      <c r="I2709">
        <v>74</v>
      </c>
      <c r="J2709">
        <v>66</v>
      </c>
      <c r="K2709">
        <v>79</v>
      </c>
      <c r="L2709">
        <v>143</v>
      </c>
      <c r="M2709">
        <v>263</v>
      </c>
      <c r="N2709">
        <v>25</v>
      </c>
      <c r="O2709" t="s">
        <v>2743</v>
      </c>
      <c r="P2709" s="1" t="b">
        <f>NOT(OR(Table1[[#This Row],[State]]="Other Foreign Countries", Table1[[#This Row],[State]]="Unknown", Table1[[#This Row],[State]]="Puerto Rico all counties"))</f>
        <v>1</v>
      </c>
    </row>
    <row r="2710" spans="1:16" x14ac:dyDescent="0.25">
      <c r="A2710">
        <v>29207</v>
      </c>
      <c r="B2710" t="s">
        <v>2510</v>
      </c>
      <c r="C2710" t="s">
        <v>2648</v>
      </c>
      <c r="D2710">
        <v>814</v>
      </c>
      <c r="E2710">
        <v>179</v>
      </c>
      <c r="F2710">
        <v>81</v>
      </c>
      <c r="G2710">
        <v>108</v>
      </c>
      <c r="H2710">
        <v>241</v>
      </c>
      <c r="I2710">
        <v>205</v>
      </c>
      <c r="J2710">
        <v>155</v>
      </c>
      <c r="K2710">
        <v>227</v>
      </c>
      <c r="L2710">
        <v>432</v>
      </c>
      <c r="M2710">
        <v>749</v>
      </c>
      <c r="N2710">
        <v>65</v>
      </c>
      <c r="O2710" t="s">
        <v>2649</v>
      </c>
      <c r="P2710" s="1" t="b">
        <f>NOT(OR(Table1[[#This Row],[State]]="Other Foreign Countries", Table1[[#This Row],[State]]="Unknown", Table1[[#This Row],[State]]="Puerto Rico all counties"))</f>
        <v>1</v>
      </c>
    </row>
    <row r="2711" spans="1:16" x14ac:dyDescent="0.25">
      <c r="A2711">
        <v>37169</v>
      </c>
      <c r="B2711" t="s">
        <v>3121</v>
      </c>
      <c r="C2711" t="s">
        <v>3260</v>
      </c>
      <c r="D2711">
        <v>999</v>
      </c>
      <c r="E2711">
        <v>166</v>
      </c>
      <c r="F2711">
        <v>99</v>
      </c>
      <c r="G2711">
        <v>126</v>
      </c>
      <c r="H2711">
        <v>315</v>
      </c>
      <c r="I2711">
        <v>293</v>
      </c>
      <c r="J2711">
        <v>269</v>
      </c>
      <c r="K2711">
        <v>273</v>
      </c>
      <c r="L2711">
        <v>457</v>
      </c>
      <c r="M2711">
        <v>900</v>
      </c>
      <c r="N2711">
        <v>99</v>
      </c>
      <c r="O2711" t="s">
        <v>3261</v>
      </c>
      <c r="P2711" s="1" t="b">
        <f>NOT(OR(Table1[[#This Row],[State]]="Other Foreign Countries", Table1[[#This Row],[State]]="Unknown", Table1[[#This Row],[State]]="Puerto Rico all counties"))</f>
        <v>1</v>
      </c>
    </row>
    <row r="2712" spans="1:16" x14ac:dyDescent="0.25">
      <c r="A2712">
        <v>5137</v>
      </c>
      <c r="B2712" t="s">
        <v>242</v>
      </c>
      <c r="C2712" t="s">
        <v>361</v>
      </c>
      <c r="D2712">
        <v>343</v>
      </c>
      <c r="E2712">
        <v>43</v>
      </c>
      <c r="F2712">
        <v>28</v>
      </c>
      <c r="G2712">
        <v>37</v>
      </c>
      <c r="H2712">
        <v>123</v>
      </c>
      <c r="I2712">
        <v>112</v>
      </c>
      <c r="J2712">
        <v>52</v>
      </c>
      <c r="K2712">
        <v>117</v>
      </c>
      <c r="L2712">
        <v>174</v>
      </c>
      <c r="M2712">
        <v>300</v>
      </c>
      <c r="N2712">
        <v>43</v>
      </c>
      <c r="O2712" t="s">
        <v>362</v>
      </c>
      <c r="P2712" s="1" t="b">
        <f>NOT(OR(Table1[[#This Row],[State]]="Other Foreign Countries", Table1[[#This Row],[State]]="Unknown", Table1[[#This Row],[State]]="Puerto Rico all counties"))</f>
        <v>1</v>
      </c>
    </row>
    <row r="2713" spans="1:16" x14ac:dyDescent="0.25">
      <c r="A2713">
        <v>28131</v>
      </c>
      <c r="B2713" t="s">
        <v>322</v>
      </c>
      <c r="C2713" t="s">
        <v>361</v>
      </c>
      <c r="D2713">
        <v>660</v>
      </c>
      <c r="E2713">
        <v>96</v>
      </c>
      <c r="F2713">
        <v>64</v>
      </c>
      <c r="G2713">
        <v>84</v>
      </c>
      <c r="H2713">
        <v>213</v>
      </c>
      <c r="I2713">
        <v>203</v>
      </c>
      <c r="J2713">
        <v>156</v>
      </c>
      <c r="K2713">
        <v>262</v>
      </c>
      <c r="L2713">
        <v>242</v>
      </c>
      <c r="M2713">
        <v>587</v>
      </c>
      <c r="N2713">
        <v>72</v>
      </c>
      <c r="O2713" t="s">
        <v>2484</v>
      </c>
      <c r="P2713" s="1" t="b">
        <f>NOT(OR(Table1[[#This Row],[State]]="Other Foreign Countries", Table1[[#This Row],[State]]="Unknown", Table1[[#This Row],[State]]="Puerto Rico all counties"))</f>
        <v>1</v>
      </c>
    </row>
    <row r="2714" spans="1:16" x14ac:dyDescent="0.25">
      <c r="A2714">
        <v>29209</v>
      </c>
      <c r="B2714" t="s">
        <v>2510</v>
      </c>
      <c r="C2714" t="s">
        <v>361</v>
      </c>
      <c r="D2714">
        <v>919</v>
      </c>
      <c r="E2714">
        <v>235</v>
      </c>
      <c r="F2714">
        <v>94</v>
      </c>
      <c r="G2714">
        <v>122</v>
      </c>
      <c r="H2714">
        <v>277</v>
      </c>
      <c r="I2714">
        <v>191</v>
      </c>
      <c r="J2714">
        <v>130</v>
      </c>
      <c r="K2714">
        <v>274</v>
      </c>
      <c r="L2714">
        <v>515</v>
      </c>
      <c r="M2714">
        <v>834</v>
      </c>
      <c r="N2714">
        <v>85</v>
      </c>
      <c r="O2714" t="s">
        <v>2650</v>
      </c>
      <c r="P2714" s="1" t="b">
        <f>NOT(OR(Table1[[#This Row],[State]]="Other Foreign Countries", Table1[[#This Row],[State]]="Unknown", Table1[[#This Row],[State]]="Puerto Rico all counties"))</f>
        <v>1</v>
      </c>
    </row>
    <row r="2715" spans="1:16" x14ac:dyDescent="0.25">
      <c r="A2715">
        <v>48433</v>
      </c>
      <c r="B2715" t="s">
        <v>2654</v>
      </c>
      <c r="C2715" t="s">
        <v>4421</v>
      </c>
      <c r="D2715">
        <v>15</v>
      </c>
      <c r="O2715" t="s">
        <v>4422</v>
      </c>
      <c r="P2715" s="1" t="b">
        <f>NOT(OR(Table1[[#This Row],[State]]="Other Foreign Countries", Table1[[#This Row],[State]]="Unknown", Table1[[#This Row],[State]]="Puerto Rico all counties"))</f>
        <v>1</v>
      </c>
    </row>
    <row r="2716" spans="1:16" x14ac:dyDescent="0.25">
      <c r="A2716">
        <v>32029</v>
      </c>
      <c r="B2716" t="s">
        <v>326</v>
      </c>
      <c r="C2716" t="s">
        <v>2912</v>
      </c>
      <c r="D2716">
        <v>173</v>
      </c>
      <c r="E2716">
        <v>39</v>
      </c>
      <c r="F2716">
        <v>17</v>
      </c>
      <c r="G2716">
        <v>18</v>
      </c>
      <c r="H2716">
        <v>49</v>
      </c>
      <c r="I2716">
        <v>50</v>
      </c>
      <c r="J2716">
        <v>42</v>
      </c>
      <c r="K2716">
        <v>43</v>
      </c>
      <c r="L2716">
        <v>88</v>
      </c>
      <c r="M2716">
        <v>156</v>
      </c>
      <c r="N2716">
        <v>17</v>
      </c>
      <c r="O2716" t="s">
        <v>2913</v>
      </c>
      <c r="P2716" s="1" t="b">
        <f>NOT(OR(Table1[[#This Row],[State]]="Other Foreign Countries", Table1[[#This Row],[State]]="Unknown", Table1[[#This Row],[State]]="Puerto Rico all counties"))</f>
        <v>1</v>
      </c>
    </row>
    <row r="2717" spans="1:16" x14ac:dyDescent="0.25">
      <c r="A2717">
        <v>19169</v>
      </c>
      <c r="B2717" t="s">
        <v>1399</v>
      </c>
      <c r="C2717" t="s">
        <v>1522</v>
      </c>
      <c r="D2717">
        <v>1101</v>
      </c>
      <c r="E2717">
        <v>332</v>
      </c>
      <c r="F2717">
        <v>156</v>
      </c>
      <c r="G2717">
        <v>158</v>
      </c>
      <c r="H2717">
        <v>266</v>
      </c>
      <c r="I2717">
        <v>189</v>
      </c>
      <c r="J2717">
        <v>341</v>
      </c>
      <c r="K2717">
        <v>280</v>
      </c>
      <c r="L2717">
        <v>480</v>
      </c>
      <c r="M2717" s="1">
        <v>1009</v>
      </c>
      <c r="N2717">
        <v>92</v>
      </c>
      <c r="O2717" t="s">
        <v>1523</v>
      </c>
      <c r="P2717" s="1" t="b">
        <f>NOT(OR(Table1[[#This Row],[State]]="Other Foreign Countries", Table1[[#This Row],[State]]="Unknown", Table1[[#This Row],[State]]="Puerto Rico all counties"))</f>
        <v>1</v>
      </c>
    </row>
    <row r="2718" spans="1:16" x14ac:dyDescent="0.25">
      <c r="A2718">
        <v>33017</v>
      </c>
      <c r="B2718" t="s">
        <v>2920</v>
      </c>
      <c r="C2718" t="s">
        <v>2935</v>
      </c>
      <c r="D2718">
        <v>2737</v>
      </c>
      <c r="E2718">
        <v>653</v>
      </c>
      <c r="F2718">
        <v>367</v>
      </c>
      <c r="G2718">
        <v>379</v>
      </c>
      <c r="H2718">
        <v>793</v>
      </c>
      <c r="I2718">
        <v>545</v>
      </c>
      <c r="J2718">
        <v>847</v>
      </c>
      <c r="K2718">
        <v>799</v>
      </c>
      <c r="L2718" s="1">
        <v>1091</v>
      </c>
      <c r="M2718" s="1">
        <v>2456</v>
      </c>
      <c r="N2718">
        <v>281</v>
      </c>
      <c r="O2718" t="s">
        <v>2936</v>
      </c>
      <c r="P2718" s="1" t="b">
        <f>NOT(OR(Table1[[#This Row],[State]]="Other Foreign Countries", Table1[[#This Row],[State]]="Unknown", Table1[[#This Row],[State]]="Puerto Rico all counties"))</f>
        <v>1</v>
      </c>
    </row>
    <row r="2719" spans="1:16" x14ac:dyDescent="0.25">
      <c r="A2719">
        <v>38093</v>
      </c>
      <c r="B2719" t="s">
        <v>3286</v>
      </c>
      <c r="C2719" t="s">
        <v>3358</v>
      </c>
      <c r="D2719">
        <v>392</v>
      </c>
      <c r="E2719">
        <v>118</v>
      </c>
      <c r="F2719">
        <v>45</v>
      </c>
      <c r="G2719">
        <v>58</v>
      </c>
      <c r="H2719">
        <v>106</v>
      </c>
      <c r="I2719">
        <v>65</v>
      </c>
      <c r="J2719">
        <v>77</v>
      </c>
      <c r="K2719">
        <v>115</v>
      </c>
      <c r="L2719">
        <v>200</v>
      </c>
      <c r="M2719">
        <v>366</v>
      </c>
      <c r="N2719">
        <v>26</v>
      </c>
      <c r="O2719" t="s">
        <v>3359</v>
      </c>
      <c r="P2719" s="1" t="b">
        <f>NOT(OR(Table1[[#This Row],[State]]="Other Foreign Countries", Table1[[#This Row],[State]]="Unknown", Table1[[#This Row],[State]]="Puerto Rico all counties"))</f>
        <v>1</v>
      </c>
    </row>
    <row r="2720" spans="1:16" x14ac:dyDescent="0.25">
      <c r="A2720">
        <v>56035</v>
      </c>
      <c r="B2720" t="s">
        <v>3117</v>
      </c>
      <c r="C2720" t="s">
        <v>5036</v>
      </c>
      <c r="D2720">
        <v>225</v>
      </c>
      <c r="E2720">
        <v>65</v>
      </c>
      <c r="F2720">
        <v>25</v>
      </c>
      <c r="G2720">
        <v>26</v>
      </c>
      <c r="H2720">
        <v>60</v>
      </c>
      <c r="I2720">
        <v>49</v>
      </c>
      <c r="J2720">
        <v>53</v>
      </c>
      <c r="K2720">
        <v>74</v>
      </c>
      <c r="L2720">
        <v>98</v>
      </c>
      <c r="M2720">
        <v>204</v>
      </c>
      <c r="N2720">
        <v>21</v>
      </c>
      <c r="O2720" t="s">
        <v>5037</v>
      </c>
      <c r="P2720" s="1" t="b">
        <f>NOT(OR(Table1[[#This Row],[State]]="Other Foreign Countries", Table1[[#This Row],[State]]="Unknown", Table1[[#This Row],[State]]="Puerto Rico all counties"))</f>
        <v>1</v>
      </c>
    </row>
    <row r="2721" spans="1:16" x14ac:dyDescent="0.25">
      <c r="A2721">
        <v>25025</v>
      </c>
      <c r="B2721" t="s">
        <v>2073</v>
      </c>
      <c r="C2721" t="s">
        <v>2096</v>
      </c>
      <c r="D2721">
        <v>5347</v>
      </c>
      <c r="E2721" s="1">
        <v>1106</v>
      </c>
      <c r="F2721">
        <v>512</v>
      </c>
      <c r="G2721">
        <v>582</v>
      </c>
      <c r="H2721" s="1">
        <v>1658</v>
      </c>
      <c r="I2721" s="1">
        <v>1489</v>
      </c>
      <c r="J2721" s="1">
        <v>2473</v>
      </c>
      <c r="K2721" s="1">
        <v>1186</v>
      </c>
      <c r="L2721" s="1">
        <v>1688</v>
      </c>
      <c r="M2721" s="1">
        <v>4836</v>
      </c>
      <c r="N2721">
        <v>511</v>
      </c>
      <c r="O2721" t="s">
        <v>2097</v>
      </c>
      <c r="P2721" s="1" t="b">
        <f>NOT(OR(Table1[[#This Row],[State]]="Other Foreign Countries", Table1[[#This Row],[State]]="Unknown", Table1[[#This Row],[State]]="Puerto Rico all counties"))</f>
        <v>1</v>
      </c>
    </row>
    <row r="2722" spans="1:16" x14ac:dyDescent="0.25">
      <c r="A2722">
        <v>36103</v>
      </c>
      <c r="B2722" t="s">
        <v>3029</v>
      </c>
      <c r="C2722" t="s">
        <v>2096</v>
      </c>
      <c r="D2722">
        <v>12014</v>
      </c>
      <c r="E2722" s="1">
        <v>2632</v>
      </c>
      <c r="F2722" s="1">
        <v>1407</v>
      </c>
      <c r="G2722" s="1">
        <v>1342</v>
      </c>
      <c r="H2722" s="1">
        <v>3499</v>
      </c>
      <c r="I2722" s="1">
        <v>3134</v>
      </c>
      <c r="J2722" s="1">
        <v>3607</v>
      </c>
      <c r="K2722" s="1">
        <v>2816</v>
      </c>
      <c r="L2722" s="1">
        <v>5591</v>
      </c>
      <c r="M2722" s="1">
        <v>11062</v>
      </c>
      <c r="N2722">
        <v>950</v>
      </c>
      <c r="O2722" t="s">
        <v>3104</v>
      </c>
      <c r="P2722" s="1" t="b">
        <f>NOT(OR(Table1[[#This Row],[State]]="Other Foreign Countries", Table1[[#This Row],[State]]="Unknown", Table1[[#This Row],[State]]="Puerto Rico all counties"))</f>
        <v>1</v>
      </c>
    </row>
    <row r="2723" spans="1:16" x14ac:dyDescent="0.25">
      <c r="A2723">
        <v>51800</v>
      </c>
      <c r="B2723" t="s">
        <v>4555</v>
      </c>
      <c r="C2723" t="s">
        <v>4762</v>
      </c>
      <c r="D2723">
        <v>7343</v>
      </c>
      <c r="E2723">
        <v>694</v>
      </c>
      <c r="F2723">
        <v>561</v>
      </c>
      <c r="G2723">
        <v>728</v>
      </c>
      <c r="H2723" s="1">
        <v>2111</v>
      </c>
      <c r="I2723" s="1">
        <v>3249</v>
      </c>
      <c r="J2723" s="1">
        <v>2325</v>
      </c>
      <c r="K2723" s="1">
        <v>3591</v>
      </c>
      <c r="L2723" s="1">
        <v>1427</v>
      </c>
      <c r="M2723" s="1">
        <v>5446</v>
      </c>
      <c r="N2723" s="1">
        <v>1896</v>
      </c>
      <c r="O2723" t="s">
        <v>4763</v>
      </c>
      <c r="P2723" s="1" t="b">
        <f>NOT(OR(Table1[[#This Row],[State]]="Other Foreign Countries", Table1[[#This Row],[State]]="Unknown", Table1[[#This Row],[State]]="Puerto Rico all counties"))</f>
        <v>1</v>
      </c>
    </row>
    <row r="2724" spans="1:16" x14ac:dyDescent="0.25">
      <c r="A2724">
        <v>18153</v>
      </c>
      <c r="B2724" t="s">
        <v>1266</v>
      </c>
      <c r="C2724" t="s">
        <v>1373</v>
      </c>
      <c r="D2724">
        <v>429</v>
      </c>
      <c r="E2724">
        <v>134</v>
      </c>
      <c r="F2724">
        <v>48</v>
      </c>
      <c r="G2724">
        <v>63</v>
      </c>
      <c r="H2724">
        <v>104</v>
      </c>
      <c r="I2724">
        <v>80</v>
      </c>
      <c r="J2724">
        <v>95</v>
      </c>
      <c r="K2724">
        <v>136</v>
      </c>
      <c r="L2724">
        <v>198</v>
      </c>
      <c r="M2724">
        <v>408</v>
      </c>
      <c r="N2724">
        <v>21</v>
      </c>
      <c r="O2724" t="s">
        <v>1374</v>
      </c>
      <c r="P2724" s="1" t="b">
        <f>NOT(OR(Table1[[#This Row],[State]]="Other Foreign Countries", Table1[[#This Row],[State]]="Unknown", Table1[[#This Row],[State]]="Puerto Rico all counties"))</f>
        <v>1</v>
      </c>
    </row>
    <row r="2725" spans="1:16" x14ac:dyDescent="0.25">
      <c r="A2725">
        <v>29211</v>
      </c>
      <c r="B2725" t="s">
        <v>2510</v>
      </c>
      <c r="C2725" t="s">
        <v>1373</v>
      </c>
      <c r="D2725">
        <v>92</v>
      </c>
      <c r="E2725">
        <v>28</v>
      </c>
      <c r="F2725">
        <v>13</v>
      </c>
      <c r="G2725">
        <v>17</v>
      </c>
      <c r="H2725">
        <v>21</v>
      </c>
      <c r="I2725">
        <v>13</v>
      </c>
      <c r="J2725">
        <v>14</v>
      </c>
      <c r="K2725">
        <v>25</v>
      </c>
      <c r="L2725">
        <v>53</v>
      </c>
      <c r="O2725" t="s">
        <v>2651</v>
      </c>
      <c r="P2725" s="1" t="b">
        <f>NOT(OR(Table1[[#This Row],[State]]="Other Foreign Countries", Table1[[#This Row],[State]]="Unknown", Table1[[#This Row],[State]]="Puerto Rico all counties"))</f>
        <v>1</v>
      </c>
    </row>
    <row r="2726" spans="1:16" x14ac:dyDescent="0.25">
      <c r="A2726">
        <v>33019</v>
      </c>
      <c r="B2726" t="s">
        <v>2920</v>
      </c>
      <c r="C2726" t="s">
        <v>1373</v>
      </c>
      <c r="D2726">
        <v>977</v>
      </c>
      <c r="E2726">
        <v>202</v>
      </c>
      <c r="F2726">
        <v>145</v>
      </c>
      <c r="G2726">
        <v>117</v>
      </c>
      <c r="H2726">
        <v>297</v>
      </c>
      <c r="I2726">
        <v>216</v>
      </c>
      <c r="J2726">
        <v>233</v>
      </c>
      <c r="K2726">
        <v>295</v>
      </c>
      <c r="L2726">
        <v>449</v>
      </c>
      <c r="M2726">
        <v>887</v>
      </c>
      <c r="N2726">
        <v>90</v>
      </c>
      <c r="O2726" t="s">
        <v>2937</v>
      </c>
      <c r="P2726" s="1" t="b">
        <f>NOT(OR(Table1[[#This Row],[State]]="Other Foreign Countries", Table1[[#This Row],[State]]="Unknown", Table1[[#This Row],[State]]="Puerto Rico all counties"))</f>
        <v>1</v>
      </c>
    </row>
    <row r="2727" spans="1:16" x14ac:dyDescent="0.25">
      <c r="A2727">
        <v>36105</v>
      </c>
      <c r="B2727" t="s">
        <v>3029</v>
      </c>
      <c r="C2727" t="s">
        <v>1373</v>
      </c>
      <c r="D2727">
        <v>853</v>
      </c>
      <c r="E2727">
        <v>223</v>
      </c>
      <c r="F2727">
        <v>103</v>
      </c>
      <c r="G2727">
        <v>98</v>
      </c>
      <c r="H2727">
        <v>234</v>
      </c>
      <c r="I2727">
        <v>195</v>
      </c>
      <c r="J2727">
        <v>189</v>
      </c>
      <c r="K2727">
        <v>252</v>
      </c>
      <c r="L2727">
        <v>412</v>
      </c>
      <c r="M2727">
        <v>782</v>
      </c>
      <c r="N2727">
        <v>71</v>
      </c>
      <c r="O2727" t="s">
        <v>3105</v>
      </c>
      <c r="P2727" s="1" t="b">
        <f>NOT(OR(Table1[[#This Row],[State]]="Other Foreign Countries", Table1[[#This Row],[State]]="Unknown", Table1[[#This Row],[State]]="Puerto Rico all counties"))</f>
        <v>1</v>
      </c>
    </row>
    <row r="2728" spans="1:16" x14ac:dyDescent="0.25">
      <c r="A2728">
        <v>42113</v>
      </c>
      <c r="B2728" t="s">
        <v>3665</v>
      </c>
      <c r="C2728" t="s">
        <v>1373</v>
      </c>
      <c r="D2728">
        <v>146</v>
      </c>
      <c r="E2728">
        <v>38</v>
      </c>
      <c r="F2728">
        <v>19</v>
      </c>
      <c r="G2728">
        <v>16</v>
      </c>
      <c r="H2728">
        <v>39</v>
      </c>
      <c r="I2728">
        <v>34</v>
      </c>
      <c r="J2728">
        <v>37</v>
      </c>
      <c r="K2728">
        <v>40</v>
      </c>
      <c r="L2728">
        <v>69</v>
      </c>
      <c r="M2728">
        <v>135</v>
      </c>
      <c r="N2728">
        <v>11</v>
      </c>
      <c r="O2728" t="s">
        <v>3750</v>
      </c>
      <c r="P2728" s="1" t="b">
        <f>NOT(OR(Table1[[#This Row],[State]]="Other Foreign Countries", Table1[[#This Row],[State]]="Unknown", Table1[[#This Row],[State]]="Puerto Rico all counties"))</f>
        <v>1</v>
      </c>
    </row>
    <row r="2729" spans="1:16" x14ac:dyDescent="0.25">
      <c r="A2729">
        <v>47163</v>
      </c>
      <c r="B2729" t="s">
        <v>3951</v>
      </c>
      <c r="C2729" t="s">
        <v>1373</v>
      </c>
      <c r="D2729">
        <v>4616</v>
      </c>
      <c r="E2729" s="1">
        <v>1003</v>
      </c>
      <c r="F2729">
        <v>511</v>
      </c>
      <c r="G2729">
        <v>550</v>
      </c>
      <c r="H2729" s="1">
        <v>1368</v>
      </c>
      <c r="I2729" s="1">
        <v>1184</v>
      </c>
      <c r="J2729">
        <v>998</v>
      </c>
      <c r="K2729" s="1">
        <v>1499</v>
      </c>
      <c r="L2729" s="1">
        <v>2119</v>
      </c>
      <c r="M2729" s="1">
        <v>4254</v>
      </c>
      <c r="N2729">
        <v>362</v>
      </c>
      <c r="O2729" t="s">
        <v>4056</v>
      </c>
      <c r="P2729" s="1" t="b">
        <f>NOT(OR(Table1[[#This Row],[State]]="Other Foreign Countries", Table1[[#This Row],[State]]="Unknown", Table1[[#This Row],[State]]="Puerto Rico all counties"))</f>
        <v>1</v>
      </c>
    </row>
    <row r="2730" spans="1:16" x14ac:dyDescent="0.25">
      <c r="A2730">
        <v>46119</v>
      </c>
      <c r="B2730" t="s">
        <v>3846</v>
      </c>
      <c r="C2730" t="s">
        <v>3938</v>
      </c>
      <c r="D2730">
        <v>21</v>
      </c>
      <c r="O2730" t="s">
        <v>3939</v>
      </c>
      <c r="P2730" s="1" t="b">
        <f>NOT(OR(Table1[[#This Row],[State]]="Other Foreign Countries", Table1[[#This Row],[State]]="Unknown", Table1[[#This Row],[State]]="Puerto Rico all counties"))</f>
        <v>1</v>
      </c>
    </row>
    <row r="2731" spans="1:16" x14ac:dyDescent="0.25">
      <c r="A2731">
        <v>54089</v>
      </c>
      <c r="B2731" t="s">
        <v>4833</v>
      </c>
      <c r="C2731" t="s">
        <v>4891</v>
      </c>
      <c r="D2731">
        <v>427</v>
      </c>
      <c r="E2731">
        <v>95</v>
      </c>
      <c r="F2731">
        <v>32</v>
      </c>
      <c r="G2731">
        <v>54</v>
      </c>
      <c r="H2731">
        <v>120</v>
      </c>
      <c r="I2731">
        <v>126</v>
      </c>
      <c r="J2731">
        <v>47</v>
      </c>
      <c r="K2731">
        <v>137</v>
      </c>
      <c r="L2731">
        <v>243</v>
      </c>
      <c r="M2731">
        <v>405</v>
      </c>
      <c r="N2731">
        <v>22</v>
      </c>
      <c r="O2731" t="s">
        <v>4892</v>
      </c>
      <c r="P2731" s="1" t="b">
        <f>NOT(OR(Table1[[#This Row],[State]]="Other Foreign Countries", Table1[[#This Row],[State]]="Unknown", Table1[[#This Row],[State]]="Puerto Rico all counties"))</f>
        <v>1</v>
      </c>
    </row>
    <row r="2732" spans="1:16" x14ac:dyDescent="0.25">
      <c r="A2732">
        <v>8117</v>
      </c>
      <c r="B2732" t="s">
        <v>489</v>
      </c>
      <c r="C2732" t="s">
        <v>601</v>
      </c>
      <c r="D2732">
        <v>257</v>
      </c>
      <c r="E2732">
        <v>64</v>
      </c>
      <c r="F2732">
        <v>31</v>
      </c>
      <c r="G2732">
        <v>42</v>
      </c>
      <c r="H2732">
        <v>75</v>
      </c>
      <c r="I2732">
        <v>45</v>
      </c>
      <c r="J2732">
        <v>88</v>
      </c>
      <c r="K2732">
        <v>84</v>
      </c>
      <c r="L2732">
        <v>85</v>
      </c>
      <c r="M2732">
        <v>224</v>
      </c>
      <c r="N2732">
        <v>33</v>
      </c>
      <c r="O2732" t="s">
        <v>602</v>
      </c>
      <c r="P2732" s="1" t="b">
        <f>NOT(OR(Table1[[#This Row],[State]]="Other Foreign Countries", Table1[[#This Row],[State]]="Unknown", Table1[[#This Row],[State]]="Puerto Rico all counties"))</f>
        <v>1</v>
      </c>
    </row>
    <row r="2733" spans="1:16" x14ac:dyDescent="0.25">
      <c r="A2733">
        <v>39153</v>
      </c>
      <c r="B2733" t="s">
        <v>1343</v>
      </c>
      <c r="C2733" t="s">
        <v>601</v>
      </c>
      <c r="D2733">
        <v>7101</v>
      </c>
      <c r="E2733" s="1">
        <v>1696</v>
      </c>
      <c r="F2733">
        <v>881</v>
      </c>
      <c r="G2733">
        <v>929</v>
      </c>
      <c r="H2733" s="1">
        <v>2015</v>
      </c>
      <c r="I2733" s="1">
        <v>1580</v>
      </c>
      <c r="J2733" s="1">
        <v>2079</v>
      </c>
      <c r="K2733" s="1">
        <v>2038</v>
      </c>
      <c r="L2733" s="1">
        <v>2984</v>
      </c>
      <c r="M2733" s="1">
        <v>6321</v>
      </c>
      <c r="N2733">
        <v>780</v>
      </c>
      <c r="O2733" t="s">
        <v>3477</v>
      </c>
      <c r="P2733" s="1" t="b">
        <f>NOT(OR(Table1[[#This Row],[State]]="Other Foreign Countries", Table1[[#This Row],[State]]="Unknown", Table1[[#This Row],[State]]="Puerto Rico all counties"))</f>
        <v>1</v>
      </c>
    </row>
    <row r="2734" spans="1:16" x14ac:dyDescent="0.25">
      <c r="A2734">
        <v>49043</v>
      </c>
      <c r="B2734" t="s">
        <v>4486</v>
      </c>
      <c r="C2734" t="s">
        <v>601</v>
      </c>
      <c r="D2734">
        <v>457</v>
      </c>
      <c r="E2734">
        <v>90</v>
      </c>
      <c r="F2734">
        <v>81</v>
      </c>
      <c r="G2734">
        <v>72</v>
      </c>
      <c r="H2734">
        <v>109</v>
      </c>
      <c r="I2734">
        <v>105</v>
      </c>
      <c r="J2734">
        <v>129</v>
      </c>
      <c r="K2734">
        <v>182</v>
      </c>
      <c r="L2734">
        <v>146</v>
      </c>
      <c r="M2734">
        <v>403</v>
      </c>
      <c r="N2734">
        <v>53</v>
      </c>
      <c r="O2734" t="s">
        <v>4519</v>
      </c>
      <c r="P2734" s="1" t="b">
        <f>NOT(OR(Table1[[#This Row],[State]]="Other Foreign Countries", Table1[[#This Row],[State]]="Unknown", Table1[[#This Row],[State]]="Puerto Rico all counties"))</f>
        <v>1</v>
      </c>
    </row>
    <row r="2735" spans="1:16" x14ac:dyDescent="0.25">
      <c r="A2735">
        <v>20191</v>
      </c>
      <c r="B2735" t="s">
        <v>1543</v>
      </c>
      <c r="C2735" t="s">
        <v>1698</v>
      </c>
      <c r="D2735">
        <v>444</v>
      </c>
      <c r="E2735">
        <v>94</v>
      </c>
      <c r="F2735">
        <v>40</v>
      </c>
      <c r="G2735">
        <v>52</v>
      </c>
      <c r="H2735">
        <v>140</v>
      </c>
      <c r="I2735">
        <v>118</v>
      </c>
      <c r="J2735">
        <v>111</v>
      </c>
      <c r="K2735">
        <v>147</v>
      </c>
      <c r="L2735">
        <v>186</v>
      </c>
      <c r="M2735">
        <v>392</v>
      </c>
      <c r="N2735">
        <v>52</v>
      </c>
      <c r="O2735" t="s">
        <v>1699</v>
      </c>
      <c r="P2735" s="1" t="b">
        <f>NOT(OR(Table1[[#This Row],[State]]="Other Foreign Countries", Table1[[#This Row],[State]]="Unknown", Table1[[#This Row],[State]]="Puerto Rico all counties"))</f>
        <v>1</v>
      </c>
    </row>
    <row r="2736" spans="1:16" x14ac:dyDescent="0.25">
      <c r="A2736">
        <v>47165</v>
      </c>
      <c r="B2736" t="s">
        <v>3951</v>
      </c>
      <c r="C2736" t="s">
        <v>1698</v>
      </c>
      <c r="D2736">
        <v>4300</v>
      </c>
      <c r="E2736">
        <v>817</v>
      </c>
      <c r="F2736">
        <v>464</v>
      </c>
      <c r="G2736">
        <v>506</v>
      </c>
      <c r="H2736" s="1">
        <v>1294</v>
      </c>
      <c r="I2736" s="1">
        <v>1219</v>
      </c>
      <c r="J2736" s="1">
        <v>1385</v>
      </c>
      <c r="K2736" s="1">
        <v>1463</v>
      </c>
      <c r="L2736" s="1">
        <v>1452</v>
      </c>
      <c r="M2736" s="1">
        <v>3827</v>
      </c>
      <c r="N2736">
        <v>473</v>
      </c>
      <c r="O2736" t="s">
        <v>4057</v>
      </c>
      <c r="P2736" s="1" t="b">
        <f>NOT(OR(Table1[[#This Row],[State]]="Other Foreign Countries", Table1[[#This Row],[State]]="Unknown", Table1[[#This Row],[State]]="Puerto Rico all counties"))</f>
        <v>1</v>
      </c>
    </row>
    <row r="2737" spans="1:16" x14ac:dyDescent="0.25">
      <c r="A2737">
        <v>1119</v>
      </c>
      <c r="B2737" t="s">
        <v>15</v>
      </c>
      <c r="C2737" t="s">
        <v>134</v>
      </c>
      <c r="D2737">
        <v>208</v>
      </c>
      <c r="E2737">
        <v>23</v>
      </c>
      <c r="F2737">
        <v>24</v>
      </c>
      <c r="G2737">
        <v>23</v>
      </c>
      <c r="H2737">
        <v>77</v>
      </c>
      <c r="I2737">
        <v>61</v>
      </c>
      <c r="J2737">
        <v>29</v>
      </c>
      <c r="K2737">
        <v>86</v>
      </c>
      <c r="L2737">
        <v>93</v>
      </c>
      <c r="M2737">
        <v>178</v>
      </c>
      <c r="N2737">
        <v>30</v>
      </c>
      <c r="O2737" t="s">
        <v>135</v>
      </c>
      <c r="P2737" s="1" t="b">
        <f>NOT(OR(Table1[[#This Row],[State]]="Other Foreign Countries", Table1[[#This Row],[State]]="Unknown", Table1[[#This Row],[State]]="Puerto Rico all counties"))</f>
        <v>1</v>
      </c>
    </row>
    <row r="2738" spans="1:16" x14ac:dyDescent="0.25">
      <c r="A2738">
        <v>12119</v>
      </c>
      <c r="B2738" t="s">
        <v>637</v>
      </c>
      <c r="C2738" t="s">
        <v>134</v>
      </c>
      <c r="D2738">
        <v>6376</v>
      </c>
      <c r="E2738" s="1">
        <v>1624</v>
      </c>
      <c r="F2738">
        <v>764</v>
      </c>
      <c r="G2738">
        <v>727</v>
      </c>
      <c r="H2738" s="1">
        <v>1648</v>
      </c>
      <c r="I2738" s="1">
        <v>1613</v>
      </c>
      <c r="J2738">
        <v>422</v>
      </c>
      <c r="K2738" s="1">
        <v>1339</v>
      </c>
      <c r="L2738" s="1">
        <v>4615</v>
      </c>
      <c r="M2738" s="1">
        <v>5761</v>
      </c>
      <c r="N2738">
        <v>613</v>
      </c>
      <c r="O2738" t="s">
        <v>741</v>
      </c>
      <c r="P2738" s="1" t="b">
        <f>NOT(OR(Table1[[#This Row],[State]]="Other Foreign Countries", Table1[[#This Row],[State]]="Unknown", Table1[[#This Row],[State]]="Puerto Rico all counties"))</f>
        <v>1</v>
      </c>
    </row>
    <row r="2739" spans="1:16" x14ac:dyDescent="0.25">
      <c r="A2739">
        <v>13261</v>
      </c>
      <c r="B2739" t="s">
        <v>754</v>
      </c>
      <c r="C2739" t="s">
        <v>134</v>
      </c>
      <c r="D2739">
        <v>539</v>
      </c>
      <c r="E2739">
        <v>82</v>
      </c>
      <c r="F2739">
        <v>52</v>
      </c>
      <c r="G2739">
        <v>66</v>
      </c>
      <c r="H2739">
        <v>171</v>
      </c>
      <c r="I2739">
        <v>168</v>
      </c>
      <c r="J2739">
        <v>100</v>
      </c>
      <c r="K2739">
        <v>217</v>
      </c>
      <c r="L2739">
        <v>222</v>
      </c>
      <c r="M2739">
        <v>478</v>
      </c>
      <c r="N2739">
        <v>61</v>
      </c>
      <c r="O2739" t="s">
        <v>968</v>
      </c>
      <c r="P2739" s="1" t="b">
        <f>NOT(OR(Table1[[#This Row],[State]]="Other Foreign Countries", Table1[[#This Row],[State]]="Unknown", Table1[[#This Row],[State]]="Puerto Rico all counties"))</f>
        <v>1</v>
      </c>
    </row>
    <row r="2740" spans="1:16" x14ac:dyDescent="0.25">
      <c r="A2740">
        <v>45085</v>
      </c>
      <c r="B2740" t="s">
        <v>3772</v>
      </c>
      <c r="C2740" t="s">
        <v>134</v>
      </c>
      <c r="D2740">
        <v>6412</v>
      </c>
      <c r="E2740">
        <v>869</v>
      </c>
      <c r="F2740">
        <v>577</v>
      </c>
      <c r="G2740">
        <v>728</v>
      </c>
      <c r="H2740" s="1">
        <v>1991</v>
      </c>
      <c r="I2740" s="1">
        <v>2247</v>
      </c>
      <c r="J2740" s="1">
        <v>1575</v>
      </c>
      <c r="K2740" s="1">
        <v>2569</v>
      </c>
      <c r="L2740" s="1">
        <v>2268</v>
      </c>
      <c r="M2740" s="1">
        <v>5226</v>
      </c>
      <c r="N2740" s="1">
        <v>1186</v>
      </c>
      <c r="O2740" t="s">
        <v>3841</v>
      </c>
      <c r="P2740" s="1" t="b">
        <f>NOT(OR(Table1[[#This Row],[State]]="Other Foreign Countries", Table1[[#This Row],[State]]="Unknown", Table1[[#This Row],[State]]="Puerto Rico all counties"))</f>
        <v>1</v>
      </c>
    </row>
    <row r="2741" spans="1:16" x14ac:dyDescent="0.25">
      <c r="A2741">
        <v>28133</v>
      </c>
      <c r="B2741" t="s">
        <v>322</v>
      </c>
      <c r="C2741" t="s">
        <v>2485</v>
      </c>
      <c r="D2741">
        <v>279</v>
      </c>
      <c r="E2741">
        <v>53</v>
      </c>
      <c r="F2741">
        <v>23</v>
      </c>
      <c r="G2741">
        <v>34</v>
      </c>
      <c r="H2741">
        <v>79</v>
      </c>
      <c r="I2741">
        <v>90</v>
      </c>
      <c r="J2741">
        <v>56</v>
      </c>
      <c r="K2741">
        <v>105</v>
      </c>
      <c r="L2741">
        <v>118</v>
      </c>
      <c r="M2741">
        <v>244</v>
      </c>
      <c r="N2741">
        <v>35</v>
      </c>
      <c r="O2741" t="s">
        <v>2486</v>
      </c>
      <c r="P2741" s="1" t="b">
        <f>NOT(OR(Table1[[#This Row],[State]]="Other Foreign Countries", Table1[[#This Row],[State]]="Unknown", Table1[[#This Row],[State]]="Puerto Rico all counties"))</f>
        <v>1</v>
      </c>
    </row>
    <row r="2742" spans="1:16" x14ac:dyDescent="0.25">
      <c r="A2742">
        <v>37171</v>
      </c>
      <c r="B2742" t="s">
        <v>3121</v>
      </c>
      <c r="C2742" t="s">
        <v>3262</v>
      </c>
      <c r="D2742">
        <v>1290</v>
      </c>
      <c r="E2742">
        <v>236</v>
      </c>
      <c r="F2742">
        <v>136</v>
      </c>
      <c r="G2742">
        <v>170</v>
      </c>
      <c r="H2742">
        <v>411</v>
      </c>
      <c r="I2742">
        <v>337</v>
      </c>
      <c r="J2742">
        <v>288</v>
      </c>
      <c r="K2742">
        <v>336</v>
      </c>
      <c r="L2742">
        <v>666</v>
      </c>
      <c r="M2742" s="1">
        <v>1216</v>
      </c>
      <c r="N2742">
        <v>74</v>
      </c>
      <c r="O2742" t="s">
        <v>3263</v>
      </c>
      <c r="P2742" s="1" t="b">
        <f>NOT(OR(Table1[[#This Row],[State]]="Other Foreign Countries", Table1[[#This Row],[State]]="Unknown", Table1[[#This Row],[State]]="Puerto Rico all counties"))</f>
        <v>1</v>
      </c>
    </row>
    <row r="2743" spans="1:16" x14ac:dyDescent="0.25">
      <c r="A2743">
        <v>51181</v>
      </c>
      <c r="B2743" t="s">
        <v>4555</v>
      </c>
      <c r="C2743" t="s">
        <v>3262</v>
      </c>
      <c r="D2743">
        <v>258</v>
      </c>
      <c r="E2743">
        <v>33</v>
      </c>
      <c r="F2743">
        <v>38</v>
      </c>
      <c r="G2743">
        <v>31</v>
      </c>
      <c r="H2743">
        <v>83</v>
      </c>
      <c r="I2743">
        <v>73</v>
      </c>
      <c r="J2743">
        <v>73</v>
      </c>
      <c r="K2743">
        <v>98</v>
      </c>
      <c r="L2743">
        <v>87</v>
      </c>
      <c r="M2743">
        <v>209</v>
      </c>
      <c r="N2743">
        <v>49</v>
      </c>
      <c r="O2743" t="s">
        <v>4686</v>
      </c>
      <c r="P2743" s="1" t="b">
        <f>NOT(OR(Table1[[#This Row],[State]]="Other Foreign Countries", Table1[[#This Row],[State]]="Unknown", Table1[[#This Row],[State]]="Puerto Rico all counties"))</f>
        <v>1</v>
      </c>
    </row>
    <row r="2744" spans="1:16" x14ac:dyDescent="0.25">
      <c r="A2744">
        <v>42115</v>
      </c>
      <c r="B2744" t="s">
        <v>3665</v>
      </c>
      <c r="C2744" t="s">
        <v>3751</v>
      </c>
      <c r="D2744">
        <v>678</v>
      </c>
      <c r="E2744">
        <v>145</v>
      </c>
      <c r="F2744">
        <v>69</v>
      </c>
      <c r="G2744">
        <v>93</v>
      </c>
      <c r="H2744">
        <v>210</v>
      </c>
      <c r="I2744">
        <v>161</v>
      </c>
      <c r="J2744">
        <v>175</v>
      </c>
      <c r="K2744">
        <v>180</v>
      </c>
      <c r="L2744">
        <v>323</v>
      </c>
      <c r="M2744">
        <v>628</v>
      </c>
      <c r="N2744">
        <v>50</v>
      </c>
      <c r="O2744" t="s">
        <v>3752</v>
      </c>
      <c r="P2744" s="1" t="b">
        <f>NOT(OR(Table1[[#This Row],[State]]="Other Foreign Countries", Table1[[#This Row],[State]]="Unknown", Table1[[#This Row],[State]]="Puerto Rico all counties"))</f>
        <v>1</v>
      </c>
    </row>
    <row r="2745" spans="1:16" x14ac:dyDescent="0.25">
      <c r="A2745">
        <v>10005</v>
      </c>
      <c r="B2745" t="s">
        <v>628</v>
      </c>
      <c r="C2745" t="s">
        <v>633</v>
      </c>
      <c r="D2745">
        <v>4953</v>
      </c>
      <c r="E2745" s="1">
        <v>1081</v>
      </c>
      <c r="F2745">
        <v>567</v>
      </c>
      <c r="G2745">
        <v>615</v>
      </c>
      <c r="H2745" s="1">
        <v>1453</v>
      </c>
      <c r="I2745" s="1">
        <v>1237</v>
      </c>
      <c r="J2745">
        <v>834</v>
      </c>
      <c r="K2745" s="1">
        <v>1294</v>
      </c>
      <c r="L2745" s="1">
        <v>2825</v>
      </c>
      <c r="M2745" s="1">
        <v>4390</v>
      </c>
      <c r="N2745">
        <v>561</v>
      </c>
      <c r="O2745" t="s">
        <v>634</v>
      </c>
      <c r="P2745" s="1" t="b">
        <f>NOT(OR(Table1[[#This Row],[State]]="Other Foreign Countries", Table1[[#This Row],[State]]="Unknown", Table1[[#This Row],[State]]="Puerto Rico all counties"))</f>
        <v>1</v>
      </c>
    </row>
    <row r="2746" spans="1:16" x14ac:dyDescent="0.25">
      <c r="A2746">
        <v>34037</v>
      </c>
      <c r="B2746" t="s">
        <v>2938</v>
      </c>
      <c r="C2746" t="s">
        <v>633</v>
      </c>
      <c r="D2746">
        <v>1642</v>
      </c>
      <c r="E2746">
        <v>343</v>
      </c>
      <c r="F2746">
        <v>151</v>
      </c>
      <c r="G2746">
        <v>168</v>
      </c>
      <c r="H2746">
        <v>449</v>
      </c>
      <c r="I2746">
        <v>531</v>
      </c>
      <c r="J2746">
        <v>573</v>
      </c>
      <c r="K2746">
        <v>390</v>
      </c>
      <c r="L2746">
        <v>679</v>
      </c>
      <c r="M2746" s="1">
        <v>1505</v>
      </c>
      <c r="N2746">
        <v>137</v>
      </c>
      <c r="O2746" t="s">
        <v>2968</v>
      </c>
      <c r="P2746" s="1" t="b">
        <f>NOT(OR(Table1[[#This Row],[State]]="Other Foreign Countries", Table1[[#This Row],[State]]="Unknown", Table1[[#This Row],[State]]="Puerto Rico all counties"))</f>
        <v>1</v>
      </c>
    </row>
    <row r="2747" spans="1:16" x14ac:dyDescent="0.25">
      <c r="A2747">
        <v>51183</v>
      </c>
      <c r="B2747" t="s">
        <v>4555</v>
      </c>
      <c r="C2747" t="s">
        <v>633</v>
      </c>
      <c r="D2747">
        <v>250</v>
      </c>
      <c r="E2747">
        <v>41</v>
      </c>
      <c r="F2747">
        <v>23</v>
      </c>
      <c r="G2747">
        <v>36</v>
      </c>
      <c r="H2747">
        <v>82</v>
      </c>
      <c r="I2747">
        <v>68</v>
      </c>
      <c r="J2747">
        <v>54</v>
      </c>
      <c r="K2747">
        <v>86</v>
      </c>
      <c r="L2747">
        <v>110</v>
      </c>
      <c r="M2747">
        <v>205</v>
      </c>
      <c r="N2747">
        <v>45</v>
      </c>
      <c r="O2747" t="s">
        <v>4687</v>
      </c>
      <c r="P2747" s="1" t="b">
        <f>NOT(OR(Table1[[#This Row],[State]]="Other Foreign Countries", Table1[[#This Row],[State]]="Unknown", Table1[[#This Row],[State]]="Puerto Rico all counties"))</f>
        <v>1</v>
      </c>
    </row>
    <row r="2748" spans="1:16" x14ac:dyDescent="0.25">
      <c r="A2748">
        <v>6101</v>
      </c>
      <c r="B2748" t="s">
        <v>374</v>
      </c>
      <c r="C2748" t="s">
        <v>473</v>
      </c>
      <c r="D2748">
        <v>1890</v>
      </c>
      <c r="E2748">
        <v>420</v>
      </c>
      <c r="F2748">
        <v>216</v>
      </c>
      <c r="G2748">
        <v>207</v>
      </c>
      <c r="H2748">
        <v>574</v>
      </c>
      <c r="I2748">
        <v>473</v>
      </c>
      <c r="J2748">
        <v>546</v>
      </c>
      <c r="K2748">
        <v>553</v>
      </c>
      <c r="L2748">
        <v>791</v>
      </c>
      <c r="M2748" s="1">
        <v>1680</v>
      </c>
      <c r="N2748">
        <v>210</v>
      </c>
      <c r="O2748" t="s">
        <v>474</v>
      </c>
      <c r="P2748" s="1" t="b">
        <f>NOT(OR(Table1[[#This Row],[State]]="Other Foreign Countries", Table1[[#This Row],[State]]="Unknown", Table1[[#This Row],[State]]="Puerto Rico all counties"))</f>
        <v>1</v>
      </c>
    </row>
    <row r="2749" spans="1:16" x14ac:dyDescent="0.25">
      <c r="A2749">
        <v>48435</v>
      </c>
      <c r="B2749" t="s">
        <v>2654</v>
      </c>
      <c r="C2749" t="s">
        <v>4423</v>
      </c>
      <c r="D2749">
        <v>43</v>
      </c>
      <c r="H2749">
        <v>13</v>
      </c>
      <c r="J2749">
        <v>12</v>
      </c>
      <c r="K2749">
        <v>14</v>
      </c>
      <c r="L2749">
        <v>17</v>
      </c>
      <c r="O2749" t="s">
        <v>4424</v>
      </c>
      <c r="P2749" s="1" t="b">
        <f>NOT(OR(Table1[[#This Row],[State]]="Other Foreign Countries", Table1[[#This Row],[State]]="Unknown", Table1[[#This Row],[State]]="Puerto Rico all counties"))</f>
        <v>1</v>
      </c>
    </row>
    <row r="2750" spans="1:16" x14ac:dyDescent="0.25">
      <c r="A2750">
        <v>12121</v>
      </c>
      <c r="B2750" t="s">
        <v>637</v>
      </c>
      <c r="C2750" t="s">
        <v>742</v>
      </c>
      <c r="D2750">
        <v>1399</v>
      </c>
      <c r="E2750">
        <v>244</v>
      </c>
      <c r="F2750">
        <v>137</v>
      </c>
      <c r="G2750">
        <v>174</v>
      </c>
      <c r="H2750">
        <v>417</v>
      </c>
      <c r="I2750">
        <v>427</v>
      </c>
      <c r="J2750">
        <v>287</v>
      </c>
      <c r="K2750">
        <v>447</v>
      </c>
      <c r="L2750">
        <v>665</v>
      </c>
      <c r="M2750" s="1">
        <v>1257</v>
      </c>
      <c r="N2750">
        <v>142</v>
      </c>
      <c r="O2750" t="s">
        <v>743</v>
      </c>
      <c r="P2750" s="1" t="b">
        <f>NOT(OR(Table1[[#This Row],[State]]="Other Foreign Countries", Table1[[#This Row],[State]]="Unknown", Table1[[#This Row],[State]]="Puerto Rico all counties"))</f>
        <v>1</v>
      </c>
    </row>
    <row r="2751" spans="1:16" x14ac:dyDescent="0.25">
      <c r="A2751">
        <v>37173</v>
      </c>
      <c r="B2751" t="s">
        <v>3121</v>
      </c>
      <c r="C2751" t="s">
        <v>3264</v>
      </c>
      <c r="D2751">
        <v>326</v>
      </c>
      <c r="E2751">
        <v>69</v>
      </c>
      <c r="F2751">
        <v>43</v>
      </c>
      <c r="G2751">
        <v>51</v>
      </c>
      <c r="H2751">
        <v>88</v>
      </c>
      <c r="I2751">
        <v>75</v>
      </c>
      <c r="J2751">
        <v>63</v>
      </c>
      <c r="K2751">
        <v>91</v>
      </c>
      <c r="L2751">
        <v>172</v>
      </c>
      <c r="M2751">
        <v>288</v>
      </c>
      <c r="N2751">
        <v>38</v>
      </c>
      <c r="O2751" t="s">
        <v>3265</v>
      </c>
      <c r="P2751" s="1" t="b">
        <f>NOT(OR(Table1[[#This Row],[State]]="Other Foreign Countries", Table1[[#This Row],[State]]="Unknown", Table1[[#This Row],[State]]="Puerto Rico all counties"))</f>
        <v>1</v>
      </c>
    </row>
    <row r="2752" spans="1:16" x14ac:dyDescent="0.25">
      <c r="A2752">
        <v>30097</v>
      </c>
      <c r="B2752" t="s">
        <v>2665</v>
      </c>
      <c r="C2752" t="s">
        <v>2744</v>
      </c>
      <c r="D2752">
        <v>118</v>
      </c>
      <c r="E2752">
        <v>31</v>
      </c>
      <c r="F2752">
        <v>11</v>
      </c>
      <c r="G2752">
        <v>14</v>
      </c>
      <c r="H2752">
        <v>39</v>
      </c>
      <c r="I2752">
        <v>23</v>
      </c>
      <c r="J2752">
        <v>22</v>
      </c>
      <c r="K2752">
        <v>38</v>
      </c>
      <c r="L2752">
        <v>58</v>
      </c>
      <c r="M2752">
        <v>102</v>
      </c>
      <c r="N2752">
        <v>16</v>
      </c>
      <c r="O2752" t="s">
        <v>2745</v>
      </c>
      <c r="P2752" s="1" t="b">
        <f>NOT(OR(Table1[[#This Row],[State]]="Other Foreign Countries", Table1[[#This Row],[State]]="Unknown", Table1[[#This Row],[State]]="Puerto Rico all counties"))</f>
        <v>1</v>
      </c>
    </row>
    <row r="2753" spans="1:16" x14ac:dyDescent="0.25">
      <c r="A2753">
        <v>56037</v>
      </c>
      <c r="B2753" t="s">
        <v>3117</v>
      </c>
      <c r="C2753" t="s">
        <v>5038</v>
      </c>
      <c r="D2753">
        <v>880</v>
      </c>
      <c r="E2753">
        <v>224</v>
      </c>
      <c r="F2753">
        <v>113</v>
      </c>
      <c r="G2753">
        <v>116</v>
      </c>
      <c r="H2753">
        <v>237</v>
      </c>
      <c r="I2753">
        <v>190</v>
      </c>
      <c r="J2753">
        <v>231</v>
      </c>
      <c r="K2753">
        <v>294</v>
      </c>
      <c r="L2753">
        <v>355</v>
      </c>
      <c r="M2753">
        <v>793</v>
      </c>
      <c r="N2753">
        <v>87</v>
      </c>
      <c r="O2753" t="s">
        <v>5039</v>
      </c>
      <c r="P2753" s="1" t="b">
        <f>NOT(OR(Table1[[#This Row],[State]]="Other Foreign Countries", Table1[[#This Row],[State]]="Unknown", Table1[[#This Row],[State]]="Puerto Rico all counties"))</f>
        <v>1</v>
      </c>
    </row>
    <row r="2754" spans="1:16" x14ac:dyDescent="0.25">
      <c r="A2754">
        <v>27151</v>
      </c>
      <c r="B2754" t="s">
        <v>2245</v>
      </c>
      <c r="C2754" t="s">
        <v>2373</v>
      </c>
      <c r="D2754">
        <v>264</v>
      </c>
      <c r="E2754">
        <v>108</v>
      </c>
      <c r="F2754">
        <v>37</v>
      </c>
      <c r="G2754">
        <v>33</v>
      </c>
      <c r="H2754">
        <v>54</v>
      </c>
      <c r="I2754">
        <v>32</v>
      </c>
      <c r="J2754">
        <v>31</v>
      </c>
      <c r="K2754">
        <v>64</v>
      </c>
      <c r="L2754">
        <v>169</v>
      </c>
      <c r="M2754">
        <v>242</v>
      </c>
      <c r="N2754">
        <v>21</v>
      </c>
      <c r="O2754" t="s">
        <v>2374</v>
      </c>
      <c r="P2754" s="1" t="b">
        <f>NOT(OR(Table1[[#This Row],[State]]="Other Foreign Countries", Table1[[#This Row],[State]]="Unknown", Table1[[#This Row],[State]]="Puerto Rico all counties"))</f>
        <v>1</v>
      </c>
    </row>
    <row r="2755" spans="1:16" x14ac:dyDescent="0.25">
      <c r="A2755">
        <v>48437</v>
      </c>
      <c r="B2755" t="s">
        <v>2654</v>
      </c>
      <c r="C2755" t="s">
        <v>4425</v>
      </c>
      <c r="D2755">
        <v>109</v>
      </c>
      <c r="E2755">
        <v>20</v>
      </c>
      <c r="F2755">
        <v>13</v>
      </c>
      <c r="G2755">
        <v>17</v>
      </c>
      <c r="H2755">
        <v>28</v>
      </c>
      <c r="I2755">
        <v>31</v>
      </c>
      <c r="J2755">
        <v>23</v>
      </c>
      <c r="K2755">
        <v>37</v>
      </c>
      <c r="L2755">
        <v>49</v>
      </c>
      <c r="O2755" t="s">
        <v>4426</v>
      </c>
      <c r="P2755" s="1" t="b">
        <f>NOT(OR(Table1[[#This Row],[State]]="Other Foreign Countries", Table1[[#This Row],[State]]="Unknown", Table1[[#This Row],[State]]="Puerto Rico all counties"))</f>
        <v>1</v>
      </c>
    </row>
    <row r="2756" spans="1:16" x14ac:dyDescent="0.25">
      <c r="A2756">
        <v>18155</v>
      </c>
      <c r="B2756" t="s">
        <v>1266</v>
      </c>
      <c r="C2756" t="s">
        <v>1375</v>
      </c>
      <c r="D2756">
        <v>207</v>
      </c>
      <c r="E2756">
        <v>67</v>
      </c>
      <c r="F2756">
        <v>31</v>
      </c>
      <c r="G2756">
        <v>22</v>
      </c>
      <c r="H2756">
        <v>46</v>
      </c>
      <c r="I2756">
        <v>41</v>
      </c>
      <c r="J2756">
        <v>40</v>
      </c>
      <c r="K2756">
        <v>64</v>
      </c>
      <c r="L2756">
        <v>103</v>
      </c>
      <c r="M2756">
        <v>190</v>
      </c>
      <c r="N2756">
        <v>17</v>
      </c>
      <c r="O2756" t="s">
        <v>1376</v>
      </c>
      <c r="P2756" s="1" t="b">
        <f>NOT(OR(Table1[[#This Row],[State]]="Other Foreign Countries", Table1[[#This Row],[State]]="Unknown", Table1[[#This Row],[State]]="Puerto Rico all counties"))</f>
        <v>1</v>
      </c>
    </row>
    <row r="2757" spans="1:16" x14ac:dyDescent="0.25">
      <c r="A2757">
        <v>13263</v>
      </c>
      <c r="B2757" t="s">
        <v>754</v>
      </c>
      <c r="C2757" t="s">
        <v>969</v>
      </c>
      <c r="D2757">
        <v>237</v>
      </c>
      <c r="E2757">
        <v>42</v>
      </c>
      <c r="F2757">
        <v>28</v>
      </c>
      <c r="G2757">
        <v>17</v>
      </c>
      <c r="H2757">
        <v>59</v>
      </c>
      <c r="I2757">
        <v>91</v>
      </c>
      <c r="J2757">
        <v>34</v>
      </c>
      <c r="K2757">
        <v>83</v>
      </c>
      <c r="L2757">
        <v>120</v>
      </c>
      <c r="M2757">
        <v>209</v>
      </c>
      <c r="N2757">
        <v>28</v>
      </c>
      <c r="O2757" t="s">
        <v>970</v>
      </c>
      <c r="P2757" s="1" t="b">
        <f>NOT(OR(Table1[[#This Row],[State]]="Other Foreign Countries", Table1[[#This Row],[State]]="Unknown", Table1[[#This Row],[State]]="Puerto Rico all counties"))</f>
        <v>1</v>
      </c>
    </row>
    <row r="2758" spans="1:16" x14ac:dyDescent="0.25">
      <c r="A2758">
        <v>24041</v>
      </c>
      <c r="B2758" t="s">
        <v>2031</v>
      </c>
      <c r="C2758" t="s">
        <v>969</v>
      </c>
      <c r="D2758">
        <v>553</v>
      </c>
      <c r="E2758">
        <v>123</v>
      </c>
      <c r="F2758">
        <v>63</v>
      </c>
      <c r="G2758">
        <v>78</v>
      </c>
      <c r="H2758">
        <v>154</v>
      </c>
      <c r="I2758">
        <v>135</v>
      </c>
      <c r="J2758">
        <v>112</v>
      </c>
      <c r="K2758">
        <v>158</v>
      </c>
      <c r="L2758">
        <v>283</v>
      </c>
      <c r="M2758">
        <v>496</v>
      </c>
      <c r="N2758">
        <v>56</v>
      </c>
      <c r="O2758" t="s">
        <v>2065</v>
      </c>
      <c r="P2758" s="1" t="b">
        <f>NOT(OR(Table1[[#This Row],[State]]="Other Foreign Countries", Table1[[#This Row],[State]]="Unknown", Table1[[#This Row],[State]]="Puerto Rico all counties"))</f>
        <v>1</v>
      </c>
    </row>
    <row r="2759" spans="1:16" x14ac:dyDescent="0.25">
      <c r="A2759">
        <v>13265</v>
      </c>
      <c r="B2759" t="s">
        <v>754</v>
      </c>
      <c r="C2759" t="s">
        <v>971</v>
      </c>
      <c r="D2759">
        <v>47</v>
      </c>
      <c r="H2759">
        <v>10</v>
      </c>
      <c r="I2759">
        <v>19</v>
      </c>
      <c r="L2759">
        <v>22</v>
      </c>
      <c r="O2759" t="s">
        <v>972</v>
      </c>
      <c r="P2759" s="1" t="b">
        <f>NOT(OR(Table1[[#This Row],[State]]="Other Foreign Countries", Table1[[#This Row],[State]]="Unknown", Table1[[#This Row],[State]]="Puerto Rico all counties"))</f>
        <v>1</v>
      </c>
    </row>
    <row r="2760" spans="1:16" x14ac:dyDescent="0.25">
      <c r="A2760">
        <v>1121</v>
      </c>
      <c r="B2760" t="s">
        <v>15</v>
      </c>
      <c r="C2760" t="s">
        <v>136</v>
      </c>
      <c r="D2760">
        <v>1949</v>
      </c>
      <c r="E2760">
        <v>363</v>
      </c>
      <c r="F2760">
        <v>189</v>
      </c>
      <c r="G2760">
        <v>214</v>
      </c>
      <c r="H2760">
        <v>622</v>
      </c>
      <c r="I2760">
        <v>561</v>
      </c>
      <c r="J2760">
        <v>397</v>
      </c>
      <c r="K2760">
        <v>697</v>
      </c>
      <c r="L2760">
        <v>855</v>
      </c>
      <c r="M2760" s="1">
        <v>1714</v>
      </c>
      <c r="N2760">
        <v>235</v>
      </c>
      <c r="O2760" t="s">
        <v>137</v>
      </c>
      <c r="P2760" s="1" t="b">
        <f>NOT(OR(Table1[[#This Row],[State]]="Other Foreign Countries", Table1[[#This Row],[State]]="Unknown", Table1[[#This Row],[State]]="Puerto Rico all counties"))</f>
        <v>1</v>
      </c>
    </row>
    <row r="2761" spans="1:16" x14ac:dyDescent="0.25">
      <c r="A2761">
        <v>28135</v>
      </c>
      <c r="B2761" t="s">
        <v>322</v>
      </c>
      <c r="C2761" t="s">
        <v>2487</v>
      </c>
      <c r="D2761">
        <v>179</v>
      </c>
      <c r="E2761">
        <v>24</v>
      </c>
      <c r="F2761">
        <v>16</v>
      </c>
      <c r="G2761">
        <v>26</v>
      </c>
      <c r="H2761">
        <v>56</v>
      </c>
      <c r="I2761">
        <v>57</v>
      </c>
      <c r="J2761">
        <v>30</v>
      </c>
      <c r="K2761">
        <v>72</v>
      </c>
      <c r="L2761">
        <v>77</v>
      </c>
      <c r="M2761">
        <v>166</v>
      </c>
      <c r="N2761">
        <v>13</v>
      </c>
      <c r="O2761" t="s">
        <v>2488</v>
      </c>
      <c r="P2761" s="1" t="b">
        <f>NOT(OR(Table1[[#This Row],[State]]="Other Foreign Countries", Table1[[#This Row],[State]]="Unknown", Table1[[#This Row],[State]]="Puerto Rico all counties"))</f>
        <v>1</v>
      </c>
    </row>
    <row r="2762" spans="1:16" x14ac:dyDescent="0.25">
      <c r="A2762">
        <v>1123</v>
      </c>
      <c r="B2762" t="s">
        <v>15</v>
      </c>
      <c r="C2762" t="s">
        <v>138</v>
      </c>
      <c r="D2762">
        <v>1140</v>
      </c>
      <c r="E2762">
        <v>192</v>
      </c>
      <c r="F2762">
        <v>93</v>
      </c>
      <c r="G2762">
        <v>135</v>
      </c>
      <c r="H2762">
        <v>359</v>
      </c>
      <c r="I2762">
        <v>361</v>
      </c>
      <c r="J2762">
        <v>181</v>
      </c>
      <c r="K2762">
        <v>366</v>
      </c>
      <c r="L2762">
        <v>593</v>
      </c>
      <c r="M2762" s="1">
        <v>1035</v>
      </c>
      <c r="N2762">
        <v>105</v>
      </c>
      <c r="O2762" t="s">
        <v>139</v>
      </c>
      <c r="P2762" s="1" t="b">
        <f>NOT(OR(Table1[[#This Row],[State]]="Other Foreign Countries", Table1[[#This Row],[State]]="Unknown", Table1[[#This Row],[State]]="Puerto Rico all counties"))</f>
        <v>1</v>
      </c>
    </row>
    <row r="2763" spans="1:16" x14ac:dyDescent="0.25">
      <c r="A2763">
        <v>19171</v>
      </c>
      <c r="B2763" t="s">
        <v>1399</v>
      </c>
      <c r="C2763" t="s">
        <v>1524</v>
      </c>
      <c r="D2763">
        <v>274</v>
      </c>
      <c r="E2763">
        <v>74</v>
      </c>
      <c r="F2763">
        <v>37</v>
      </c>
      <c r="G2763">
        <v>28</v>
      </c>
      <c r="H2763">
        <v>72</v>
      </c>
      <c r="I2763">
        <v>63</v>
      </c>
      <c r="J2763">
        <v>71</v>
      </c>
      <c r="K2763">
        <v>70</v>
      </c>
      <c r="L2763">
        <v>133</v>
      </c>
      <c r="M2763">
        <v>245</v>
      </c>
      <c r="N2763">
        <v>29</v>
      </c>
      <c r="O2763" t="s">
        <v>1525</v>
      </c>
      <c r="P2763" s="1" t="b">
        <f>NOT(OR(Table1[[#This Row],[State]]="Other Foreign Countries", Table1[[#This Row],[State]]="Unknown", Table1[[#This Row],[State]]="Puerto Rico all counties"))</f>
        <v>1</v>
      </c>
    </row>
    <row r="2764" spans="1:16" x14ac:dyDescent="0.25">
      <c r="A2764">
        <v>29213</v>
      </c>
      <c r="B2764" t="s">
        <v>2510</v>
      </c>
      <c r="C2764" t="s">
        <v>2652</v>
      </c>
      <c r="D2764">
        <v>1375</v>
      </c>
      <c r="E2764">
        <v>356</v>
      </c>
      <c r="F2764">
        <v>159</v>
      </c>
      <c r="G2764">
        <v>174</v>
      </c>
      <c r="H2764">
        <v>389</v>
      </c>
      <c r="I2764">
        <v>297</v>
      </c>
      <c r="J2764">
        <v>271</v>
      </c>
      <c r="K2764">
        <v>419</v>
      </c>
      <c r="L2764">
        <v>685</v>
      </c>
      <c r="M2764" s="1">
        <v>1261</v>
      </c>
      <c r="N2764">
        <v>114</v>
      </c>
      <c r="O2764" t="s">
        <v>2653</v>
      </c>
      <c r="P2764" s="1" t="b">
        <f>NOT(OR(Table1[[#This Row],[State]]="Other Foreign Countries", Table1[[#This Row],[State]]="Unknown", Table1[[#This Row],[State]]="Puerto Rico all counties"))</f>
        <v>1</v>
      </c>
    </row>
    <row r="2765" spans="1:16" x14ac:dyDescent="0.25">
      <c r="A2765">
        <v>22105</v>
      </c>
      <c r="B2765" t="s">
        <v>1892</v>
      </c>
      <c r="C2765" t="s">
        <v>1984</v>
      </c>
      <c r="D2765">
        <v>2555</v>
      </c>
      <c r="E2765">
        <v>483</v>
      </c>
      <c r="F2765">
        <v>219</v>
      </c>
      <c r="G2765">
        <v>282</v>
      </c>
      <c r="H2765">
        <v>829</v>
      </c>
      <c r="I2765">
        <v>742</v>
      </c>
      <c r="J2765">
        <v>703</v>
      </c>
      <c r="K2765">
        <v>867</v>
      </c>
      <c r="L2765">
        <v>985</v>
      </c>
      <c r="M2765" s="1">
        <v>2240</v>
      </c>
      <c r="N2765">
        <v>315</v>
      </c>
      <c r="O2765" t="s">
        <v>1985</v>
      </c>
      <c r="P2765" s="1" t="b">
        <f>NOT(OR(Table1[[#This Row],[State]]="Other Foreign Countries", Table1[[#This Row],[State]]="Unknown", Table1[[#This Row],[State]]="Puerto Rico all counties"))</f>
        <v>1</v>
      </c>
    </row>
    <row r="2766" spans="1:16" x14ac:dyDescent="0.25">
      <c r="A2766">
        <v>35055</v>
      </c>
      <c r="B2766" t="s">
        <v>2971</v>
      </c>
      <c r="C2766" t="s">
        <v>3022</v>
      </c>
      <c r="D2766">
        <v>681</v>
      </c>
      <c r="E2766">
        <v>103</v>
      </c>
      <c r="F2766">
        <v>58</v>
      </c>
      <c r="G2766">
        <v>59</v>
      </c>
      <c r="H2766">
        <v>271</v>
      </c>
      <c r="I2766">
        <v>190</v>
      </c>
      <c r="J2766">
        <v>98</v>
      </c>
      <c r="K2766">
        <v>191</v>
      </c>
      <c r="L2766">
        <v>392</v>
      </c>
      <c r="M2766">
        <v>614</v>
      </c>
      <c r="N2766">
        <v>67</v>
      </c>
      <c r="O2766" t="s">
        <v>3023</v>
      </c>
      <c r="P2766" s="1" t="b">
        <f>NOT(OR(Table1[[#This Row],[State]]="Other Foreign Countries", Table1[[#This Row],[State]]="Unknown", Table1[[#This Row],[State]]="Puerto Rico all counties"))</f>
        <v>1</v>
      </c>
    </row>
    <row r="2767" spans="1:16" x14ac:dyDescent="0.25">
      <c r="A2767">
        <v>48439</v>
      </c>
      <c r="B2767" t="s">
        <v>2654</v>
      </c>
      <c r="C2767" t="s">
        <v>4427</v>
      </c>
      <c r="D2767">
        <v>42439</v>
      </c>
      <c r="E2767" s="1">
        <v>7085</v>
      </c>
      <c r="F2767" s="1">
        <v>4212</v>
      </c>
      <c r="G2767" s="1">
        <v>4966</v>
      </c>
      <c r="H2767" s="1">
        <v>12915</v>
      </c>
      <c r="I2767" s="1">
        <v>13261</v>
      </c>
      <c r="J2767" s="1">
        <v>16178</v>
      </c>
      <c r="K2767" s="1">
        <v>15250</v>
      </c>
      <c r="L2767" s="1">
        <v>11011</v>
      </c>
      <c r="M2767" s="1">
        <v>35758</v>
      </c>
      <c r="N2767" s="1">
        <v>6679</v>
      </c>
      <c r="O2767" t="s">
        <v>4428</v>
      </c>
      <c r="P2767" s="1" t="b">
        <f>NOT(OR(Table1[[#This Row],[State]]="Other Foreign Countries", Table1[[#This Row],[State]]="Unknown", Table1[[#This Row],[State]]="Puerto Rico all counties"))</f>
        <v>1</v>
      </c>
    </row>
    <row r="2768" spans="1:16" x14ac:dyDescent="0.25">
      <c r="A2768">
        <v>28137</v>
      </c>
      <c r="B2768" t="s">
        <v>322</v>
      </c>
      <c r="C2768" t="s">
        <v>2489</v>
      </c>
      <c r="D2768">
        <v>491</v>
      </c>
      <c r="E2768">
        <v>92</v>
      </c>
      <c r="F2768">
        <v>60</v>
      </c>
      <c r="G2768">
        <v>55</v>
      </c>
      <c r="H2768">
        <v>158</v>
      </c>
      <c r="I2768">
        <v>126</v>
      </c>
      <c r="J2768">
        <v>134</v>
      </c>
      <c r="K2768">
        <v>157</v>
      </c>
      <c r="L2768">
        <v>200</v>
      </c>
      <c r="M2768">
        <v>442</v>
      </c>
      <c r="N2768">
        <v>49</v>
      </c>
      <c r="O2768" t="s">
        <v>2490</v>
      </c>
      <c r="P2768" s="1" t="b">
        <f>NOT(OR(Table1[[#This Row],[State]]="Other Foreign Countries", Table1[[#This Row],[State]]="Unknown", Table1[[#This Row],[State]]="Puerto Rico all counties"))</f>
        <v>1</v>
      </c>
    </row>
    <row r="2769" spans="1:16" x14ac:dyDescent="0.25">
      <c r="A2769">
        <v>13267</v>
      </c>
      <c r="B2769" t="s">
        <v>754</v>
      </c>
      <c r="C2769" t="s">
        <v>973</v>
      </c>
      <c r="D2769">
        <v>575</v>
      </c>
      <c r="E2769">
        <v>68</v>
      </c>
      <c r="F2769">
        <v>69</v>
      </c>
      <c r="G2769">
        <v>72</v>
      </c>
      <c r="H2769">
        <v>195</v>
      </c>
      <c r="I2769">
        <v>171</v>
      </c>
      <c r="J2769">
        <v>142</v>
      </c>
      <c r="K2769">
        <v>231</v>
      </c>
      <c r="L2769">
        <v>202</v>
      </c>
      <c r="M2769">
        <v>483</v>
      </c>
      <c r="N2769">
        <v>92</v>
      </c>
      <c r="O2769" t="s">
        <v>974</v>
      </c>
      <c r="P2769" s="1" t="b">
        <f>NOT(OR(Table1[[#This Row],[State]]="Other Foreign Countries", Table1[[#This Row],[State]]="Unknown", Table1[[#This Row],[State]]="Puerto Rico all counties"))</f>
        <v>1</v>
      </c>
    </row>
    <row r="2770" spans="1:16" x14ac:dyDescent="0.25">
      <c r="A2770">
        <v>12123</v>
      </c>
      <c r="B2770" t="s">
        <v>637</v>
      </c>
      <c r="C2770" t="s">
        <v>744</v>
      </c>
      <c r="D2770">
        <v>533</v>
      </c>
      <c r="E2770">
        <v>114</v>
      </c>
      <c r="F2770">
        <v>53</v>
      </c>
      <c r="G2770">
        <v>54</v>
      </c>
      <c r="H2770">
        <v>163</v>
      </c>
      <c r="I2770">
        <v>149</v>
      </c>
      <c r="J2770">
        <v>94</v>
      </c>
      <c r="K2770">
        <v>197</v>
      </c>
      <c r="L2770">
        <v>242</v>
      </c>
      <c r="M2770">
        <v>486</v>
      </c>
      <c r="N2770">
        <v>47</v>
      </c>
      <c r="O2770" t="s">
        <v>745</v>
      </c>
      <c r="P2770" s="1" t="b">
        <f>NOT(OR(Table1[[#This Row],[State]]="Other Foreign Countries", Table1[[#This Row],[State]]="Unknown", Table1[[#This Row],[State]]="Puerto Rico all counties"))</f>
        <v>1</v>
      </c>
    </row>
    <row r="2771" spans="1:16" x14ac:dyDescent="0.25">
      <c r="A2771">
        <v>13269</v>
      </c>
      <c r="B2771" t="s">
        <v>754</v>
      </c>
      <c r="C2771" t="s">
        <v>744</v>
      </c>
      <c r="D2771">
        <v>172</v>
      </c>
      <c r="E2771">
        <v>27</v>
      </c>
      <c r="F2771">
        <v>18</v>
      </c>
      <c r="G2771">
        <v>22</v>
      </c>
      <c r="H2771">
        <v>53</v>
      </c>
      <c r="I2771">
        <v>52</v>
      </c>
      <c r="J2771">
        <v>29</v>
      </c>
      <c r="K2771">
        <v>60</v>
      </c>
      <c r="L2771">
        <v>83</v>
      </c>
      <c r="M2771">
        <v>158</v>
      </c>
      <c r="N2771">
        <v>14</v>
      </c>
      <c r="O2771" t="s">
        <v>975</v>
      </c>
      <c r="P2771" s="1" t="b">
        <f>NOT(OR(Table1[[#This Row],[State]]="Other Foreign Countries", Table1[[#This Row],[State]]="Unknown", Table1[[#This Row],[State]]="Puerto Rico all counties"))</f>
        <v>1</v>
      </c>
    </row>
    <row r="2772" spans="1:16" x14ac:dyDescent="0.25">
      <c r="A2772">
        <v>19173</v>
      </c>
      <c r="B2772" t="s">
        <v>1399</v>
      </c>
      <c r="C2772" t="s">
        <v>744</v>
      </c>
      <c r="D2772">
        <v>114</v>
      </c>
      <c r="E2772">
        <v>41</v>
      </c>
      <c r="F2772">
        <v>15</v>
      </c>
      <c r="G2772">
        <v>10</v>
      </c>
      <c r="H2772">
        <v>28</v>
      </c>
      <c r="I2772">
        <v>20</v>
      </c>
      <c r="J2772">
        <v>22</v>
      </c>
      <c r="K2772">
        <v>28</v>
      </c>
      <c r="L2772">
        <v>64</v>
      </c>
      <c r="M2772">
        <v>102</v>
      </c>
      <c r="N2772">
        <v>11</v>
      </c>
      <c r="O2772" t="s">
        <v>1526</v>
      </c>
      <c r="P2772" s="1" t="b">
        <f>NOT(OR(Table1[[#This Row],[State]]="Other Foreign Countries", Table1[[#This Row],[State]]="Unknown", Table1[[#This Row],[State]]="Puerto Rico all counties"))</f>
        <v>1</v>
      </c>
    </row>
    <row r="2773" spans="1:16" x14ac:dyDescent="0.25">
      <c r="A2773">
        <v>21217</v>
      </c>
      <c r="B2773" t="s">
        <v>1716</v>
      </c>
      <c r="C2773" t="s">
        <v>744</v>
      </c>
      <c r="D2773">
        <v>409</v>
      </c>
      <c r="E2773">
        <v>83</v>
      </c>
      <c r="F2773">
        <v>44</v>
      </c>
      <c r="G2773">
        <v>55</v>
      </c>
      <c r="H2773">
        <v>129</v>
      </c>
      <c r="I2773">
        <v>98</v>
      </c>
      <c r="J2773">
        <v>86</v>
      </c>
      <c r="K2773">
        <v>141</v>
      </c>
      <c r="L2773">
        <v>182</v>
      </c>
      <c r="M2773">
        <v>381</v>
      </c>
      <c r="N2773">
        <v>28</v>
      </c>
      <c r="O2773" t="s">
        <v>1876</v>
      </c>
      <c r="P2773" s="1" t="b">
        <f>NOT(OR(Table1[[#This Row],[State]]="Other Foreign Countries", Table1[[#This Row],[State]]="Unknown", Table1[[#This Row],[State]]="Puerto Rico all counties"))</f>
        <v>1</v>
      </c>
    </row>
    <row r="2774" spans="1:16" x14ac:dyDescent="0.25">
      <c r="A2774">
        <v>48441</v>
      </c>
      <c r="B2774" t="s">
        <v>2654</v>
      </c>
      <c r="C2774" t="s">
        <v>744</v>
      </c>
      <c r="D2774">
        <v>5656</v>
      </c>
      <c r="E2774">
        <v>865</v>
      </c>
      <c r="F2774">
        <v>530</v>
      </c>
      <c r="G2774">
        <v>699</v>
      </c>
      <c r="H2774" s="1">
        <v>1778</v>
      </c>
      <c r="I2774" s="1">
        <v>1784</v>
      </c>
      <c r="J2774" s="1">
        <v>1795</v>
      </c>
      <c r="K2774" s="1">
        <v>2061</v>
      </c>
      <c r="L2774" s="1">
        <v>1800</v>
      </c>
      <c r="M2774" s="1">
        <v>4860</v>
      </c>
      <c r="N2774">
        <v>795</v>
      </c>
      <c r="O2774" t="s">
        <v>4429</v>
      </c>
      <c r="P2774" s="1" t="b">
        <f>NOT(OR(Table1[[#This Row],[State]]="Other Foreign Countries", Table1[[#This Row],[State]]="Unknown", Table1[[#This Row],[State]]="Puerto Rico all counties"))</f>
        <v>1</v>
      </c>
    </row>
    <row r="2775" spans="1:16" x14ac:dyDescent="0.25">
      <c r="A2775">
        <v>54091</v>
      </c>
      <c r="B2775" t="s">
        <v>4833</v>
      </c>
      <c r="C2775" t="s">
        <v>744</v>
      </c>
      <c r="D2775">
        <v>445</v>
      </c>
      <c r="E2775">
        <v>78</v>
      </c>
      <c r="F2775">
        <v>46</v>
      </c>
      <c r="G2775">
        <v>49</v>
      </c>
      <c r="H2775">
        <v>160</v>
      </c>
      <c r="I2775">
        <v>112</v>
      </c>
      <c r="J2775">
        <v>92</v>
      </c>
      <c r="K2775">
        <v>160</v>
      </c>
      <c r="L2775">
        <v>193</v>
      </c>
      <c r="M2775">
        <v>394</v>
      </c>
      <c r="N2775">
        <v>51</v>
      </c>
      <c r="O2775" t="s">
        <v>4893</v>
      </c>
      <c r="P2775" s="1" t="b">
        <f>NOT(OR(Table1[[#This Row],[State]]="Other Foreign Countries", Table1[[#This Row],[State]]="Unknown", Table1[[#This Row],[State]]="Puerto Rico all counties"))</f>
        <v>1</v>
      </c>
    </row>
    <row r="2776" spans="1:16" x14ac:dyDescent="0.25">
      <c r="A2776">
        <v>55119</v>
      </c>
      <c r="B2776" t="s">
        <v>4906</v>
      </c>
      <c r="C2776" t="s">
        <v>744</v>
      </c>
      <c r="D2776">
        <v>381</v>
      </c>
      <c r="E2776">
        <v>117</v>
      </c>
      <c r="F2776">
        <v>46</v>
      </c>
      <c r="G2776">
        <v>54</v>
      </c>
      <c r="H2776">
        <v>98</v>
      </c>
      <c r="I2776">
        <v>66</v>
      </c>
      <c r="J2776">
        <v>63</v>
      </c>
      <c r="K2776">
        <v>105</v>
      </c>
      <c r="L2776">
        <v>213</v>
      </c>
      <c r="M2776">
        <v>356</v>
      </c>
      <c r="N2776">
        <v>25</v>
      </c>
      <c r="O2776" t="s">
        <v>4995</v>
      </c>
      <c r="P2776" s="1" t="b">
        <f>NOT(OR(Table1[[#This Row],[State]]="Other Foreign Countries", Table1[[#This Row],[State]]="Unknown", Table1[[#This Row],[State]]="Puerto Rico all counties"))</f>
        <v>1</v>
      </c>
    </row>
    <row r="2777" spans="1:16" x14ac:dyDescent="0.25">
      <c r="A2777">
        <v>17179</v>
      </c>
      <c r="B2777" t="s">
        <v>1109</v>
      </c>
      <c r="C2777" t="s">
        <v>1245</v>
      </c>
      <c r="D2777">
        <v>2234</v>
      </c>
      <c r="E2777">
        <v>360</v>
      </c>
      <c r="F2777">
        <v>238</v>
      </c>
      <c r="G2777">
        <v>212</v>
      </c>
      <c r="H2777">
        <v>707</v>
      </c>
      <c r="I2777">
        <v>717</v>
      </c>
      <c r="J2777">
        <v>646</v>
      </c>
      <c r="K2777">
        <v>704</v>
      </c>
      <c r="L2777">
        <v>884</v>
      </c>
      <c r="M2777" s="1">
        <v>2037</v>
      </c>
      <c r="N2777">
        <v>197</v>
      </c>
      <c r="O2777" t="s">
        <v>1246</v>
      </c>
      <c r="P2777" s="1" t="b">
        <f>NOT(OR(Table1[[#This Row],[State]]="Other Foreign Countries", Table1[[#This Row],[State]]="Unknown", Table1[[#This Row],[State]]="Puerto Rico all counties"))</f>
        <v>1</v>
      </c>
    </row>
    <row r="2778" spans="1:16" x14ac:dyDescent="0.25">
      <c r="A2778">
        <v>51185</v>
      </c>
      <c r="B2778" t="s">
        <v>4555</v>
      </c>
      <c r="C2778" t="s">
        <v>1245</v>
      </c>
      <c r="D2778">
        <v>879</v>
      </c>
      <c r="E2778">
        <v>165</v>
      </c>
      <c r="F2778">
        <v>76</v>
      </c>
      <c r="G2778">
        <v>79</v>
      </c>
      <c r="H2778">
        <v>336</v>
      </c>
      <c r="I2778">
        <v>223</v>
      </c>
      <c r="J2778">
        <v>122</v>
      </c>
      <c r="K2778">
        <v>275</v>
      </c>
      <c r="L2778">
        <v>482</v>
      </c>
      <c r="M2778">
        <v>828</v>
      </c>
      <c r="N2778">
        <v>51</v>
      </c>
      <c r="O2778" t="s">
        <v>4688</v>
      </c>
      <c r="P2778" s="1" t="b">
        <f>NOT(OR(Table1[[#This Row],[State]]="Other Foreign Countries", Table1[[#This Row],[State]]="Unknown", Table1[[#This Row],[State]]="Puerto Rico all counties"))</f>
        <v>1</v>
      </c>
    </row>
    <row r="2779" spans="1:16" x14ac:dyDescent="0.25">
      <c r="A2779">
        <v>6103</v>
      </c>
      <c r="B2779" t="s">
        <v>374</v>
      </c>
      <c r="C2779" t="s">
        <v>475</v>
      </c>
      <c r="D2779">
        <v>1369</v>
      </c>
      <c r="E2779">
        <v>357</v>
      </c>
      <c r="F2779">
        <v>154</v>
      </c>
      <c r="G2779">
        <v>149</v>
      </c>
      <c r="H2779">
        <v>383</v>
      </c>
      <c r="I2779">
        <v>326</v>
      </c>
      <c r="J2779">
        <v>325</v>
      </c>
      <c r="K2779">
        <v>320</v>
      </c>
      <c r="L2779">
        <v>724</v>
      </c>
      <c r="M2779" s="1">
        <v>1250</v>
      </c>
      <c r="N2779">
        <v>119</v>
      </c>
      <c r="O2779" t="s">
        <v>476</v>
      </c>
      <c r="P2779" s="1" t="b">
        <f>NOT(OR(Table1[[#This Row],[State]]="Other Foreign Countries", Table1[[#This Row],[State]]="Unknown", Table1[[#This Row],[State]]="Puerto Rico all counties"))</f>
        <v>1</v>
      </c>
    </row>
    <row r="2780" spans="1:16" x14ac:dyDescent="0.25">
      <c r="A2780">
        <v>13271</v>
      </c>
      <c r="B2780" t="s">
        <v>754</v>
      </c>
      <c r="C2780" t="s">
        <v>976</v>
      </c>
      <c r="D2780">
        <v>166</v>
      </c>
      <c r="E2780">
        <v>19</v>
      </c>
      <c r="F2780">
        <v>18</v>
      </c>
      <c r="G2780">
        <v>19</v>
      </c>
      <c r="H2780">
        <v>64</v>
      </c>
      <c r="I2780">
        <v>46</v>
      </c>
      <c r="J2780">
        <v>24</v>
      </c>
      <c r="K2780">
        <v>52</v>
      </c>
      <c r="L2780">
        <v>90</v>
      </c>
      <c r="M2780">
        <v>153</v>
      </c>
      <c r="N2780">
        <v>13</v>
      </c>
      <c r="O2780" t="s">
        <v>977</v>
      </c>
      <c r="P2780" s="1" t="b">
        <f>NOT(OR(Table1[[#This Row],[State]]="Other Foreign Countries", Table1[[#This Row],[State]]="Unknown", Table1[[#This Row],[State]]="Puerto Rico all counties"))</f>
        <v>1</v>
      </c>
    </row>
    <row r="2781" spans="1:16" x14ac:dyDescent="0.25">
      <c r="A2781">
        <v>8119</v>
      </c>
      <c r="B2781" t="s">
        <v>489</v>
      </c>
      <c r="C2781" t="s">
        <v>603</v>
      </c>
      <c r="D2781">
        <v>1342</v>
      </c>
      <c r="E2781">
        <v>241</v>
      </c>
      <c r="F2781">
        <v>128</v>
      </c>
      <c r="G2781">
        <v>156</v>
      </c>
      <c r="H2781">
        <v>381</v>
      </c>
      <c r="I2781">
        <v>436</v>
      </c>
      <c r="J2781">
        <v>322</v>
      </c>
      <c r="K2781">
        <v>513</v>
      </c>
      <c r="L2781">
        <v>507</v>
      </c>
      <c r="M2781" s="1">
        <v>1174</v>
      </c>
      <c r="N2781">
        <v>168</v>
      </c>
      <c r="O2781" t="s">
        <v>604</v>
      </c>
      <c r="P2781" s="1" t="b">
        <f>NOT(OR(Table1[[#This Row],[State]]="Other Foreign Countries", Table1[[#This Row],[State]]="Unknown", Table1[[#This Row],[State]]="Puerto Rico all counties"))</f>
        <v>1</v>
      </c>
    </row>
    <row r="2782" spans="1:16" x14ac:dyDescent="0.25">
      <c r="A2782">
        <v>22107</v>
      </c>
      <c r="B2782" t="s">
        <v>1892</v>
      </c>
      <c r="C2782" t="s">
        <v>1986</v>
      </c>
      <c r="D2782">
        <v>48</v>
      </c>
      <c r="H2782">
        <v>20</v>
      </c>
      <c r="I2782">
        <v>11</v>
      </c>
      <c r="J2782">
        <v>11</v>
      </c>
      <c r="K2782">
        <v>11</v>
      </c>
      <c r="L2782">
        <v>26</v>
      </c>
      <c r="O2782" t="s">
        <v>1987</v>
      </c>
      <c r="P2782" s="1" t="b">
        <f>NOT(OR(Table1[[#This Row],[State]]="Other Foreign Countries", Table1[[#This Row],[State]]="Unknown", Table1[[#This Row],[State]]="Puerto Rico all counties"))</f>
        <v>1</v>
      </c>
    </row>
    <row r="2783" spans="1:16" x14ac:dyDescent="0.25">
      <c r="A2783">
        <v>22109</v>
      </c>
      <c r="B2783" t="s">
        <v>1892</v>
      </c>
      <c r="C2783" t="s">
        <v>1988</v>
      </c>
      <c r="D2783">
        <v>1364</v>
      </c>
      <c r="E2783">
        <v>266</v>
      </c>
      <c r="F2783">
        <v>156</v>
      </c>
      <c r="G2783">
        <v>178</v>
      </c>
      <c r="H2783">
        <v>415</v>
      </c>
      <c r="I2783">
        <v>349</v>
      </c>
      <c r="J2783">
        <v>383</v>
      </c>
      <c r="K2783">
        <v>453</v>
      </c>
      <c r="L2783">
        <v>528</v>
      </c>
      <c r="M2783" s="1">
        <v>1218</v>
      </c>
      <c r="N2783">
        <v>146</v>
      </c>
      <c r="O2783" t="s">
        <v>1989</v>
      </c>
      <c r="P2783" s="1" t="b">
        <f>NOT(OR(Table1[[#This Row],[State]]="Other Foreign Countries", Table1[[#This Row],[State]]="Unknown", Table1[[#This Row],[State]]="Puerto Rico all counties"))</f>
        <v>1</v>
      </c>
    </row>
    <row r="2784" spans="1:16" x14ac:dyDescent="0.25">
      <c r="A2784">
        <v>13273</v>
      </c>
      <c r="B2784" t="s">
        <v>754</v>
      </c>
      <c r="C2784" t="s">
        <v>978</v>
      </c>
      <c r="D2784">
        <v>211</v>
      </c>
      <c r="E2784">
        <v>32</v>
      </c>
      <c r="F2784">
        <v>19</v>
      </c>
      <c r="G2784">
        <v>24</v>
      </c>
      <c r="H2784">
        <v>69</v>
      </c>
      <c r="I2784">
        <v>67</v>
      </c>
      <c r="J2784">
        <v>48</v>
      </c>
      <c r="K2784">
        <v>86</v>
      </c>
      <c r="L2784">
        <v>77</v>
      </c>
      <c r="M2784">
        <v>183</v>
      </c>
      <c r="N2784">
        <v>28</v>
      </c>
      <c r="O2784" t="s">
        <v>979</v>
      </c>
      <c r="P2784" s="1" t="b">
        <f>NOT(OR(Table1[[#This Row],[State]]="Other Foreign Countries", Table1[[#This Row],[State]]="Unknown", Table1[[#This Row],[State]]="Puerto Rico all counties"))</f>
        <v>1</v>
      </c>
    </row>
    <row r="2785" spans="1:16" x14ac:dyDescent="0.25">
      <c r="A2785">
        <v>48443</v>
      </c>
      <c r="B2785" t="s">
        <v>2654</v>
      </c>
      <c r="C2785" t="s">
        <v>978</v>
      </c>
      <c r="D2785">
        <v>23</v>
      </c>
      <c r="L2785">
        <v>12</v>
      </c>
      <c r="O2785" t="s">
        <v>4430</v>
      </c>
      <c r="P2785" s="1" t="b">
        <f>NOT(OR(Table1[[#This Row],[State]]="Other Foreign Countries", Table1[[#This Row],[State]]="Unknown", Table1[[#This Row],[State]]="Puerto Rico all counties"))</f>
        <v>1</v>
      </c>
    </row>
    <row r="2786" spans="1:16" x14ac:dyDescent="0.25">
      <c r="A2786">
        <v>48445</v>
      </c>
      <c r="B2786" t="s">
        <v>2654</v>
      </c>
      <c r="C2786" t="s">
        <v>4431</v>
      </c>
      <c r="D2786">
        <v>88</v>
      </c>
      <c r="E2786">
        <v>14</v>
      </c>
      <c r="F2786">
        <v>12</v>
      </c>
      <c r="G2786">
        <v>13</v>
      </c>
      <c r="H2786">
        <v>31</v>
      </c>
      <c r="I2786">
        <v>18</v>
      </c>
      <c r="J2786">
        <v>23</v>
      </c>
      <c r="K2786">
        <v>29</v>
      </c>
      <c r="L2786">
        <v>36</v>
      </c>
      <c r="O2786" t="s">
        <v>4432</v>
      </c>
      <c r="P2786" s="1" t="b">
        <f>NOT(OR(Table1[[#This Row],[State]]="Other Foreign Countries", Table1[[#This Row],[State]]="Unknown", Table1[[#This Row],[State]]="Puerto Rico all counties"))</f>
        <v>1</v>
      </c>
    </row>
    <row r="2787" spans="1:16" x14ac:dyDescent="0.25">
      <c r="A2787">
        <v>16081</v>
      </c>
      <c r="B2787" t="s">
        <v>1032</v>
      </c>
      <c r="C2787" t="s">
        <v>1102</v>
      </c>
      <c r="D2787">
        <v>121</v>
      </c>
      <c r="E2787">
        <v>31</v>
      </c>
      <c r="F2787">
        <v>14</v>
      </c>
      <c r="G2787">
        <v>16</v>
      </c>
      <c r="H2787">
        <v>35</v>
      </c>
      <c r="I2787">
        <v>25</v>
      </c>
      <c r="J2787">
        <v>38</v>
      </c>
      <c r="K2787">
        <v>36</v>
      </c>
      <c r="L2787">
        <v>47</v>
      </c>
      <c r="M2787">
        <v>108</v>
      </c>
      <c r="N2787">
        <v>13</v>
      </c>
      <c r="O2787" t="s">
        <v>1103</v>
      </c>
      <c r="P2787" s="1" t="b">
        <f>NOT(OR(Table1[[#This Row],[State]]="Other Foreign Countries", Table1[[#This Row],[State]]="Unknown", Table1[[#This Row],[State]]="Puerto Rico all counties"))</f>
        <v>1</v>
      </c>
    </row>
    <row r="2788" spans="1:16" x14ac:dyDescent="0.25">
      <c r="A2788">
        <v>30099</v>
      </c>
      <c r="B2788" t="s">
        <v>2665</v>
      </c>
      <c r="C2788" t="s">
        <v>1102</v>
      </c>
      <c r="D2788">
        <v>166</v>
      </c>
      <c r="E2788">
        <v>29</v>
      </c>
      <c r="F2788">
        <v>22</v>
      </c>
      <c r="G2788">
        <v>21</v>
      </c>
      <c r="H2788">
        <v>61</v>
      </c>
      <c r="I2788">
        <v>33</v>
      </c>
      <c r="J2788">
        <v>33</v>
      </c>
      <c r="K2788">
        <v>55</v>
      </c>
      <c r="L2788">
        <v>78</v>
      </c>
      <c r="M2788">
        <v>143</v>
      </c>
      <c r="N2788">
        <v>23</v>
      </c>
      <c r="O2788" t="s">
        <v>2746</v>
      </c>
      <c r="P2788" s="1" t="b">
        <f>NOT(OR(Table1[[#This Row],[State]]="Other Foreign Countries", Table1[[#This Row],[State]]="Unknown", Table1[[#This Row],[State]]="Puerto Rico all counties"))</f>
        <v>1</v>
      </c>
    </row>
    <row r="2789" spans="1:16" x14ac:dyDescent="0.25">
      <c r="A2789">
        <v>56039</v>
      </c>
      <c r="B2789" t="s">
        <v>3117</v>
      </c>
      <c r="C2789" t="s">
        <v>1102</v>
      </c>
      <c r="D2789">
        <v>139</v>
      </c>
      <c r="E2789">
        <v>41</v>
      </c>
      <c r="F2789">
        <v>18</v>
      </c>
      <c r="G2789">
        <v>21</v>
      </c>
      <c r="H2789">
        <v>36</v>
      </c>
      <c r="I2789">
        <v>23</v>
      </c>
      <c r="J2789">
        <v>51</v>
      </c>
      <c r="K2789">
        <v>34</v>
      </c>
      <c r="L2789">
        <v>54</v>
      </c>
      <c r="M2789">
        <v>123</v>
      </c>
      <c r="N2789">
        <v>16</v>
      </c>
      <c r="O2789" t="s">
        <v>5040</v>
      </c>
      <c r="P2789" s="1" t="b">
        <f>NOT(OR(Table1[[#This Row],[State]]="Other Foreign Countries", Table1[[#This Row],[State]]="Unknown", Table1[[#This Row],[State]]="Puerto Rico all counties"))</f>
        <v>1</v>
      </c>
    </row>
    <row r="2790" spans="1:16" x14ac:dyDescent="0.25">
      <c r="A2790">
        <v>29215</v>
      </c>
      <c r="B2790" t="s">
        <v>2510</v>
      </c>
      <c r="C2790" t="s">
        <v>2654</v>
      </c>
      <c r="D2790">
        <v>1159</v>
      </c>
      <c r="E2790">
        <v>216</v>
      </c>
      <c r="F2790">
        <v>102</v>
      </c>
      <c r="G2790">
        <v>134</v>
      </c>
      <c r="H2790">
        <v>370</v>
      </c>
      <c r="I2790">
        <v>337</v>
      </c>
      <c r="J2790">
        <v>199</v>
      </c>
      <c r="K2790">
        <v>443</v>
      </c>
      <c r="L2790">
        <v>517</v>
      </c>
      <c r="M2790" s="1">
        <v>1048</v>
      </c>
      <c r="N2790">
        <v>111</v>
      </c>
      <c r="O2790" t="s">
        <v>2655</v>
      </c>
      <c r="P2790" s="1" t="b">
        <f>NOT(OR(Table1[[#This Row],[State]]="Other Foreign Countries", Table1[[#This Row],[State]]="Unknown", Table1[[#This Row],[State]]="Puerto Rico all counties"))</f>
        <v>1</v>
      </c>
    </row>
    <row r="2791" spans="1:16" x14ac:dyDescent="0.25">
      <c r="A2791">
        <v>40139</v>
      </c>
      <c r="B2791" t="s">
        <v>3495</v>
      </c>
      <c r="C2791" t="s">
        <v>2654</v>
      </c>
      <c r="D2791">
        <v>142</v>
      </c>
      <c r="E2791">
        <v>47</v>
      </c>
      <c r="F2791">
        <v>17</v>
      </c>
      <c r="G2791">
        <v>15</v>
      </c>
      <c r="H2791">
        <v>39</v>
      </c>
      <c r="I2791">
        <v>24</v>
      </c>
      <c r="J2791">
        <v>34</v>
      </c>
      <c r="K2791">
        <v>45</v>
      </c>
      <c r="L2791">
        <v>63</v>
      </c>
      <c r="M2791">
        <v>132</v>
      </c>
      <c r="N2791">
        <v>10</v>
      </c>
      <c r="O2791" t="s">
        <v>3599</v>
      </c>
      <c r="P2791" s="1" t="b">
        <f>NOT(OR(Table1[[#This Row],[State]]="Other Foreign Countries", Table1[[#This Row],[State]]="Unknown", Table1[[#This Row],[State]]="Puerto Rico all counties"))</f>
        <v>1</v>
      </c>
    </row>
    <row r="2792" spans="1:16" x14ac:dyDescent="0.25">
      <c r="A2792">
        <v>31169</v>
      </c>
      <c r="B2792" t="s">
        <v>2758</v>
      </c>
      <c r="C2792" t="s">
        <v>2881</v>
      </c>
      <c r="D2792">
        <v>123</v>
      </c>
      <c r="E2792">
        <v>50</v>
      </c>
      <c r="F2792">
        <v>16</v>
      </c>
      <c r="G2792">
        <v>15</v>
      </c>
      <c r="H2792">
        <v>27</v>
      </c>
      <c r="I2792">
        <v>15</v>
      </c>
      <c r="J2792">
        <v>17</v>
      </c>
      <c r="K2792">
        <v>22</v>
      </c>
      <c r="L2792">
        <v>84</v>
      </c>
      <c r="O2792" t="s">
        <v>2882</v>
      </c>
      <c r="P2792" s="1" t="b">
        <f>NOT(OR(Table1[[#This Row],[State]]="Other Foreign Countries", Table1[[#This Row],[State]]="Unknown", Table1[[#This Row],[State]]="Puerto Rico all counties"))</f>
        <v>1</v>
      </c>
    </row>
    <row r="2793" spans="1:16" x14ac:dyDescent="0.25">
      <c r="A2793">
        <v>13275</v>
      </c>
      <c r="B2793" t="s">
        <v>754</v>
      </c>
      <c r="C2793" t="s">
        <v>980</v>
      </c>
      <c r="D2793">
        <v>991</v>
      </c>
      <c r="E2793">
        <v>157</v>
      </c>
      <c r="F2793">
        <v>112</v>
      </c>
      <c r="G2793">
        <v>117</v>
      </c>
      <c r="H2793">
        <v>319</v>
      </c>
      <c r="I2793">
        <v>286</v>
      </c>
      <c r="J2793">
        <v>253</v>
      </c>
      <c r="K2793">
        <v>339</v>
      </c>
      <c r="L2793">
        <v>399</v>
      </c>
      <c r="M2793">
        <v>850</v>
      </c>
      <c r="N2793">
        <v>141</v>
      </c>
      <c r="O2793" t="s">
        <v>981</v>
      </c>
      <c r="P2793" s="1" t="b">
        <f>NOT(OR(Table1[[#This Row],[State]]="Other Foreign Countries", Table1[[#This Row],[State]]="Unknown", Table1[[#This Row],[State]]="Puerto Rico all counties"))</f>
        <v>1</v>
      </c>
    </row>
    <row r="2794" spans="1:16" x14ac:dyDescent="0.25">
      <c r="A2794">
        <v>20193</v>
      </c>
      <c r="B2794" t="s">
        <v>1543</v>
      </c>
      <c r="C2794" t="s">
        <v>980</v>
      </c>
      <c r="D2794">
        <v>94</v>
      </c>
      <c r="E2794">
        <v>34</v>
      </c>
      <c r="H2794">
        <v>24</v>
      </c>
      <c r="I2794">
        <v>18</v>
      </c>
      <c r="J2794">
        <v>14</v>
      </c>
      <c r="K2794">
        <v>20</v>
      </c>
      <c r="L2794">
        <v>60</v>
      </c>
      <c r="O2794" t="s">
        <v>1700</v>
      </c>
      <c r="P2794" s="1" t="b">
        <f>NOT(OR(Table1[[#This Row],[State]]="Other Foreign Countries", Table1[[#This Row],[State]]="Unknown", Table1[[#This Row],[State]]="Puerto Rico all counties"))</f>
        <v>1</v>
      </c>
    </row>
    <row r="2795" spans="1:16" x14ac:dyDescent="0.25">
      <c r="A2795">
        <v>31171</v>
      </c>
      <c r="B2795" t="s">
        <v>2758</v>
      </c>
      <c r="C2795" t="s">
        <v>980</v>
      </c>
      <c r="D2795">
        <v>20</v>
      </c>
      <c r="E2795">
        <v>10</v>
      </c>
      <c r="O2795" t="s">
        <v>2883</v>
      </c>
      <c r="P2795" s="1" t="b">
        <f>NOT(OR(Table1[[#This Row],[State]]="Other Foreign Countries", Table1[[#This Row],[State]]="Unknown", Table1[[#This Row],[State]]="Puerto Rico all counties"))</f>
        <v>1</v>
      </c>
    </row>
    <row r="2796" spans="1:16" x14ac:dyDescent="0.25">
      <c r="A2796">
        <v>48447</v>
      </c>
      <c r="B2796" t="s">
        <v>2654</v>
      </c>
      <c r="C2796" t="s">
        <v>4433</v>
      </c>
      <c r="D2796">
        <v>25</v>
      </c>
      <c r="L2796">
        <v>11</v>
      </c>
      <c r="O2796" t="s">
        <v>4434</v>
      </c>
      <c r="P2796" s="1" t="b">
        <f>NOT(OR(Table1[[#This Row],[State]]="Other Foreign Countries", Table1[[#This Row],[State]]="Unknown", Table1[[#This Row],[State]]="Puerto Rico all counties"))</f>
        <v>1</v>
      </c>
    </row>
    <row r="2797" spans="1:16" x14ac:dyDescent="0.25">
      <c r="A2797">
        <v>31173</v>
      </c>
      <c r="B2797" t="s">
        <v>2758</v>
      </c>
      <c r="C2797" t="s">
        <v>2884</v>
      </c>
      <c r="D2797">
        <v>80</v>
      </c>
      <c r="E2797">
        <v>25</v>
      </c>
      <c r="F2797">
        <v>10</v>
      </c>
      <c r="G2797">
        <v>12</v>
      </c>
      <c r="H2797">
        <v>21</v>
      </c>
      <c r="I2797">
        <v>12</v>
      </c>
      <c r="J2797">
        <v>11</v>
      </c>
      <c r="K2797">
        <v>26</v>
      </c>
      <c r="L2797">
        <v>43</v>
      </c>
      <c r="O2797" t="s">
        <v>2885</v>
      </c>
      <c r="P2797" s="1" t="b">
        <f>NOT(OR(Table1[[#This Row],[State]]="Other Foreign Countries", Table1[[#This Row],[State]]="Unknown", Table1[[#This Row],[State]]="Puerto Rico all counties"))</f>
        <v>1</v>
      </c>
    </row>
    <row r="2798" spans="1:16" x14ac:dyDescent="0.25">
      <c r="A2798">
        <v>53067</v>
      </c>
      <c r="B2798" t="s">
        <v>144</v>
      </c>
      <c r="C2798" t="s">
        <v>2884</v>
      </c>
      <c r="D2798">
        <v>15129</v>
      </c>
      <c r="E2798" s="1">
        <v>2256</v>
      </c>
      <c r="F2798" s="1">
        <v>1542</v>
      </c>
      <c r="G2798" s="1">
        <v>1715</v>
      </c>
      <c r="H2798" s="1">
        <v>4651</v>
      </c>
      <c r="I2798" s="1">
        <v>4965</v>
      </c>
      <c r="J2798" s="1">
        <v>5094</v>
      </c>
      <c r="K2798" s="1">
        <v>5645</v>
      </c>
      <c r="L2798" s="1">
        <v>4390</v>
      </c>
      <c r="M2798" s="1">
        <v>12713</v>
      </c>
      <c r="N2798" s="1">
        <v>2414</v>
      </c>
      <c r="O2798" t="s">
        <v>4822</v>
      </c>
      <c r="P2798" s="1" t="b">
        <f>NOT(OR(Table1[[#This Row],[State]]="Other Foreign Countries", Table1[[#This Row],[State]]="Unknown", Table1[[#This Row],[State]]="Puerto Rico all counties"))</f>
        <v>1</v>
      </c>
    </row>
    <row r="2799" spans="1:16" x14ac:dyDescent="0.25">
      <c r="A2799">
        <v>13277</v>
      </c>
      <c r="B2799" t="s">
        <v>754</v>
      </c>
      <c r="C2799" t="s">
        <v>982</v>
      </c>
      <c r="D2799">
        <v>804</v>
      </c>
      <c r="E2799">
        <v>114</v>
      </c>
      <c r="F2799">
        <v>73</v>
      </c>
      <c r="G2799">
        <v>90</v>
      </c>
      <c r="H2799">
        <v>260</v>
      </c>
      <c r="I2799">
        <v>267</v>
      </c>
      <c r="J2799">
        <v>224</v>
      </c>
      <c r="K2799">
        <v>286</v>
      </c>
      <c r="L2799">
        <v>294</v>
      </c>
      <c r="M2799">
        <v>671</v>
      </c>
      <c r="N2799">
        <v>133</v>
      </c>
      <c r="O2799" t="s">
        <v>983</v>
      </c>
      <c r="P2799" s="1" t="b">
        <f>NOT(OR(Table1[[#This Row],[State]]="Other Foreign Countries", Table1[[#This Row],[State]]="Unknown", Table1[[#This Row],[State]]="Puerto Rico all counties"))</f>
        <v>1</v>
      </c>
    </row>
    <row r="2800" spans="1:16" x14ac:dyDescent="0.25">
      <c r="A2800">
        <v>41057</v>
      </c>
      <c r="B2800" t="s">
        <v>2607</v>
      </c>
      <c r="C2800" t="s">
        <v>3652</v>
      </c>
      <c r="D2800">
        <v>774</v>
      </c>
      <c r="E2800">
        <v>177</v>
      </c>
      <c r="F2800">
        <v>109</v>
      </c>
      <c r="G2800">
        <v>98</v>
      </c>
      <c r="H2800">
        <v>230</v>
      </c>
      <c r="I2800">
        <v>160</v>
      </c>
      <c r="J2800">
        <v>106</v>
      </c>
      <c r="K2800">
        <v>177</v>
      </c>
      <c r="L2800">
        <v>491</v>
      </c>
      <c r="M2800">
        <v>716</v>
      </c>
      <c r="N2800">
        <v>58</v>
      </c>
      <c r="O2800" t="s">
        <v>3653</v>
      </c>
      <c r="P2800" s="1" t="b">
        <f>NOT(OR(Table1[[#This Row],[State]]="Other Foreign Countries", Table1[[#This Row],[State]]="Unknown", Table1[[#This Row],[State]]="Puerto Rico all counties"))</f>
        <v>1</v>
      </c>
    </row>
    <row r="2801" spans="1:16" x14ac:dyDescent="0.25">
      <c r="A2801">
        <v>40141</v>
      </c>
      <c r="B2801" t="s">
        <v>3495</v>
      </c>
      <c r="C2801" t="s">
        <v>3600</v>
      </c>
      <c r="D2801">
        <v>205</v>
      </c>
      <c r="E2801">
        <v>36</v>
      </c>
      <c r="F2801">
        <v>15</v>
      </c>
      <c r="G2801">
        <v>19</v>
      </c>
      <c r="H2801">
        <v>69</v>
      </c>
      <c r="I2801">
        <v>66</v>
      </c>
      <c r="J2801">
        <v>44</v>
      </c>
      <c r="K2801">
        <v>81</v>
      </c>
      <c r="L2801">
        <v>80</v>
      </c>
      <c r="M2801">
        <v>185</v>
      </c>
      <c r="N2801">
        <v>20</v>
      </c>
      <c r="O2801" t="s">
        <v>3601</v>
      </c>
      <c r="P2801" s="1" t="b">
        <f>NOT(OR(Table1[[#This Row],[State]]="Other Foreign Countries", Table1[[#This Row],[State]]="Unknown", Table1[[#This Row],[State]]="Puerto Rico all counties"))</f>
        <v>1</v>
      </c>
    </row>
    <row r="2802" spans="1:16" x14ac:dyDescent="0.25">
      <c r="A2802">
        <v>36107</v>
      </c>
      <c r="B2802" t="s">
        <v>3029</v>
      </c>
      <c r="C2802" t="s">
        <v>3106</v>
      </c>
      <c r="D2802">
        <v>671</v>
      </c>
      <c r="E2802">
        <v>141</v>
      </c>
      <c r="F2802">
        <v>80</v>
      </c>
      <c r="G2802">
        <v>109</v>
      </c>
      <c r="H2802">
        <v>211</v>
      </c>
      <c r="I2802">
        <v>130</v>
      </c>
      <c r="J2802">
        <v>191</v>
      </c>
      <c r="K2802">
        <v>195</v>
      </c>
      <c r="L2802">
        <v>285</v>
      </c>
      <c r="M2802">
        <v>593</v>
      </c>
      <c r="N2802">
        <v>78</v>
      </c>
      <c r="O2802" t="s">
        <v>3107</v>
      </c>
      <c r="P2802" s="1" t="b">
        <f>NOT(OR(Table1[[#This Row],[State]]="Other Foreign Countries", Table1[[#This Row],[State]]="Unknown", Table1[[#This Row],[State]]="Puerto Rico all counties"))</f>
        <v>1</v>
      </c>
    </row>
    <row r="2803" spans="1:16" x14ac:dyDescent="0.25">
      <c r="A2803">
        <v>42117</v>
      </c>
      <c r="B2803" t="s">
        <v>3665</v>
      </c>
      <c r="C2803" t="s">
        <v>3106</v>
      </c>
      <c r="D2803">
        <v>1042</v>
      </c>
      <c r="E2803">
        <v>251</v>
      </c>
      <c r="F2803">
        <v>132</v>
      </c>
      <c r="G2803">
        <v>124</v>
      </c>
      <c r="H2803">
        <v>282</v>
      </c>
      <c r="I2803">
        <v>253</v>
      </c>
      <c r="J2803">
        <v>220</v>
      </c>
      <c r="K2803">
        <v>327</v>
      </c>
      <c r="L2803">
        <v>495</v>
      </c>
      <c r="M2803">
        <v>973</v>
      </c>
      <c r="N2803">
        <v>68</v>
      </c>
      <c r="O2803" t="s">
        <v>3753</v>
      </c>
      <c r="P2803" s="1" t="b">
        <f>NOT(OR(Table1[[#This Row],[State]]="Other Foreign Countries", Table1[[#This Row],[State]]="Unknown", Table1[[#This Row],[State]]="Puerto Rico all counties"))</f>
        <v>1</v>
      </c>
    </row>
    <row r="2804" spans="1:16" x14ac:dyDescent="0.25">
      <c r="A2804">
        <v>28139</v>
      </c>
      <c r="B2804" t="s">
        <v>322</v>
      </c>
      <c r="C2804" t="s">
        <v>2491</v>
      </c>
      <c r="D2804">
        <v>243</v>
      </c>
      <c r="E2804">
        <v>56</v>
      </c>
      <c r="F2804">
        <v>23</v>
      </c>
      <c r="G2804">
        <v>25</v>
      </c>
      <c r="H2804">
        <v>80</v>
      </c>
      <c r="I2804">
        <v>59</v>
      </c>
      <c r="J2804">
        <v>58</v>
      </c>
      <c r="K2804">
        <v>71</v>
      </c>
      <c r="L2804">
        <v>114</v>
      </c>
      <c r="M2804">
        <v>221</v>
      </c>
      <c r="N2804">
        <v>22</v>
      </c>
      <c r="O2804" t="s">
        <v>2492</v>
      </c>
      <c r="P2804" s="1" t="b">
        <f>NOT(OR(Table1[[#This Row],[State]]="Other Foreign Countries", Table1[[#This Row],[State]]="Unknown", Table1[[#This Row],[State]]="Puerto Rico all counties"))</f>
        <v>1</v>
      </c>
    </row>
    <row r="2805" spans="1:16" x14ac:dyDescent="0.25">
      <c r="A2805">
        <v>18157</v>
      </c>
      <c r="B2805" t="s">
        <v>1266</v>
      </c>
      <c r="C2805" t="s">
        <v>1377</v>
      </c>
      <c r="D2805">
        <v>2088</v>
      </c>
      <c r="E2805">
        <v>515</v>
      </c>
      <c r="F2805">
        <v>277</v>
      </c>
      <c r="G2805">
        <v>285</v>
      </c>
      <c r="H2805">
        <v>639</v>
      </c>
      <c r="I2805">
        <v>372</v>
      </c>
      <c r="J2805">
        <v>741</v>
      </c>
      <c r="K2805">
        <v>640</v>
      </c>
      <c r="L2805">
        <v>707</v>
      </c>
      <c r="M2805" s="1">
        <v>1892</v>
      </c>
      <c r="N2805">
        <v>196</v>
      </c>
      <c r="O2805" t="s">
        <v>1378</v>
      </c>
      <c r="P2805" s="1" t="b">
        <f>NOT(OR(Table1[[#This Row],[State]]="Other Foreign Countries", Table1[[#This Row],[State]]="Unknown", Table1[[#This Row],[State]]="Puerto Rico all counties"))</f>
        <v>1</v>
      </c>
    </row>
    <row r="2806" spans="1:16" x14ac:dyDescent="0.25">
      <c r="A2806">
        <v>18159</v>
      </c>
      <c r="B2806" t="s">
        <v>1266</v>
      </c>
      <c r="C2806" t="s">
        <v>1379</v>
      </c>
      <c r="D2806">
        <v>352</v>
      </c>
      <c r="E2806">
        <v>147</v>
      </c>
      <c r="F2806">
        <v>48</v>
      </c>
      <c r="G2806">
        <v>42</v>
      </c>
      <c r="H2806">
        <v>68</v>
      </c>
      <c r="I2806">
        <v>47</v>
      </c>
      <c r="J2806">
        <v>48</v>
      </c>
      <c r="K2806">
        <v>115</v>
      </c>
      <c r="L2806">
        <v>189</v>
      </c>
      <c r="M2806">
        <v>334</v>
      </c>
      <c r="N2806">
        <v>18</v>
      </c>
      <c r="O2806" t="s">
        <v>1380</v>
      </c>
      <c r="P2806" s="1" t="b">
        <f>NOT(OR(Table1[[#This Row],[State]]="Other Foreign Countries", Table1[[#This Row],[State]]="Unknown", Table1[[#This Row],[State]]="Puerto Rico all counties"))</f>
        <v>1</v>
      </c>
    </row>
    <row r="2807" spans="1:16" x14ac:dyDescent="0.25">
      <c r="A2807">
        <v>47167</v>
      </c>
      <c r="B2807" t="s">
        <v>3951</v>
      </c>
      <c r="C2807" t="s">
        <v>1379</v>
      </c>
      <c r="D2807">
        <v>2311</v>
      </c>
      <c r="E2807">
        <v>434</v>
      </c>
      <c r="F2807">
        <v>210</v>
      </c>
      <c r="G2807">
        <v>291</v>
      </c>
      <c r="H2807">
        <v>650</v>
      </c>
      <c r="I2807">
        <v>726</v>
      </c>
      <c r="J2807">
        <v>489</v>
      </c>
      <c r="K2807" s="1">
        <v>1012</v>
      </c>
      <c r="L2807">
        <v>810</v>
      </c>
      <c r="M2807" s="1">
        <v>1961</v>
      </c>
      <c r="N2807">
        <v>349</v>
      </c>
      <c r="O2807" t="s">
        <v>4058</v>
      </c>
      <c r="P2807" s="1" t="b">
        <f>NOT(OR(Table1[[#This Row],[State]]="Other Foreign Countries", Table1[[#This Row],[State]]="Unknown", Table1[[#This Row],[State]]="Puerto Rico all counties"))</f>
        <v>1</v>
      </c>
    </row>
    <row r="2808" spans="1:16" x14ac:dyDescent="0.25">
      <c r="A2808">
        <v>28141</v>
      </c>
      <c r="B2808" t="s">
        <v>322</v>
      </c>
      <c r="C2808" t="s">
        <v>2493</v>
      </c>
      <c r="D2808">
        <v>328</v>
      </c>
      <c r="E2808">
        <v>56</v>
      </c>
      <c r="F2808">
        <v>32</v>
      </c>
      <c r="G2808">
        <v>44</v>
      </c>
      <c r="H2808">
        <v>106</v>
      </c>
      <c r="I2808">
        <v>90</v>
      </c>
      <c r="J2808">
        <v>98</v>
      </c>
      <c r="K2808">
        <v>91</v>
      </c>
      <c r="L2808">
        <v>139</v>
      </c>
      <c r="M2808">
        <v>308</v>
      </c>
      <c r="N2808">
        <v>20</v>
      </c>
      <c r="O2808" t="s">
        <v>2494</v>
      </c>
      <c r="P2808" s="1" t="b">
        <f>NOT(OR(Table1[[#This Row],[State]]="Other Foreign Countries", Table1[[#This Row],[State]]="Unknown", Table1[[#This Row],[State]]="Puerto Rico all counties"))</f>
        <v>1</v>
      </c>
    </row>
    <row r="2809" spans="1:16" x14ac:dyDescent="0.25">
      <c r="A2809">
        <v>48449</v>
      </c>
      <c r="B2809" t="s">
        <v>2654</v>
      </c>
      <c r="C2809" t="s">
        <v>4435</v>
      </c>
      <c r="D2809">
        <v>461</v>
      </c>
      <c r="E2809">
        <v>87</v>
      </c>
      <c r="F2809">
        <v>41</v>
      </c>
      <c r="G2809">
        <v>60</v>
      </c>
      <c r="H2809">
        <v>128</v>
      </c>
      <c r="I2809">
        <v>145</v>
      </c>
      <c r="J2809">
        <v>130</v>
      </c>
      <c r="K2809">
        <v>157</v>
      </c>
      <c r="L2809">
        <v>174</v>
      </c>
      <c r="M2809">
        <v>420</v>
      </c>
      <c r="N2809">
        <v>41</v>
      </c>
      <c r="O2809" t="s">
        <v>4436</v>
      </c>
      <c r="P2809" s="1" t="b">
        <f>NOT(OR(Table1[[#This Row],[State]]="Other Foreign Countries", Table1[[#This Row],[State]]="Unknown", Table1[[#This Row],[State]]="Puerto Rico all counties"))</f>
        <v>1</v>
      </c>
    </row>
    <row r="2810" spans="1:16" x14ac:dyDescent="0.25">
      <c r="A2810">
        <v>21219</v>
      </c>
      <c r="B2810" t="s">
        <v>1716</v>
      </c>
      <c r="C2810" t="s">
        <v>1877</v>
      </c>
      <c r="D2810">
        <v>313</v>
      </c>
      <c r="E2810">
        <v>43</v>
      </c>
      <c r="F2810">
        <v>30</v>
      </c>
      <c r="G2810">
        <v>32</v>
      </c>
      <c r="H2810">
        <v>96</v>
      </c>
      <c r="I2810">
        <v>112</v>
      </c>
      <c r="J2810">
        <v>91</v>
      </c>
      <c r="K2810">
        <v>116</v>
      </c>
      <c r="L2810">
        <v>106</v>
      </c>
      <c r="M2810">
        <v>285</v>
      </c>
      <c r="N2810">
        <v>28</v>
      </c>
      <c r="O2810" t="s">
        <v>1878</v>
      </c>
      <c r="P2810" s="1" t="b">
        <f>NOT(OR(Table1[[#This Row],[State]]="Other Foreign Countries", Table1[[#This Row],[State]]="Unknown", Table1[[#This Row],[State]]="Puerto Rico all counties"))</f>
        <v>1</v>
      </c>
    </row>
    <row r="2811" spans="1:16" x14ac:dyDescent="0.25">
      <c r="A2811">
        <v>27153</v>
      </c>
      <c r="B2811" t="s">
        <v>2245</v>
      </c>
      <c r="C2811" t="s">
        <v>1877</v>
      </c>
      <c r="D2811">
        <v>812</v>
      </c>
      <c r="E2811">
        <v>325</v>
      </c>
      <c r="F2811">
        <v>103</v>
      </c>
      <c r="G2811">
        <v>80</v>
      </c>
      <c r="H2811">
        <v>179</v>
      </c>
      <c r="I2811">
        <v>125</v>
      </c>
      <c r="J2811">
        <v>91</v>
      </c>
      <c r="K2811">
        <v>160</v>
      </c>
      <c r="L2811">
        <v>561</v>
      </c>
      <c r="M2811">
        <v>764</v>
      </c>
      <c r="N2811">
        <v>47</v>
      </c>
      <c r="O2811" t="s">
        <v>2375</v>
      </c>
      <c r="P2811" s="1" t="b">
        <f>NOT(OR(Table1[[#This Row],[State]]="Other Foreign Countries", Table1[[#This Row],[State]]="Unknown", Table1[[#This Row],[State]]="Puerto Rico all counties"))</f>
        <v>1</v>
      </c>
    </row>
    <row r="2812" spans="1:16" x14ac:dyDescent="0.25">
      <c r="A2812">
        <v>46121</v>
      </c>
      <c r="B2812" t="s">
        <v>3846</v>
      </c>
      <c r="C2812" t="s">
        <v>1877</v>
      </c>
      <c r="D2812">
        <v>71</v>
      </c>
      <c r="E2812">
        <v>17</v>
      </c>
      <c r="F2812">
        <v>14</v>
      </c>
      <c r="G2812">
        <v>11</v>
      </c>
      <c r="H2812">
        <v>16</v>
      </c>
      <c r="I2812">
        <v>13</v>
      </c>
      <c r="J2812">
        <v>11</v>
      </c>
      <c r="K2812">
        <v>25</v>
      </c>
      <c r="L2812">
        <v>35</v>
      </c>
      <c r="O2812" t="s">
        <v>3940</v>
      </c>
      <c r="P2812" s="1" t="b">
        <f>NOT(OR(Table1[[#This Row],[State]]="Other Foreign Countries", Table1[[#This Row],[State]]="Unknown", Table1[[#This Row],[State]]="Puerto Rico all counties"))</f>
        <v>1</v>
      </c>
    </row>
    <row r="2813" spans="1:16" x14ac:dyDescent="0.25">
      <c r="A2813">
        <v>48451</v>
      </c>
      <c r="B2813" t="s">
        <v>2654</v>
      </c>
      <c r="C2813" t="s">
        <v>4437</v>
      </c>
      <c r="D2813">
        <v>3956</v>
      </c>
      <c r="E2813">
        <v>592</v>
      </c>
      <c r="F2813">
        <v>375</v>
      </c>
      <c r="G2813">
        <v>467</v>
      </c>
      <c r="H2813" s="1">
        <v>1246</v>
      </c>
      <c r="I2813" s="1">
        <v>1276</v>
      </c>
      <c r="J2813" s="1">
        <v>1256</v>
      </c>
      <c r="K2813" s="1">
        <v>1402</v>
      </c>
      <c r="L2813" s="1">
        <v>1298</v>
      </c>
      <c r="M2813" s="1">
        <v>3409</v>
      </c>
      <c r="N2813">
        <v>546</v>
      </c>
      <c r="O2813" t="s">
        <v>4438</v>
      </c>
      <c r="P2813" s="1" t="b">
        <f>NOT(OR(Table1[[#This Row],[State]]="Other Foreign Countries", Table1[[#This Row],[State]]="Unknown", Table1[[#This Row],[State]]="Puerto Rico all counties"))</f>
        <v>1</v>
      </c>
    </row>
    <row r="2814" spans="1:16" x14ac:dyDescent="0.25">
      <c r="A2814">
        <v>36109</v>
      </c>
      <c r="B2814" t="s">
        <v>3029</v>
      </c>
      <c r="C2814" t="s">
        <v>3108</v>
      </c>
      <c r="D2814">
        <v>720</v>
      </c>
      <c r="E2814">
        <v>141</v>
      </c>
      <c r="F2814">
        <v>96</v>
      </c>
      <c r="G2814">
        <v>102</v>
      </c>
      <c r="H2814">
        <v>201</v>
      </c>
      <c r="I2814">
        <v>180</v>
      </c>
      <c r="J2814">
        <v>259</v>
      </c>
      <c r="K2814">
        <v>195</v>
      </c>
      <c r="L2814">
        <v>266</v>
      </c>
      <c r="M2814">
        <v>627</v>
      </c>
      <c r="N2814">
        <v>93</v>
      </c>
      <c r="O2814" t="s">
        <v>3109</v>
      </c>
      <c r="P2814" s="1" t="b">
        <f>NOT(OR(Table1[[#This Row],[State]]="Other Foreign Countries", Table1[[#This Row],[State]]="Unknown", Table1[[#This Row],[State]]="Puerto Rico all counties"))</f>
        <v>1</v>
      </c>
    </row>
    <row r="2815" spans="1:16" x14ac:dyDescent="0.25">
      <c r="A2815">
        <v>49045</v>
      </c>
      <c r="B2815" t="s">
        <v>4486</v>
      </c>
      <c r="C2815" t="s">
        <v>4520</v>
      </c>
      <c r="D2815">
        <v>1623</v>
      </c>
      <c r="E2815">
        <v>268</v>
      </c>
      <c r="F2815">
        <v>184</v>
      </c>
      <c r="G2815">
        <v>194</v>
      </c>
      <c r="H2815">
        <v>536</v>
      </c>
      <c r="I2815">
        <v>441</v>
      </c>
      <c r="J2815">
        <v>588</v>
      </c>
      <c r="K2815">
        <v>565</v>
      </c>
      <c r="L2815">
        <v>470</v>
      </c>
      <c r="M2815" s="1">
        <v>1462</v>
      </c>
      <c r="N2815">
        <v>161</v>
      </c>
      <c r="O2815" t="s">
        <v>4521</v>
      </c>
      <c r="P2815" s="1" t="b">
        <f>NOT(OR(Table1[[#This Row],[State]]="Other Foreign Countries", Table1[[#This Row],[State]]="Unknown", Table1[[#This Row],[State]]="Puerto Rico all counties"))</f>
        <v>1</v>
      </c>
    </row>
    <row r="2816" spans="1:16" x14ac:dyDescent="0.25">
      <c r="A2816">
        <v>30101</v>
      </c>
      <c r="B2816" t="s">
        <v>2665</v>
      </c>
      <c r="C2816" t="s">
        <v>2747</v>
      </c>
      <c r="D2816">
        <v>130</v>
      </c>
      <c r="E2816">
        <v>41</v>
      </c>
      <c r="F2816">
        <v>15</v>
      </c>
      <c r="G2816">
        <v>12</v>
      </c>
      <c r="H2816">
        <v>34</v>
      </c>
      <c r="I2816">
        <v>28</v>
      </c>
      <c r="J2816">
        <v>39</v>
      </c>
      <c r="K2816">
        <v>41</v>
      </c>
      <c r="L2816">
        <v>50</v>
      </c>
      <c r="M2816">
        <v>114</v>
      </c>
      <c r="N2816">
        <v>16</v>
      </c>
      <c r="O2816" t="s">
        <v>2748</v>
      </c>
      <c r="P2816" s="1" t="b">
        <f>NOT(OR(Table1[[#This Row],[State]]="Other Foreign Countries", Table1[[#This Row],[State]]="Unknown", Table1[[#This Row],[State]]="Puerto Rico all counties"))</f>
        <v>1</v>
      </c>
    </row>
    <row r="2817" spans="1:16" x14ac:dyDescent="0.25">
      <c r="A2817">
        <v>13279</v>
      </c>
      <c r="B2817" t="s">
        <v>754</v>
      </c>
      <c r="C2817" t="s">
        <v>984</v>
      </c>
      <c r="D2817">
        <v>479</v>
      </c>
      <c r="E2817">
        <v>77</v>
      </c>
      <c r="F2817">
        <v>40</v>
      </c>
      <c r="G2817">
        <v>57</v>
      </c>
      <c r="H2817">
        <v>162</v>
      </c>
      <c r="I2817">
        <v>143</v>
      </c>
      <c r="J2817">
        <v>127</v>
      </c>
      <c r="K2817">
        <v>175</v>
      </c>
      <c r="L2817">
        <v>177</v>
      </c>
      <c r="M2817">
        <v>423</v>
      </c>
      <c r="N2817">
        <v>56</v>
      </c>
      <c r="O2817" t="s">
        <v>985</v>
      </c>
      <c r="P2817" s="1" t="b">
        <f>NOT(OR(Table1[[#This Row],[State]]="Other Foreign Countries", Table1[[#This Row],[State]]="Unknown", Table1[[#This Row],[State]]="Puerto Rico all counties"))</f>
        <v>1</v>
      </c>
    </row>
    <row r="2818" spans="1:16" x14ac:dyDescent="0.25">
      <c r="A2818">
        <v>35057</v>
      </c>
      <c r="B2818" t="s">
        <v>2971</v>
      </c>
      <c r="C2818" t="s">
        <v>3024</v>
      </c>
      <c r="D2818">
        <v>448</v>
      </c>
      <c r="E2818">
        <v>56</v>
      </c>
      <c r="F2818">
        <v>50</v>
      </c>
      <c r="G2818">
        <v>38</v>
      </c>
      <c r="H2818">
        <v>155</v>
      </c>
      <c r="I2818">
        <v>149</v>
      </c>
      <c r="J2818">
        <v>98</v>
      </c>
      <c r="K2818">
        <v>147</v>
      </c>
      <c r="L2818">
        <v>203</v>
      </c>
      <c r="M2818">
        <v>403</v>
      </c>
      <c r="N2818">
        <v>45</v>
      </c>
      <c r="O2818" t="s">
        <v>3025</v>
      </c>
      <c r="P2818" s="1" t="b">
        <f>NOT(OR(Table1[[#This Row],[State]]="Other Foreign Countries", Table1[[#This Row],[State]]="Unknown", Table1[[#This Row],[State]]="Puerto Rico all counties"))</f>
        <v>1</v>
      </c>
    </row>
    <row r="2819" spans="1:16" x14ac:dyDescent="0.25">
      <c r="A2819">
        <v>38095</v>
      </c>
      <c r="B2819" t="s">
        <v>3286</v>
      </c>
      <c r="C2819" t="s">
        <v>3360</v>
      </c>
      <c r="D2819">
        <v>43</v>
      </c>
      <c r="E2819">
        <v>13</v>
      </c>
      <c r="I2819">
        <v>12</v>
      </c>
      <c r="L2819">
        <v>23</v>
      </c>
      <c r="O2819" t="s">
        <v>3361</v>
      </c>
      <c r="P2819" s="1" t="b">
        <f>NOT(OR(Table1[[#This Row],[State]]="Other Foreign Countries", Table1[[#This Row],[State]]="Unknown", Table1[[#This Row],[State]]="Puerto Rico all counties"))</f>
        <v>1</v>
      </c>
    </row>
    <row r="2820" spans="1:16" x14ac:dyDescent="0.25">
      <c r="A2820">
        <v>13281</v>
      </c>
      <c r="B2820" t="s">
        <v>754</v>
      </c>
      <c r="C2820" t="s">
        <v>986</v>
      </c>
      <c r="D2820">
        <v>392</v>
      </c>
      <c r="E2820">
        <v>100</v>
      </c>
      <c r="F2820">
        <v>33</v>
      </c>
      <c r="G2820">
        <v>42</v>
      </c>
      <c r="H2820">
        <v>106</v>
      </c>
      <c r="I2820">
        <v>111</v>
      </c>
      <c r="J2820">
        <v>38</v>
      </c>
      <c r="K2820">
        <v>91</v>
      </c>
      <c r="L2820">
        <v>263</v>
      </c>
      <c r="M2820">
        <v>369</v>
      </c>
      <c r="N2820">
        <v>23</v>
      </c>
      <c r="O2820" t="s">
        <v>987</v>
      </c>
      <c r="P2820" s="1" t="b">
        <f>NOT(OR(Table1[[#This Row],[State]]="Other Foreign Countries", Table1[[#This Row],[State]]="Unknown", Table1[[#This Row],[State]]="Puerto Rico all counties"))</f>
        <v>1</v>
      </c>
    </row>
    <row r="2821" spans="1:16" x14ac:dyDescent="0.25">
      <c r="A2821">
        <v>38097</v>
      </c>
      <c r="B2821" t="s">
        <v>3286</v>
      </c>
      <c r="C2821" t="s">
        <v>3362</v>
      </c>
      <c r="D2821">
        <v>191</v>
      </c>
      <c r="E2821">
        <v>49</v>
      </c>
      <c r="F2821">
        <v>24</v>
      </c>
      <c r="G2821">
        <v>20</v>
      </c>
      <c r="H2821">
        <v>57</v>
      </c>
      <c r="I2821">
        <v>41</v>
      </c>
      <c r="J2821">
        <v>32</v>
      </c>
      <c r="K2821">
        <v>64</v>
      </c>
      <c r="L2821">
        <v>95</v>
      </c>
      <c r="M2821">
        <v>180</v>
      </c>
      <c r="N2821">
        <v>11</v>
      </c>
      <c r="O2821" t="s">
        <v>3363</v>
      </c>
      <c r="P2821" s="1" t="b">
        <f>NOT(OR(Table1[[#This Row],[State]]="Other Foreign Countries", Table1[[#This Row],[State]]="Unknown", Table1[[#This Row],[State]]="Puerto Rico all counties"))</f>
        <v>1</v>
      </c>
    </row>
    <row r="2822" spans="1:16" x14ac:dyDescent="0.25">
      <c r="A2822">
        <v>37175</v>
      </c>
      <c r="B2822" t="s">
        <v>3121</v>
      </c>
      <c r="C2822" t="s">
        <v>3266</v>
      </c>
      <c r="D2822">
        <v>625</v>
      </c>
      <c r="E2822">
        <v>160</v>
      </c>
      <c r="F2822">
        <v>86</v>
      </c>
      <c r="G2822">
        <v>72</v>
      </c>
      <c r="H2822">
        <v>178</v>
      </c>
      <c r="I2822">
        <v>129</v>
      </c>
      <c r="J2822">
        <v>88</v>
      </c>
      <c r="K2822">
        <v>156</v>
      </c>
      <c r="L2822">
        <v>381</v>
      </c>
      <c r="M2822">
        <v>559</v>
      </c>
      <c r="N2822">
        <v>66</v>
      </c>
      <c r="O2822" t="s">
        <v>3267</v>
      </c>
      <c r="P2822" s="1" t="b">
        <f>NOT(OR(Table1[[#This Row],[State]]="Other Foreign Countries", Table1[[#This Row],[State]]="Unknown", Table1[[#This Row],[State]]="Puerto Rico all counties"))</f>
        <v>1</v>
      </c>
    </row>
    <row r="2823" spans="1:16" x14ac:dyDescent="0.25">
      <c r="A2823">
        <v>27155</v>
      </c>
      <c r="B2823" t="s">
        <v>2245</v>
      </c>
      <c r="C2823" t="s">
        <v>2376</v>
      </c>
      <c r="D2823">
        <v>110</v>
      </c>
      <c r="E2823">
        <v>47</v>
      </c>
      <c r="F2823">
        <v>18</v>
      </c>
      <c r="H2823">
        <v>21</v>
      </c>
      <c r="L2823">
        <v>76</v>
      </c>
      <c r="O2823" t="s">
        <v>2377</v>
      </c>
      <c r="P2823" s="1" t="b">
        <f>NOT(OR(Table1[[#This Row],[State]]="Other Foreign Countries", Table1[[#This Row],[State]]="Unknown", Table1[[#This Row],[State]]="Puerto Rico all counties"))</f>
        <v>1</v>
      </c>
    </row>
    <row r="2824" spans="1:16" x14ac:dyDescent="0.25">
      <c r="A2824">
        <v>48453</v>
      </c>
      <c r="B2824" t="s">
        <v>2654</v>
      </c>
      <c r="C2824" t="s">
        <v>4439</v>
      </c>
      <c r="D2824">
        <v>17427</v>
      </c>
      <c r="E2824" s="1">
        <v>3157</v>
      </c>
      <c r="F2824" s="1">
        <v>1788</v>
      </c>
      <c r="G2824" s="1">
        <v>1987</v>
      </c>
      <c r="H2824" s="1">
        <v>5402</v>
      </c>
      <c r="I2824" s="1">
        <v>5093</v>
      </c>
      <c r="J2824" s="1">
        <v>7473</v>
      </c>
      <c r="K2824" s="1">
        <v>5325</v>
      </c>
      <c r="L2824" s="1">
        <v>4629</v>
      </c>
      <c r="M2824" s="1">
        <v>14865</v>
      </c>
      <c r="N2824" s="1">
        <v>2561</v>
      </c>
      <c r="O2824" t="s">
        <v>4440</v>
      </c>
      <c r="P2824" s="1" t="b">
        <f>NOT(OR(Table1[[#This Row],[State]]="Other Foreign Countries", Table1[[#This Row],[State]]="Unknown", Table1[[#This Row],[State]]="Puerto Rico all counties"))</f>
        <v>1</v>
      </c>
    </row>
    <row r="2825" spans="1:16" x14ac:dyDescent="0.25">
      <c r="A2825">
        <v>30103</v>
      </c>
      <c r="B2825" t="s">
        <v>2665</v>
      </c>
      <c r="C2825" t="s">
        <v>2749</v>
      </c>
      <c r="D2825">
        <v>10</v>
      </c>
      <c r="O2825" t="s">
        <v>2750</v>
      </c>
      <c r="P2825" s="1" t="b">
        <f>NOT(OR(Table1[[#This Row],[State]]="Other Foreign Countries", Table1[[#This Row],[State]]="Unknown", Table1[[#This Row],[State]]="Puerto Rico all counties"))</f>
        <v>1</v>
      </c>
    </row>
    <row r="2826" spans="1:16" x14ac:dyDescent="0.25">
      <c r="A2826">
        <v>20195</v>
      </c>
      <c r="B2826" t="s">
        <v>1543</v>
      </c>
      <c r="C2826" t="s">
        <v>1701</v>
      </c>
      <c r="D2826">
        <v>53</v>
      </c>
      <c r="F2826">
        <v>11</v>
      </c>
      <c r="H2826">
        <v>14</v>
      </c>
      <c r="I2826">
        <v>15</v>
      </c>
      <c r="L2826">
        <v>31</v>
      </c>
      <c r="O2826" t="s">
        <v>1702</v>
      </c>
      <c r="P2826" s="1" t="b">
        <f>NOT(OR(Table1[[#This Row],[State]]="Other Foreign Countries", Table1[[#This Row],[State]]="Unknown", Table1[[#This Row],[State]]="Puerto Rico all counties"))</f>
        <v>1</v>
      </c>
    </row>
    <row r="2827" spans="1:16" x14ac:dyDescent="0.25">
      <c r="A2827">
        <v>55121</v>
      </c>
      <c r="B2827" t="s">
        <v>4906</v>
      </c>
      <c r="C2827" t="s">
        <v>4996</v>
      </c>
      <c r="D2827">
        <v>576</v>
      </c>
      <c r="E2827">
        <v>180</v>
      </c>
      <c r="F2827">
        <v>75</v>
      </c>
      <c r="G2827">
        <v>80</v>
      </c>
      <c r="H2827">
        <v>135</v>
      </c>
      <c r="I2827">
        <v>106</v>
      </c>
      <c r="J2827">
        <v>116</v>
      </c>
      <c r="K2827">
        <v>157</v>
      </c>
      <c r="L2827">
        <v>303</v>
      </c>
      <c r="M2827">
        <v>540</v>
      </c>
      <c r="N2827">
        <v>36</v>
      </c>
      <c r="O2827" t="s">
        <v>4997</v>
      </c>
      <c r="P2827" s="1" t="b">
        <f>NOT(OR(Table1[[#This Row],[State]]="Other Foreign Countries", Table1[[#This Row],[State]]="Unknown", Table1[[#This Row],[State]]="Puerto Rico all counties"))</f>
        <v>1</v>
      </c>
    </row>
    <row r="2828" spans="1:16" x14ac:dyDescent="0.25">
      <c r="A2828">
        <v>13283</v>
      </c>
      <c r="B2828" t="s">
        <v>754</v>
      </c>
      <c r="C2828" t="s">
        <v>988</v>
      </c>
      <c r="D2828">
        <v>114</v>
      </c>
      <c r="E2828">
        <v>25</v>
      </c>
      <c r="H2828">
        <v>34</v>
      </c>
      <c r="I2828">
        <v>29</v>
      </c>
      <c r="J2828">
        <v>27</v>
      </c>
      <c r="K2828">
        <v>43</v>
      </c>
      <c r="L2828">
        <v>44</v>
      </c>
      <c r="O2828" t="s">
        <v>989</v>
      </c>
      <c r="P2828" s="1" t="b">
        <f>NOT(OR(Table1[[#This Row],[State]]="Other Foreign Countries", Table1[[#This Row],[State]]="Unknown", Table1[[#This Row],[State]]="Puerto Rico all counties"))</f>
        <v>1</v>
      </c>
    </row>
    <row r="2829" spans="1:16" x14ac:dyDescent="0.25">
      <c r="A2829">
        <v>21221</v>
      </c>
      <c r="B2829" t="s">
        <v>1716</v>
      </c>
      <c r="C2829" t="s">
        <v>1879</v>
      </c>
      <c r="D2829">
        <v>637</v>
      </c>
      <c r="E2829">
        <v>106</v>
      </c>
      <c r="F2829">
        <v>55</v>
      </c>
      <c r="G2829">
        <v>70</v>
      </c>
      <c r="H2829">
        <v>193</v>
      </c>
      <c r="I2829">
        <v>213</v>
      </c>
      <c r="J2829">
        <v>147</v>
      </c>
      <c r="K2829">
        <v>279</v>
      </c>
      <c r="L2829">
        <v>211</v>
      </c>
      <c r="M2829">
        <v>562</v>
      </c>
      <c r="N2829">
        <v>75</v>
      </c>
      <c r="O2829" t="s">
        <v>1880</v>
      </c>
      <c r="P2829" s="1" t="b">
        <f>NOT(OR(Table1[[#This Row],[State]]="Other Foreign Countries", Table1[[#This Row],[State]]="Unknown", Table1[[#This Row],[State]]="Puerto Rico all counties"))</f>
        <v>1</v>
      </c>
    </row>
    <row r="2830" spans="1:16" x14ac:dyDescent="0.25">
      <c r="A2830">
        <v>21223</v>
      </c>
      <c r="B2830" t="s">
        <v>1716</v>
      </c>
      <c r="C2830" t="s">
        <v>1881</v>
      </c>
      <c r="D2830">
        <v>173</v>
      </c>
      <c r="E2830">
        <v>39</v>
      </c>
      <c r="F2830">
        <v>21</v>
      </c>
      <c r="G2830">
        <v>23</v>
      </c>
      <c r="H2830">
        <v>49</v>
      </c>
      <c r="I2830">
        <v>41</v>
      </c>
      <c r="J2830">
        <v>35</v>
      </c>
      <c r="K2830">
        <v>53</v>
      </c>
      <c r="L2830">
        <v>85</v>
      </c>
      <c r="M2830">
        <v>161</v>
      </c>
      <c r="N2830">
        <v>12</v>
      </c>
      <c r="O2830" t="s">
        <v>1882</v>
      </c>
      <c r="P2830" s="1" t="b">
        <f>NOT(OR(Table1[[#This Row],[State]]="Other Foreign Countries", Table1[[#This Row],[State]]="Unknown", Table1[[#This Row],[State]]="Puerto Rico all counties"))</f>
        <v>1</v>
      </c>
    </row>
    <row r="2831" spans="1:16" x14ac:dyDescent="0.25">
      <c r="A2831">
        <v>6105</v>
      </c>
      <c r="B2831" t="s">
        <v>374</v>
      </c>
      <c r="C2831" t="s">
        <v>477</v>
      </c>
      <c r="D2831">
        <v>339</v>
      </c>
      <c r="E2831">
        <v>99</v>
      </c>
      <c r="F2831">
        <v>42</v>
      </c>
      <c r="G2831">
        <v>29</v>
      </c>
      <c r="H2831">
        <v>80</v>
      </c>
      <c r="I2831">
        <v>89</v>
      </c>
      <c r="J2831">
        <v>54</v>
      </c>
      <c r="K2831">
        <v>74</v>
      </c>
      <c r="L2831">
        <v>211</v>
      </c>
      <c r="M2831">
        <v>315</v>
      </c>
      <c r="N2831">
        <v>24</v>
      </c>
      <c r="O2831" t="s">
        <v>478</v>
      </c>
      <c r="P2831" s="1" t="b">
        <f>NOT(OR(Table1[[#This Row],[State]]="Other Foreign Countries", Table1[[#This Row],[State]]="Unknown", Table1[[#This Row],[State]]="Puerto Rico all counties"))</f>
        <v>1</v>
      </c>
    </row>
    <row r="2832" spans="1:16" x14ac:dyDescent="0.25">
      <c r="A2832">
        <v>48455</v>
      </c>
      <c r="B2832" t="s">
        <v>2654</v>
      </c>
      <c r="C2832" t="s">
        <v>477</v>
      </c>
      <c r="D2832">
        <v>432</v>
      </c>
      <c r="E2832">
        <v>79</v>
      </c>
      <c r="F2832">
        <v>39</v>
      </c>
      <c r="G2832">
        <v>54</v>
      </c>
      <c r="H2832">
        <v>149</v>
      </c>
      <c r="I2832">
        <v>111</v>
      </c>
      <c r="J2832">
        <v>88</v>
      </c>
      <c r="K2832">
        <v>128</v>
      </c>
      <c r="L2832">
        <v>216</v>
      </c>
      <c r="M2832">
        <v>385</v>
      </c>
      <c r="N2832">
        <v>47</v>
      </c>
      <c r="O2832" t="s">
        <v>4441</v>
      </c>
      <c r="P2832" s="1" t="b">
        <f>NOT(OR(Table1[[#This Row],[State]]="Other Foreign Countries", Table1[[#This Row],[State]]="Unknown", Table1[[#This Row],[State]]="Puerto Rico all counties"))</f>
        <v>1</v>
      </c>
    </row>
    <row r="2833" spans="1:16" x14ac:dyDescent="0.25">
      <c r="A2833">
        <v>46123</v>
      </c>
      <c r="B2833" t="s">
        <v>3846</v>
      </c>
      <c r="C2833" t="s">
        <v>3941</v>
      </c>
      <c r="D2833">
        <v>80</v>
      </c>
      <c r="E2833">
        <v>28</v>
      </c>
      <c r="F2833">
        <v>16</v>
      </c>
      <c r="H2833">
        <v>18</v>
      </c>
      <c r="J2833">
        <v>19</v>
      </c>
      <c r="K2833">
        <v>22</v>
      </c>
      <c r="L2833">
        <v>39</v>
      </c>
      <c r="O2833" t="s">
        <v>3942</v>
      </c>
      <c r="P2833" s="1" t="b">
        <f>NOT(OR(Table1[[#This Row],[State]]="Other Foreign Countries", Table1[[#This Row],[State]]="Unknown", Table1[[#This Row],[State]]="Puerto Rico all counties"))</f>
        <v>1</v>
      </c>
    </row>
    <row r="2834" spans="1:16" x14ac:dyDescent="0.25">
      <c r="A2834">
        <v>13285</v>
      </c>
      <c r="B2834" t="s">
        <v>754</v>
      </c>
      <c r="C2834" t="s">
        <v>990</v>
      </c>
      <c r="D2834">
        <v>1583</v>
      </c>
      <c r="E2834">
        <v>340</v>
      </c>
      <c r="F2834">
        <v>151</v>
      </c>
      <c r="G2834">
        <v>176</v>
      </c>
      <c r="H2834">
        <v>472</v>
      </c>
      <c r="I2834">
        <v>444</v>
      </c>
      <c r="J2834">
        <v>360</v>
      </c>
      <c r="K2834">
        <v>566</v>
      </c>
      <c r="L2834">
        <v>657</v>
      </c>
      <c r="M2834" s="1">
        <v>1388</v>
      </c>
      <c r="N2834">
        <v>194</v>
      </c>
      <c r="O2834" t="s">
        <v>991</v>
      </c>
      <c r="P2834" s="1" t="b">
        <f>NOT(OR(Table1[[#This Row],[State]]="Other Foreign Countries", Table1[[#This Row],[State]]="Unknown", Table1[[#This Row],[State]]="Puerto Rico all counties"))</f>
        <v>1</v>
      </c>
    </row>
    <row r="2835" spans="1:16" x14ac:dyDescent="0.25">
      <c r="A2835">
        <v>47169</v>
      </c>
      <c r="B2835" t="s">
        <v>3951</v>
      </c>
      <c r="C2835" t="s">
        <v>4059</v>
      </c>
      <c r="D2835">
        <v>218</v>
      </c>
      <c r="E2835">
        <v>41</v>
      </c>
      <c r="F2835">
        <v>24</v>
      </c>
      <c r="G2835">
        <v>27</v>
      </c>
      <c r="H2835">
        <v>70</v>
      </c>
      <c r="I2835">
        <v>56</v>
      </c>
      <c r="J2835">
        <v>65</v>
      </c>
      <c r="K2835">
        <v>81</v>
      </c>
      <c r="L2835">
        <v>72</v>
      </c>
      <c r="M2835">
        <v>193</v>
      </c>
      <c r="N2835">
        <v>25</v>
      </c>
      <c r="O2835" t="s">
        <v>4060</v>
      </c>
      <c r="P2835" s="1" t="b">
        <f>NOT(OR(Table1[[#This Row],[State]]="Other Foreign Countries", Table1[[#This Row],[State]]="Unknown", Table1[[#This Row],[State]]="Puerto Rico all counties"))</f>
        <v>1</v>
      </c>
    </row>
    <row r="2836" spans="1:16" x14ac:dyDescent="0.25">
      <c r="A2836">
        <v>39155</v>
      </c>
      <c r="B2836" t="s">
        <v>1343</v>
      </c>
      <c r="C2836" t="s">
        <v>3478</v>
      </c>
      <c r="D2836">
        <v>4020</v>
      </c>
      <c r="E2836" s="1">
        <v>1004</v>
      </c>
      <c r="F2836">
        <v>471</v>
      </c>
      <c r="G2836">
        <v>519</v>
      </c>
      <c r="H2836" s="1">
        <v>1053</v>
      </c>
      <c r="I2836">
        <v>973</v>
      </c>
      <c r="J2836">
        <v>874</v>
      </c>
      <c r="K2836" s="1">
        <v>1185</v>
      </c>
      <c r="L2836" s="1">
        <v>1961</v>
      </c>
      <c r="M2836" s="1">
        <v>3724</v>
      </c>
      <c r="N2836">
        <v>296</v>
      </c>
      <c r="O2836" t="s">
        <v>3479</v>
      </c>
      <c r="P2836" s="1" t="b">
        <f>NOT(OR(Table1[[#This Row],[State]]="Other Foreign Countries", Table1[[#This Row],[State]]="Unknown", Table1[[#This Row],[State]]="Puerto Rico all counties"))</f>
        <v>1</v>
      </c>
    </row>
    <row r="2837" spans="1:16" x14ac:dyDescent="0.25">
      <c r="A2837">
        <v>54093</v>
      </c>
      <c r="B2837" t="s">
        <v>4833</v>
      </c>
      <c r="C2837" t="s">
        <v>4894</v>
      </c>
      <c r="D2837">
        <v>157</v>
      </c>
      <c r="E2837">
        <v>38</v>
      </c>
      <c r="F2837">
        <v>13</v>
      </c>
      <c r="G2837">
        <v>20</v>
      </c>
      <c r="H2837">
        <v>47</v>
      </c>
      <c r="I2837">
        <v>39</v>
      </c>
      <c r="J2837">
        <v>20</v>
      </c>
      <c r="K2837">
        <v>60</v>
      </c>
      <c r="L2837">
        <v>77</v>
      </c>
      <c r="M2837">
        <v>147</v>
      </c>
      <c r="N2837">
        <v>10</v>
      </c>
      <c r="O2837" t="s">
        <v>4895</v>
      </c>
      <c r="P2837" s="1" t="b">
        <f>NOT(OR(Table1[[#This Row],[State]]="Other Foreign Countries", Table1[[#This Row],[State]]="Unknown", Table1[[#This Row],[State]]="Puerto Rico all counties"))</f>
        <v>1</v>
      </c>
    </row>
    <row r="2838" spans="1:16" x14ac:dyDescent="0.25">
      <c r="A2838">
        <v>6107</v>
      </c>
      <c r="B2838" t="s">
        <v>374</v>
      </c>
      <c r="C2838" t="s">
        <v>479</v>
      </c>
      <c r="D2838">
        <v>5929</v>
      </c>
      <c r="E2838" s="1">
        <v>1657</v>
      </c>
      <c r="F2838">
        <v>620</v>
      </c>
      <c r="G2838">
        <v>713</v>
      </c>
      <c r="H2838" s="1">
        <v>1727</v>
      </c>
      <c r="I2838" s="1">
        <v>1212</v>
      </c>
      <c r="J2838" s="1">
        <v>1935</v>
      </c>
      <c r="K2838" s="1">
        <v>1546</v>
      </c>
      <c r="L2838" s="1">
        <v>2448</v>
      </c>
      <c r="M2838" s="1">
        <v>5478</v>
      </c>
      <c r="N2838">
        <v>450</v>
      </c>
      <c r="O2838" t="s">
        <v>480</v>
      </c>
      <c r="P2838" s="1" t="b">
        <f>NOT(OR(Table1[[#This Row],[State]]="Other Foreign Countries", Table1[[#This Row],[State]]="Unknown", Table1[[#This Row],[State]]="Puerto Rico all counties"))</f>
        <v>1</v>
      </c>
    </row>
    <row r="2839" spans="1:16" x14ac:dyDescent="0.25">
      <c r="A2839">
        <v>40143</v>
      </c>
      <c r="B2839" t="s">
        <v>3495</v>
      </c>
      <c r="C2839" t="s">
        <v>3602</v>
      </c>
      <c r="D2839">
        <v>13244</v>
      </c>
      <c r="E2839" s="1">
        <v>2999</v>
      </c>
      <c r="F2839" s="1">
        <v>1440</v>
      </c>
      <c r="G2839" s="1">
        <v>1540</v>
      </c>
      <c r="H2839" s="1">
        <v>4070</v>
      </c>
      <c r="I2839" s="1">
        <v>3195</v>
      </c>
      <c r="J2839" s="1">
        <v>3780</v>
      </c>
      <c r="K2839" s="1">
        <v>4056</v>
      </c>
      <c r="L2839" s="1">
        <v>5408</v>
      </c>
      <c r="M2839" s="1">
        <v>11898</v>
      </c>
      <c r="N2839" s="1">
        <v>1346</v>
      </c>
      <c r="O2839" t="s">
        <v>3603</v>
      </c>
      <c r="P2839" s="1" t="b">
        <f>NOT(OR(Table1[[#This Row],[State]]="Other Foreign Countries", Table1[[#This Row],[State]]="Unknown", Table1[[#This Row],[State]]="Puerto Rico all counties"))</f>
        <v>1</v>
      </c>
    </row>
    <row r="2840" spans="1:16" x14ac:dyDescent="0.25">
      <c r="A2840">
        <v>28143</v>
      </c>
      <c r="B2840" t="s">
        <v>322</v>
      </c>
      <c r="C2840" t="s">
        <v>2495</v>
      </c>
      <c r="D2840">
        <v>138</v>
      </c>
      <c r="E2840">
        <v>33</v>
      </c>
      <c r="H2840">
        <v>45</v>
      </c>
      <c r="I2840">
        <v>36</v>
      </c>
      <c r="J2840">
        <v>22</v>
      </c>
      <c r="K2840">
        <v>56</v>
      </c>
      <c r="L2840">
        <v>60</v>
      </c>
      <c r="M2840">
        <v>113</v>
      </c>
      <c r="N2840">
        <v>25</v>
      </c>
      <c r="O2840" t="s">
        <v>2496</v>
      </c>
      <c r="P2840" s="1" t="b">
        <f>NOT(OR(Table1[[#This Row],[State]]="Other Foreign Countries", Table1[[#This Row],[State]]="Unknown", Table1[[#This Row],[State]]="Puerto Rico all counties"))</f>
        <v>1</v>
      </c>
    </row>
    <row r="2841" spans="1:16" x14ac:dyDescent="0.25">
      <c r="A2841">
        <v>6109</v>
      </c>
      <c r="B2841" t="s">
        <v>374</v>
      </c>
      <c r="C2841" t="s">
        <v>481</v>
      </c>
      <c r="D2841">
        <v>1173</v>
      </c>
      <c r="E2841">
        <v>271</v>
      </c>
      <c r="F2841">
        <v>127</v>
      </c>
      <c r="G2841">
        <v>138</v>
      </c>
      <c r="H2841">
        <v>348</v>
      </c>
      <c r="I2841">
        <v>289</v>
      </c>
      <c r="J2841">
        <v>270</v>
      </c>
      <c r="K2841">
        <v>271</v>
      </c>
      <c r="L2841">
        <v>632</v>
      </c>
      <c r="M2841" s="1">
        <v>1086</v>
      </c>
      <c r="N2841">
        <v>87</v>
      </c>
      <c r="O2841" t="s">
        <v>482</v>
      </c>
      <c r="P2841" s="1" t="b">
        <f>NOT(OR(Table1[[#This Row],[State]]="Other Foreign Countries", Table1[[#This Row],[State]]="Unknown", Table1[[#This Row],[State]]="Puerto Rico all counties"))</f>
        <v>1</v>
      </c>
    </row>
    <row r="2842" spans="1:16" x14ac:dyDescent="0.25">
      <c r="A2842">
        <v>13287</v>
      </c>
      <c r="B2842" t="s">
        <v>754</v>
      </c>
      <c r="C2842" t="s">
        <v>992</v>
      </c>
      <c r="D2842">
        <v>185</v>
      </c>
      <c r="E2842">
        <v>31</v>
      </c>
      <c r="F2842">
        <v>17</v>
      </c>
      <c r="G2842">
        <v>19</v>
      </c>
      <c r="H2842">
        <v>61</v>
      </c>
      <c r="I2842">
        <v>57</v>
      </c>
      <c r="J2842">
        <v>53</v>
      </c>
      <c r="K2842">
        <v>62</v>
      </c>
      <c r="L2842">
        <v>70</v>
      </c>
      <c r="M2842">
        <v>157</v>
      </c>
      <c r="N2842">
        <v>28</v>
      </c>
      <c r="O2842" t="s">
        <v>993</v>
      </c>
      <c r="P2842" s="1" t="b">
        <f>NOT(OR(Table1[[#This Row],[State]]="Other Foreign Countries", Table1[[#This Row],[State]]="Unknown", Table1[[#This Row],[State]]="Puerto Rico all counties"))</f>
        <v>1</v>
      </c>
    </row>
    <row r="2843" spans="1:16" x14ac:dyDescent="0.25">
      <c r="A2843">
        <v>46125</v>
      </c>
      <c r="B2843" t="s">
        <v>3846</v>
      </c>
      <c r="C2843" t="s">
        <v>992</v>
      </c>
      <c r="D2843">
        <v>243</v>
      </c>
      <c r="E2843">
        <v>77</v>
      </c>
      <c r="F2843">
        <v>28</v>
      </c>
      <c r="G2843">
        <v>26</v>
      </c>
      <c r="H2843">
        <v>74</v>
      </c>
      <c r="I2843">
        <v>38</v>
      </c>
      <c r="J2843">
        <v>60</v>
      </c>
      <c r="K2843">
        <v>78</v>
      </c>
      <c r="L2843">
        <v>105</v>
      </c>
      <c r="M2843">
        <v>225</v>
      </c>
      <c r="N2843">
        <v>18</v>
      </c>
      <c r="O2843" t="s">
        <v>3943</v>
      </c>
      <c r="P2843" s="1" t="b">
        <f>NOT(OR(Table1[[#This Row],[State]]="Other Foreign Countries", Table1[[#This Row],[State]]="Unknown", Table1[[#This Row],[State]]="Puerto Rico all counties"))</f>
        <v>1</v>
      </c>
    </row>
    <row r="2844" spans="1:16" x14ac:dyDescent="0.25">
      <c r="A2844">
        <v>1125</v>
      </c>
      <c r="B2844" t="s">
        <v>15</v>
      </c>
      <c r="C2844" t="s">
        <v>140</v>
      </c>
      <c r="D2844">
        <v>4150</v>
      </c>
      <c r="E2844">
        <v>584</v>
      </c>
      <c r="F2844">
        <v>383</v>
      </c>
      <c r="G2844">
        <v>417</v>
      </c>
      <c r="H2844" s="1">
        <v>1373</v>
      </c>
      <c r="I2844" s="1">
        <v>1393</v>
      </c>
      <c r="J2844" s="1">
        <v>1048</v>
      </c>
      <c r="K2844" s="1">
        <v>1525</v>
      </c>
      <c r="L2844" s="1">
        <v>1577</v>
      </c>
      <c r="M2844" s="1">
        <v>3523</v>
      </c>
      <c r="N2844">
        <v>627</v>
      </c>
      <c r="O2844" t="s">
        <v>141</v>
      </c>
      <c r="P2844" s="1" t="b">
        <f>NOT(OR(Table1[[#This Row],[State]]="Other Foreign Countries", Table1[[#This Row],[State]]="Unknown", Table1[[#This Row],[State]]="Puerto Rico all counties"))</f>
        <v>1</v>
      </c>
    </row>
    <row r="2845" spans="1:16" x14ac:dyDescent="0.25">
      <c r="A2845">
        <v>39157</v>
      </c>
      <c r="B2845" t="s">
        <v>1343</v>
      </c>
      <c r="C2845" t="s">
        <v>3480</v>
      </c>
      <c r="D2845">
        <v>1649</v>
      </c>
      <c r="E2845">
        <v>474</v>
      </c>
      <c r="F2845">
        <v>197</v>
      </c>
      <c r="G2845">
        <v>250</v>
      </c>
      <c r="H2845">
        <v>428</v>
      </c>
      <c r="I2845">
        <v>300</v>
      </c>
      <c r="J2845">
        <v>415</v>
      </c>
      <c r="K2845">
        <v>438</v>
      </c>
      <c r="L2845">
        <v>796</v>
      </c>
      <c r="M2845" s="1">
        <v>1539</v>
      </c>
      <c r="N2845">
        <v>110</v>
      </c>
      <c r="O2845" t="s">
        <v>3481</v>
      </c>
      <c r="P2845" s="1" t="b">
        <f>NOT(OR(Table1[[#This Row],[State]]="Other Foreign Countries", Table1[[#This Row],[State]]="Unknown", Table1[[#This Row],[State]]="Puerto Rico all counties"))</f>
        <v>1</v>
      </c>
    </row>
    <row r="2846" spans="1:16" x14ac:dyDescent="0.25">
      <c r="A2846">
        <v>26157</v>
      </c>
      <c r="B2846" t="s">
        <v>2099</v>
      </c>
      <c r="C2846" t="s">
        <v>2237</v>
      </c>
      <c r="D2846">
        <v>1302</v>
      </c>
      <c r="E2846">
        <v>376</v>
      </c>
      <c r="F2846">
        <v>136</v>
      </c>
      <c r="G2846">
        <v>172</v>
      </c>
      <c r="H2846">
        <v>366</v>
      </c>
      <c r="I2846">
        <v>252</v>
      </c>
      <c r="J2846">
        <v>246</v>
      </c>
      <c r="K2846">
        <v>363</v>
      </c>
      <c r="L2846">
        <v>693</v>
      </c>
      <c r="M2846" s="1">
        <v>1204</v>
      </c>
      <c r="N2846">
        <v>98</v>
      </c>
      <c r="O2846" t="s">
        <v>2238</v>
      </c>
      <c r="P2846" s="1" t="b">
        <f>NOT(OR(Table1[[#This Row],[State]]="Other Foreign Countries", Table1[[#This Row],[State]]="Unknown", Table1[[#This Row],[State]]="Puerto Rico all counties"))</f>
        <v>1</v>
      </c>
    </row>
    <row r="2847" spans="1:16" x14ac:dyDescent="0.25">
      <c r="A2847">
        <v>13289</v>
      </c>
      <c r="B2847" t="s">
        <v>754</v>
      </c>
      <c r="C2847" t="s">
        <v>994</v>
      </c>
      <c r="D2847">
        <v>219</v>
      </c>
      <c r="E2847">
        <v>29</v>
      </c>
      <c r="F2847">
        <v>29</v>
      </c>
      <c r="G2847">
        <v>27</v>
      </c>
      <c r="H2847">
        <v>69</v>
      </c>
      <c r="I2847">
        <v>65</v>
      </c>
      <c r="J2847">
        <v>45</v>
      </c>
      <c r="K2847">
        <v>81</v>
      </c>
      <c r="L2847">
        <v>93</v>
      </c>
      <c r="M2847">
        <v>187</v>
      </c>
      <c r="N2847">
        <v>32</v>
      </c>
      <c r="O2847" t="s">
        <v>995</v>
      </c>
      <c r="P2847" s="1" t="b">
        <f>NOT(OR(Table1[[#This Row],[State]]="Other Foreign Countries", Table1[[#This Row],[State]]="Unknown", Table1[[#This Row],[State]]="Puerto Rico all counties"))</f>
        <v>1</v>
      </c>
    </row>
    <row r="2848" spans="1:16" x14ac:dyDescent="0.25">
      <c r="A2848">
        <v>16083</v>
      </c>
      <c r="B2848" t="s">
        <v>1032</v>
      </c>
      <c r="C2848" t="s">
        <v>1104</v>
      </c>
      <c r="D2848">
        <v>1689</v>
      </c>
      <c r="E2848">
        <v>347</v>
      </c>
      <c r="F2848">
        <v>196</v>
      </c>
      <c r="G2848">
        <v>221</v>
      </c>
      <c r="H2848">
        <v>498</v>
      </c>
      <c r="I2848">
        <v>427</v>
      </c>
      <c r="J2848">
        <v>549</v>
      </c>
      <c r="K2848">
        <v>445</v>
      </c>
      <c r="L2848">
        <v>695</v>
      </c>
      <c r="M2848" s="1">
        <v>1526</v>
      </c>
      <c r="N2848">
        <v>161</v>
      </c>
      <c r="O2848" t="s">
        <v>1105</v>
      </c>
      <c r="P2848" s="1" t="b">
        <f>NOT(OR(Table1[[#This Row],[State]]="Other Foreign Countries", Table1[[#This Row],[State]]="Unknown", Table1[[#This Row],[State]]="Puerto Rico all counties"))</f>
        <v>1</v>
      </c>
    </row>
    <row r="2849" spans="1:16" x14ac:dyDescent="0.25">
      <c r="A2849">
        <v>48457</v>
      </c>
      <c r="B2849" t="s">
        <v>2654</v>
      </c>
      <c r="C2849" t="s">
        <v>4442</v>
      </c>
      <c r="D2849">
        <v>572</v>
      </c>
      <c r="E2849">
        <v>112</v>
      </c>
      <c r="F2849">
        <v>57</v>
      </c>
      <c r="G2849">
        <v>68</v>
      </c>
      <c r="H2849">
        <v>169</v>
      </c>
      <c r="I2849">
        <v>166</v>
      </c>
      <c r="J2849">
        <v>115</v>
      </c>
      <c r="K2849">
        <v>186</v>
      </c>
      <c r="L2849">
        <v>271</v>
      </c>
      <c r="M2849">
        <v>520</v>
      </c>
      <c r="N2849">
        <v>52</v>
      </c>
      <c r="O2849" t="s">
        <v>4443</v>
      </c>
      <c r="P2849" s="1" t="b">
        <f>NOT(OR(Table1[[#This Row],[State]]="Other Foreign Countries", Table1[[#This Row],[State]]="Unknown", Table1[[#This Row],[State]]="Puerto Rico all counties"))</f>
        <v>1</v>
      </c>
    </row>
    <row r="2850" spans="1:16" x14ac:dyDescent="0.25">
      <c r="A2850">
        <v>54095</v>
      </c>
      <c r="B2850" t="s">
        <v>4833</v>
      </c>
      <c r="C2850" t="s">
        <v>4442</v>
      </c>
      <c r="D2850">
        <v>176</v>
      </c>
      <c r="E2850">
        <v>35</v>
      </c>
      <c r="F2850">
        <v>12</v>
      </c>
      <c r="G2850">
        <v>16</v>
      </c>
      <c r="H2850">
        <v>64</v>
      </c>
      <c r="I2850">
        <v>49</v>
      </c>
      <c r="J2850">
        <v>36</v>
      </c>
      <c r="K2850">
        <v>58</v>
      </c>
      <c r="L2850">
        <v>82</v>
      </c>
      <c r="O2850" t="s">
        <v>4896</v>
      </c>
      <c r="P2850" s="1" t="b">
        <f>NOT(OR(Table1[[#This Row],[State]]="Other Foreign Countries", Table1[[#This Row],[State]]="Unknown", Table1[[#This Row],[State]]="Puerto Rico all counties"))</f>
        <v>1</v>
      </c>
    </row>
    <row r="2851" spans="1:16" x14ac:dyDescent="0.25">
      <c r="A2851">
        <v>37177</v>
      </c>
      <c r="B2851" t="s">
        <v>3121</v>
      </c>
      <c r="C2851" t="s">
        <v>3268</v>
      </c>
      <c r="D2851">
        <v>81</v>
      </c>
      <c r="E2851">
        <v>16</v>
      </c>
      <c r="F2851">
        <v>11</v>
      </c>
      <c r="G2851">
        <v>16</v>
      </c>
      <c r="H2851">
        <v>22</v>
      </c>
      <c r="I2851">
        <v>16</v>
      </c>
      <c r="J2851">
        <v>19</v>
      </c>
      <c r="K2851">
        <v>21</v>
      </c>
      <c r="L2851">
        <v>41</v>
      </c>
      <c r="O2851" t="s">
        <v>3269</v>
      </c>
      <c r="P2851" s="1" t="b">
        <f>NOT(OR(Table1[[#This Row],[State]]="Other Foreign Countries", Table1[[#This Row],[State]]="Unknown", Table1[[#This Row],[State]]="Puerto Rico all counties"))</f>
        <v>1</v>
      </c>
    </row>
    <row r="2852" spans="1:16" x14ac:dyDescent="0.25">
      <c r="A2852">
        <v>56041</v>
      </c>
      <c r="B2852" t="s">
        <v>3117</v>
      </c>
      <c r="C2852" t="s">
        <v>5041</v>
      </c>
      <c r="D2852">
        <v>360</v>
      </c>
      <c r="E2852">
        <v>84</v>
      </c>
      <c r="F2852">
        <v>49</v>
      </c>
      <c r="G2852">
        <v>48</v>
      </c>
      <c r="H2852">
        <v>109</v>
      </c>
      <c r="I2852">
        <v>70</v>
      </c>
      <c r="J2852">
        <v>94</v>
      </c>
      <c r="K2852">
        <v>108</v>
      </c>
      <c r="L2852">
        <v>158</v>
      </c>
      <c r="M2852">
        <v>326</v>
      </c>
      <c r="N2852">
        <v>34</v>
      </c>
      <c r="O2852" t="s">
        <v>5042</v>
      </c>
      <c r="P2852" s="1" t="b">
        <f>NOT(OR(Table1[[#This Row],[State]]="Other Foreign Countries", Table1[[#This Row],[State]]="Unknown", Table1[[#This Row],[State]]="Puerto Rico all counties"))</f>
        <v>1</v>
      </c>
    </row>
    <row r="2853" spans="1:16" x14ac:dyDescent="0.25">
      <c r="A2853">
        <v>49047</v>
      </c>
      <c r="B2853" t="s">
        <v>4486</v>
      </c>
      <c r="C2853" t="s">
        <v>4522</v>
      </c>
      <c r="D2853">
        <v>455</v>
      </c>
      <c r="E2853">
        <v>94</v>
      </c>
      <c r="F2853">
        <v>50</v>
      </c>
      <c r="G2853">
        <v>66</v>
      </c>
      <c r="H2853">
        <v>138</v>
      </c>
      <c r="I2853">
        <v>107</v>
      </c>
      <c r="J2853">
        <v>134</v>
      </c>
      <c r="K2853">
        <v>140</v>
      </c>
      <c r="L2853">
        <v>181</v>
      </c>
      <c r="M2853">
        <v>414</v>
      </c>
      <c r="N2853">
        <v>41</v>
      </c>
      <c r="O2853" t="s">
        <v>4523</v>
      </c>
      <c r="P2853" s="1" t="b">
        <f>NOT(OR(Table1[[#This Row],[State]]="Other Foreign Countries", Table1[[#This Row],[State]]="Unknown", Table1[[#This Row],[State]]="Puerto Rico all counties"))</f>
        <v>1</v>
      </c>
    </row>
    <row r="2854" spans="1:16" x14ac:dyDescent="0.25">
      <c r="A2854">
        <v>36111</v>
      </c>
      <c r="B2854" t="s">
        <v>3029</v>
      </c>
      <c r="C2854" t="s">
        <v>3110</v>
      </c>
      <c r="D2854">
        <v>1823</v>
      </c>
      <c r="E2854">
        <v>501</v>
      </c>
      <c r="F2854">
        <v>212</v>
      </c>
      <c r="G2854">
        <v>229</v>
      </c>
      <c r="H2854">
        <v>469</v>
      </c>
      <c r="I2854">
        <v>412</v>
      </c>
      <c r="J2854">
        <v>420</v>
      </c>
      <c r="K2854">
        <v>485</v>
      </c>
      <c r="L2854">
        <v>918</v>
      </c>
      <c r="M2854" s="1">
        <v>1643</v>
      </c>
      <c r="N2854">
        <v>180</v>
      </c>
      <c r="O2854" t="s">
        <v>3111</v>
      </c>
      <c r="P2854" s="1" t="b">
        <f>NOT(OR(Table1[[#This Row],[State]]="Other Foreign Countries", Table1[[#This Row],[State]]="Unknown", Table1[[#This Row],[State]]="Puerto Rico all counties"))</f>
        <v>1</v>
      </c>
    </row>
    <row r="2855" spans="1:16" x14ac:dyDescent="0.25">
      <c r="A2855">
        <v>41059</v>
      </c>
      <c r="B2855" t="s">
        <v>2607</v>
      </c>
      <c r="C2855" t="s">
        <v>3654</v>
      </c>
      <c r="D2855">
        <v>1711</v>
      </c>
      <c r="E2855">
        <v>399</v>
      </c>
      <c r="F2855">
        <v>209</v>
      </c>
      <c r="G2855">
        <v>248</v>
      </c>
      <c r="H2855">
        <v>483</v>
      </c>
      <c r="I2855">
        <v>372</v>
      </c>
      <c r="J2855">
        <v>404</v>
      </c>
      <c r="K2855">
        <v>497</v>
      </c>
      <c r="L2855">
        <v>810</v>
      </c>
      <c r="M2855" s="1">
        <v>1575</v>
      </c>
      <c r="N2855">
        <v>135</v>
      </c>
      <c r="O2855" t="s">
        <v>3655</v>
      </c>
      <c r="P2855" s="1" t="b">
        <f>NOT(OR(Table1[[#This Row],[State]]="Other Foreign Countries", Table1[[#This Row],[State]]="Unknown", Table1[[#This Row],[State]]="Puerto Rico all counties"))</f>
        <v>1</v>
      </c>
    </row>
    <row r="2856" spans="1:16" x14ac:dyDescent="0.25">
      <c r="A2856">
        <v>47171</v>
      </c>
      <c r="B2856" t="s">
        <v>3951</v>
      </c>
      <c r="C2856" t="s">
        <v>4061</v>
      </c>
      <c r="D2856">
        <v>649</v>
      </c>
      <c r="E2856">
        <v>161</v>
      </c>
      <c r="F2856">
        <v>76</v>
      </c>
      <c r="G2856">
        <v>70</v>
      </c>
      <c r="H2856">
        <v>190</v>
      </c>
      <c r="I2856">
        <v>152</v>
      </c>
      <c r="J2856">
        <v>113</v>
      </c>
      <c r="K2856">
        <v>173</v>
      </c>
      <c r="L2856">
        <v>363</v>
      </c>
      <c r="M2856">
        <v>604</v>
      </c>
      <c r="N2856">
        <v>45</v>
      </c>
      <c r="O2856" t="s">
        <v>4062</v>
      </c>
      <c r="P2856" s="1" t="b">
        <f>NOT(OR(Table1[[#This Row],[State]]="Other Foreign Countries", Table1[[#This Row],[State]]="Unknown", Table1[[#This Row],[State]]="Puerto Rico all counties"))</f>
        <v>1</v>
      </c>
    </row>
    <row r="2857" spans="1:16" x14ac:dyDescent="0.25">
      <c r="A2857">
        <v>5139</v>
      </c>
      <c r="B2857" t="s">
        <v>242</v>
      </c>
      <c r="C2857" t="s">
        <v>363</v>
      </c>
      <c r="D2857">
        <v>637</v>
      </c>
      <c r="E2857">
        <v>113</v>
      </c>
      <c r="F2857">
        <v>65</v>
      </c>
      <c r="G2857">
        <v>80</v>
      </c>
      <c r="H2857">
        <v>182</v>
      </c>
      <c r="I2857">
        <v>197</v>
      </c>
      <c r="J2857">
        <v>120</v>
      </c>
      <c r="K2857">
        <v>209</v>
      </c>
      <c r="L2857">
        <v>308</v>
      </c>
      <c r="M2857">
        <v>574</v>
      </c>
      <c r="N2857">
        <v>63</v>
      </c>
      <c r="O2857" t="s">
        <v>364</v>
      </c>
      <c r="P2857" s="1" t="b">
        <f>NOT(OR(Table1[[#This Row],[State]]="Other Foreign Countries", Table1[[#This Row],[State]]="Unknown", Table1[[#This Row],[State]]="Puerto Rico all counties"))</f>
        <v>1</v>
      </c>
    </row>
    <row r="2858" spans="1:16" x14ac:dyDescent="0.25">
      <c r="A2858">
        <v>12125</v>
      </c>
      <c r="B2858" t="s">
        <v>637</v>
      </c>
      <c r="C2858" t="s">
        <v>363</v>
      </c>
      <c r="D2858">
        <v>344</v>
      </c>
      <c r="E2858">
        <v>83</v>
      </c>
      <c r="F2858">
        <v>38</v>
      </c>
      <c r="G2858">
        <v>28</v>
      </c>
      <c r="H2858">
        <v>114</v>
      </c>
      <c r="I2858">
        <v>81</v>
      </c>
      <c r="J2858">
        <v>68</v>
      </c>
      <c r="K2858">
        <v>110</v>
      </c>
      <c r="L2858">
        <v>166</v>
      </c>
      <c r="M2858">
        <v>310</v>
      </c>
      <c r="N2858">
        <v>34</v>
      </c>
      <c r="O2858" t="s">
        <v>746</v>
      </c>
      <c r="P2858" s="1" t="b">
        <f>NOT(OR(Table1[[#This Row],[State]]="Other Foreign Countries", Table1[[#This Row],[State]]="Unknown", Table1[[#This Row],[State]]="Puerto Rico all counties"))</f>
        <v>1</v>
      </c>
    </row>
    <row r="2859" spans="1:16" x14ac:dyDescent="0.25">
      <c r="A2859">
        <v>13291</v>
      </c>
      <c r="B2859" t="s">
        <v>754</v>
      </c>
      <c r="C2859" t="s">
        <v>363</v>
      </c>
      <c r="D2859">
        <v>967</v>
      </c>
      <c r="E2859">
        <v>235</v>
      </c>
      <c r="F2859">
        <v>105</v>
      </c>
      <c r="G2859">
        <v>113</v>
      </c>
      <c r="H2859">
        <v>260</v>
      </c>
      <c r="I2859">
        <v>254</v>
      </c>
      <c r="J2859">
        <v>130</v>
      </c>
      <c r="K2859">
        <v>239</v>
      </c>
      <c r="L2859">
        <v>598</v>
      </c>
      <c r="M2859">
        <v>900</v>
      </c>
      <c r="N2859">
        <v>67</v>
      </c>
      <c r="O2859" t="s">
        <v>996</v>
      </c>
      <c r="P2859" s="1" t="b">
        <f>NOT(OR(Table1[[#This Row],[State]]="Other Foreign Countries", Table1[[#This Row],[State]]="Unknown", Table1[[#This Row],[State]]="Puerto Rico all counties"))</f>
        <v>1</v>
      </c>
    </row>
    <row r="2860" spans="1:16" x14ac:dyDescent="0.25">
      <c r="A2860">
        <v>17181</v>
      </c>
      <c r="B2860" t="s">
        <v>1109</v>
      </c>
      <c r="C2860" t="s">
        <v>363</v>
      </c>
      <c r="D2860">
        <v>375</v>
      </c>
      <c r="E2860">
        <v>81</v>
      </c>
      <c r="F2860">
        <v>57</v>
      </c>
      <c r="G2860">
        <v>41</v>
      </c>
      <c r="H2860">
        <v>108</v>
      </c>
      <c r="I2860">
        <v>88</v>
      </c>
      <c r="J2860">
        <v>83</v>
      </c>
      <c r="K2860">
        <v>115</v>
      </c>
      <c r="L2860">
        <v>177</v>
      </c>
      <c r="M2860">
        <v>350</v>
      </c>
      <c r="N2860">
        <v>25</v>
      </c>
      <c r="O2860" t="s">
        <v>1247</v>
      </c>
      <c r="P2860" s="1" t="b">
        <f>NOT(OR(Table1[[#This Row],[State]]="Other Foreign Countries", Table1[[#This Row],[State]]="Unknown", Table1[[#This Row],[State]]="Puerto Rico all counties"))</f>
        <v>1</v>
      </c>
    </row>
    <row r="2861" spans="1:16" x14ac:dyDescent="0.25">
      <c r="A2861">
        <v>18161</v>
      </c>
      <c r="B2861" t="s">
        <v>1266</v>
      </c>
      <c r="C2861" t="s">
        <v>363</v>
      </c>
      <c r="D2861">
        <v>127</v>
      </c>
      <c r="E2861">
        <v>31</v>
      </c>
      <c r="F2861">
        <v>21</v>
      </c>
      <c r="G2861">
        <v>10</v>
      </c>
      <c r="H2861">
        <v>36</v>
      </c>
      <c r="I2861">
        <v>29</v>
      </c>
      <c r="J2861">
        <v>35</v>
      </c>
      <c r="K2861">
        <v>37</v>
      </c>
      <c r="L2861">
        <v>55</v>
      </c>
      <c r="O2861" t="s">
        <v>1381</v>
      </c>
      <c r="P2861" s="1" t="b">
        <f>NOT(OR(Table1[[#This Row],[State]]="Other Foreign Countries", Table1[[#This Row],[State]]="Unknown", Table1[[#This Row],[State]]="Puerto Rico all counties"))</f>
        <v>1</v>
      </c>
    </row>
    <row r="2862" spans="1:16" x14ac:dyDescent="0.25">
      <c r="A2862">
        <v>19175</v>
      </c>
      <c r="B2862" t="s">
        <v>1399</v>
      </c>
      <c r="C2862" t="s">
        <v>363</v>
      </c>
      <c r="D2862">
        <v>228</v>
      </c>
      <c r="E2862">
        <v>65</v>
      </c>
      <c r="F2862">
        <v>37</v>
      </c>
      <c r="G2862">
        <v>31</v>
      </c>
      <c r="H2862">
        <v>52</v>
      </c>
      <c r="I2862">
        <v>43</v>
      </c>
      <c r="J2862">
        <v>42</v>
      </c>
      <c r="K2862">
        <v>65</v>
      </c>
      <c r="L2862">
        <v>121</v>
      </c>
      <c r="M2862">
        <v>216</v>
      </c>
      <c r="N2862">
        <v>12</v>
      </c>
      <c r="O2862" t="s">
        <v>1527</v>
      </c>
      <c r="P2862" s="1" t="b">
        <f>NOT(OR(Table1[[#This Row],[State]]="Other Foreign Countries", Table1[[#This Row],[State]]="Unknown", Table1[[#This Row],[State]]="Puerto Rico all counties"))</f>
        <v>1</v>
      </c>
    </row>
    <row r="2863" spans="1:16" x14ac:dyDescent="0.25">
      <c r="A2863">
        <v>21225</v>
      </c>
      <c r="B2863" t="s">
        <v>1716</v>
      </c>
      <c r="C2863" t="s">
        <v>363</v>
      </c>
      <c r="D2863">
        <v>218</v>
      </c>
      <c r="E2863">
        <v>42</v>
      </c>
      <c r="F2863">
        <v>22</v>
      </c>
      <c r="G2863">
        <v>27</v>
      </c>
      <c r="H2863">
        <v>68</v>
      </c>
      <c r="I2863">
        <v>59</v>
      </c>
      <c r="J2863">
        <v>50</v>
      </c>
      <c r="K2863">
        <v>57</v>
      </c>
      <c r="L2863">
        <v>111</v>
      </c>
      <c r="M2863">
        <v>204</v>
      </c>
      <c r="N2863">
        <v>14</v>
      </c>
      <c r="O2863" t="s">
        <v>1883</v>
      </c>
      <c r="P2863" s="1" t="b">
        <f>NOT(OR(Table1[[#This Row],[State]]="Other Foreign Countries", Table1[[#This Row],[State]]="Unknown", Table1[[#This Row],[State]]="Puerto Rico all counties"))</f>
        <v>1</v>
      </c>
    </row>
    <row r="2864" spans="1:16" x14ac:dyDescent="0.25">
      <c r="A2864">
        <v>22111</v>
      </c>
      <c r="B2864" t="s">
        <v>1892</v>
      </c>
      <c r="C2864" t="s">
        <v>363</v>
      </c>
      <c r="D2864">
        <v>406</v>
      </c>
      <c r="E2864">
        <v>72</v>
      </c>
      <c r="F2864">
        <v>38</v>
      </c>
      <c r="G2864">
        <v>43</v>
      </c>
      <c r="H2864">
        <v>136</v>
      </c>
      <c r="I2864">
        <v>117</v>
      </c>
      <c r="J2864">
        <v>65</v>
      </c>
      <c r="K2864">
        <v>108</v>
      </c>
      <c r="L2864">
        <v>233</v>
      </c>
      <c r="M2864">
        <v>376</v>
      </c>
      <c r="N2864">
        <v>30</v>
      </c>
      <c r="O2864" t="s">
        <v>1990</v>
      </c>
      <c r="P2864" s="1" t="b">
        <f>NOT(OR(Table1[[#This Row],[State]]="Other Foreign Countries", Table1[[#This Row],[State]]="Unknown", Table1[[#This Row],[State]]="Puerto Rico all counties"))</f>
        <v>1</v>
      </c>
    </row>
    <row r="2865" spans="1:16" x14ac:dyDescent="0.25">
      <c r="A2865">
        <v>28145</v>
      </c>
      <c r="B2865" t="s">
        <v>322</v>
      </c>
      <c r="C2865" t="s">
        <v>363</v>
      </c>
      <c r="D2865">
        <v>384</v>
      </c>
      <c r="E2865">
        <v>62</v>
      </c>
      <c r="F2865">
        <v>46</v>
      </c>
      <c r="G2865">
        <v>46</v>
      </c>
      <c r="H2865">
        <v>120</v>
      </c>
      <c r="I2865">
        <v>110</v>
      </c>
      <c r="J2865">
        <v>96</v>
      </c>
      <c r="K2865">
        <v>115</v>
      </c>
      <c r="L2865">
        <v>173</v>
      </c>
      <c r="M2865">
        <v>350</v>
      </c>
      <c r="N2865">
        <v>34</v>
      </c>
      <c r="O2865" t="s">
        <v>2497</v>
      </c>
      <c r="P2865" s="1" t="b">
        <f>NOT(OR(Table1[[#This Row],[State]]="Other Foreign Countries", Table1[[#This Row],[State]]="Unknown", Table1[[#This Row],[State]]="Puerto Rico all counties"))</f>
        <v>1</v>
      </c>
    </row>
    <row r="2866" spans="1:16" x14ac:dyDescent="0.25">
      <c r="A2866">
        <v>34039</v>
      </c>
      <c r="B2866" t="s">
        <v>2938</v>
      </c>
      <c r="C2866" t="s">
        <v>363</v>
      </c>
      <c r="D2866">
        <v>3251</v>
      </c>
      <c r="E2866">
        <v>686</v>
      </c>
      <c r="F2866">
        <v>344</v>
      </c>
      <c r="G2866">
        <v>343</v>
      </c>
      <c r="H2866">
        <v>893</v>
      </c>
      <c r="I2866">
        <v>985</v>
      </c>
      <c r="J2866" s="1">
        <v>1180</v>
      </c>
      <c r="K2866">
        <v>924</v>
      </c>
      <c r="L2866" s="1">
        <v>1147</v>
      </c>
      <c r="M2866" s="1">
        <v>2884</v>
      </c>
      <c r="N2866">
        <v>367</v>
      </c>
      <c r="O2866" t="s">
        <v>2969</v>
      </c>
      <c r="P2866" s="1" t="b">
        <f>NOT(OR(Table1[[#This Row],[State]]="Other Foreign Countries", Table1[[#This Row],[State]]="Unknown", Table1[[#This Row],[State]]="Puerto Rico all counties"))</f>
        <v>1</v>
      </c>
    </row>
    <row r="2867" spans="1:16" x14ac:dyDescent="0.25">
      <c r="A2867">
        <v>35059</v>
      </c>
      <c r="B2867" t="s">
        <v>2971</v>
      </c>
      <c r="C2867" t="s">
        <v>363</v>
      </c>
      <c r="D2867">
        <v>69</v>
      </c>
      <c r="E2867">
        <v>14</v>
      </c>
      <c r="H2867">
        <v>20</v>
      </c>
      <c r="I2867">
        <v>22</v>
      </c>
      <c r="J2867">
        <v>11</v>
      </c>
      <c r="K2867">
        <v>23</v>
      </c>
      <c r="L2867">
        <v>35</v>
      </c>
      <c r="O2867" t="s">
        <v>3026</v>
      </c>
      <c r="P2867" s="1" t="b">
        <f>NOT(OR(Table1[[#This Row],[State]]="Other Foreign Countries", Table1[[#This Row],[State]]="Unknown", Table1[[#This Row],[State]]="Puerto Rico all counties"))</f>
        <v>1</v>
      </c>
    </row>
    <row r="2868" spans="1:16" x14ac:dyDescent="0.25">
      <c r="A2868">
        <v>37179</v>
      </c>
      <c r="B2868" t="s">
        <v>3121</v>
      </c>
      <c r="C2868" t="s">
        <v>363</v>
      </c>
      <c r="D2868">
        <v>3817</v>
      </c>
      <c r="E2868">
        <v>649</v>
      </c>
      <c r="F2868">
        <v>408</v>
      </c>
      <c r="G2868">
        <v>456</v>
      </c>
      <c r="H2868" s="1">
        <v>1151</v>
      </c>
      <c r="I2868" s="1">
        <v>1153</v>
      </c>
      <c r="J2868" s="1">
        <v>1081</v>
      </c>
      <c r="K2868" s="1">
        <v>1357</v>
      </c>
      <c r="L2868" s="1">
        <v>1379</v>
      </c>
      <c r="M2868" s="1">
        <v>3406</v>
      </c>
      <c r="N2868">
        <v>410</v>
      </c>
      <c r="O2868" t="s">
        <v>3270</v>
      </c>
      <c r="P2868" s="1" t="b">
        <f>NOT(OR(Table1[[#This Row],[State]]="Other Foreign Countries", Table1[[#This Row],[State]]="Unknown", Table1[[#This Row],[State]]="Puerto Rico all counties"))</f>
        <v>1</v>
      </c>
    </row>
    <row r="2869" spans="1:16" x14ac:dyDescent="0.25">
      <c r="A2869">
        <v>39159</v>
      </c>
      <c r="B2869" t="s">
        <v>1343</v>
      </c>
      <c r="C2869" t="s">
        <v>363</v>
      </c>
      <c r="D2869">
        <v>1144</v>
      </c>
      <c r="E2869">
        <v>264</v>
      </c>
      <c r="F2869">
        <v>151</v>
      </c>
      <c r="G2869">
        <v>167</v>
      </c>
      <c r="H2869">
        <v>321</v>
      </c>
      <c r="I2869">
        <v>241</v>
      </c>
      <c r="J2869">
        <v>412</v>
      </c>
      <c r="K2869">
        <v>309</v>
      </c>
      <c r="L2869">
        <v>423</v>
      </c>
      <c r="M2869" s="1">
        <v>1036</v>
      </c>
      <c r="N2869">
        <v>108</v>
      </c>
      <c r="O2869" t="s">
        <v>3482</v>
      </c>
      <c r="P2869" s="1" t="b">
        <f>NOT(OR(Table1[[#This Row],[State]]="Other Foreign Countries", Table1[[#This Row],[State]]="Unknown", Table1[[#This Row],[State]]="Puerto Rico all counties"))</f>
        <v>1</v>
      </c>
    </row>
    <row r="2870" spans="1:16" x14ac:dyDescent="0.25">
      <c r="A2870">
        <v>41061</v>
      </c>
      <c r="B2870" t="s">
        <v>2607</v>
      </c>
      <c r="C2870" t="s">
        <v>363</v>
      </c>
      <c r="D2870">
        <v>739</v>
      </c>
      <c r="E2870">
        <v>178</v>
      </c>
      <c r="F2870">
        <v>103</v>
      </c>
      <c r="G2870">
        <v>95</v>
      </c>
      <c r="H2870">
        <v>189</v>
      </c>
      <c r="I2870">
        <v>174</v>
      </c>
      <c r="J2870">
        <v>184</v>
      </c>
      <c r="K2870">
        <v>197</v>
      </c>
      <c r="L2870">
        <v>358</v>
      </c>
      <c r="M2870">
        <v>670</v>
      </c>
      <c r="N2870">
        <v>69</v>
      </c>
      <c r="O2870" t="s">
        <v>3656</v>
      </c>
      <c r="P2870" s="1" t="b">
        <f>NOT(OR(Table1[[#This Row],[State]]="Other Foreign Countries", Table1[[#This Row],[State]]="Unknown", Table1[[#This Row],[State]]="Puerto Rico all counties"))</f>
        <v>1</v>
      </c>
    </row>
    <row r="2871" spans="1:16" x14ac:dyDescent="0.25">
      <c r="A2871">
        <v>42119</v>
      </c>
      <c r="B2871" t="s">
        <v>3665</v>
      </c>
      <c r="C2871" t="s">
        <v>363</v>
      </c>
      <c r="D2871">
        <v>457</v>
      </c>
      <c r="E2871">
        <v>97</v>
      </c>
      <c r="F2871">
        <v>55</v>
      </c>
      <c r="G2871">
        <v>56</v>
      </c>
      <c r="H2871">
        <v>141</v>
      </c>
      <c r="I2871">
        <v>108</v>
      </c>
      <c r="J2871">
        <v>119</v>
      </c>
      <c r="K2871">
        <v>159</v>
      </c>
      <c r="L2871">
        <v>179</v>
      </c>
      <c r="M2871">
        <v>411</v>
      </c>
      <c r="N2871">
        <v>46</v>
      </c>
      <c r="O2871" t="s">
        <v>3754</v>
      </c>
      <c r="P2871" s="1" t="b">
        <f>NOT(OR(Table1[[#This Row],[State]]="Other Foreign Countries", Table1[[#This Row],[State]]="Unknown", Table1[[#This Row],[State]]="Puerto Rico all counties"))</f>
        <v>1</v>
      </c>
    </row>
    <row r="2872" spans="1:16" x14ac:dyDescent="0.25">
      <c r="A2872">
        <v>45087</v>
      </c>
      <c r="B2872" t="s">
        <v>3772</v>
      </c>
      <c r="C2872" t="s">
        <v>363</v>
      </c>
      <c r="D2872">
        <v>566</v>
      </c>
      <c r="E2872">
        <v>98</v>
      </c>
      <c r="F2872">
        <v>57</v>
      </c>
      <c r="G2872">
        <v>70</v>
      </c>
      <c r="H2872">
        <v>181</v>
      </c>
      <c r="I2872">
        <v>160</v>
      </c>
      <c r="J2872">
        <v>81</v>
      </c>
      <c r="K2872">
        <v>216</v>
      </c>
      <c r="L2872">
        <v>269</v>
      </c>
      <c r="M2872">
        <v>522</v>
      </c>
      <c r="N2872">
        <v>44</v>
      </c>
      <c r="O2872" t="s">
        <v>3842</v>
      </c>
      <c r="P2872" s="1" t="b">
        <f>NOT(OR(Table1[[#This Row],[State]]="Other Foreign Countries", Table1[[#This Row],[State]]="Unknown", Table1[[#This Row],[State]]="Puerto Rico all counties"))</f>
        <v>1</v>
      </c>
    </row>
    <row r="2873" spans="1:16" x14ac:dyDescent="0.25">
      <c r="A2873">
        <v>46127</v>
      </c>
      <c r="B2873" t="s">
        <v>3846</v>
      </c>
      <c r="C2873" t="s">
        <v>363</v>
      </c>
      <c r="D2873">
        <v>376</v>
      </c>
      <c r="E2873">
        <v>107</v>
      </c>
      <c r="F2873">
        <v>42</v>
      </c>
      <c r="G2873">
        <v>48</v>
      </c>
      <c r="H2873">
        <v>102</v>
      </c>
      <c r="I2873">
        <v>77</v>
      </c>
      <c r="J2873">
        <v>76</v>
      </c>
      <c r="K2873">
        <v>128</v>
      </c>
      <c r="L2873">
        <v>172</v>
      </c>
      <c r="M2873">
        <v>349</v>
      </c>
      <c r="N2873">
        <v>27</v>
      </c>
      <c r="O2873" t="s">
        <v>3944</v>
      </c>
      <c r="P2873" s="1" t="b">
        <f>NOT(OR(Table1[[#This Row],[State]]="Other Foreign Countries", Table1[[#This Row],[State]]="Unknown", Table1[[#This Row],[State]]="Puerto Rico all counties"))</f>
        <v>1</v>
      </c>
    </row>
    <row r="2874" spans="1:16" x14ac:dyDescent="0.25">
      <c r="A2874">
        <v>47173</v>
      </c>
      <c r="B2874" t="s">
        <v>3951</v>
      </c>
      <c r="C2874" t="s">
        <v>363</v>
      </c>
      <c r="D2874">
        <v>491</v>
      </c>
      <c r="E2874">
        <v>101</v>
      </c>
      <c r="F2874">
        <v>47</v>
      </c>
      <c r="G2874">
        <v>57</v>
      </c>
      <c r="H2874">
        <v>133</v>
      </c>
      <c r="I2874">
        <v>153</v>
      </c>
      <c r="J2874">
        <v>102</v>
      </c>
      <c r="K2874">
        <v>161</v>
      </c>
      <c r="L2874">
        <v>228</v>
      </c>
      <c r="M2874">
        <v>449</v>
      </c>
      <c r="N2874">
        <v>42</v>
      </c>
      <c r="O2874" t="s">
        <v>4063</v>
      </c>
      <c r="P2874" s="1" t="b">
        <f>NOT(OR(Table1[[#This Row],[State]]="Other Foreign Countries", Table1[[#This Row],[State]]="Unknown", Table1[[#This Row],[State]]="Puerto Rico all counties"))</f>
        <v>1</v>
      </c>
    </row>
    <row r="2875" spans="1:16" x14ac:dyDescent="0.25">
      <c r="A2875" t="s">
        <v>5054</v>
      </c>
      <c r="B2875" t="s">
        <v>5054</v>
      </c>
      <c r="C2875" t="s">
        <v>5054</v>
      </c>
      <c r="D2875">
        <v>229</v>
      </c>
      <c r="E2875">
        <v>150</v>
      </c>
      <c r="H2875">
        <v>23</v>
      </c>
      <c r="I2875">
        <v>27</v>
      </c>
      <c r="J2875">
        <v>21</v>
      </c>
      <c r="K2875">
        <v>31</v>
      </c>
      <c r="L2875">
        <v>177</v>
      </c>
      <c r="M2875">
        <v>213</v>
      </c>
      <c r="N2875">
        <v>14</v>
      </c>
      <c r="O2875" t="s">
        <v>5055</v>
      </c>
      <c r="P2875" s="1" t="b">
        <f>NOT(OR(Table1[[#This Row],[State]]="Other Foreign Countries", Table1[[#This Row],[State]]="Unknown", Table1[[#This Row],[State]]="Puerto Rico all counties"))</f>
        <v>0</v>
      </c>
    </row>
    <row r="2876" spans="1:16" x14ac:dyDescent="0.25">
      <c r="A2876">
        <v>48459</v>
      </c>
      <c r="B2876" t="s">
        <v>2654</v>
      </c>
      <c r="C2876" t="s">
        <v>4444</v>
      </c>
      <c r="D2876">
        <v>1071</v>
      </c>
      <c r="E2876">
        <v>194</v>
      </c>
      <c r="F2876">
        <v>114</v>
      </c>
      <c r="G2876">
        <v>119</v>
      </c>
      <c r="H2876">
        <v>353</v>
      </c>
      <c r="I2876">
        <v>291</v>
      </c>
      <c r="J2876">
        <v>281</v>
      </c>
      <c r="K2876">
        <v>403</v>
      </c>
      <c r="L2876">
        <v>387</v>
      </c>
      <c r="M2876">
        <v>974</v>
      </c>
      <c r="N2876">
        <v>97</v>
      </c>
      <c r="O2876" t="s">
        <v>4445</v>
      </c>
      <c r="P2876" s="1" t="b">
        <f>NOT(OR(Table1[[#This Row],[State]]="Other Foreign Countries", Table1[[#This Row],[State]]="Unknown", Table1[[#This Row],[State]]="Puerto Rico all counties"))</f>
        <v>1</v>
      </c>
    </row>
    <row r="2877" spans="1:16" x14ac:dyDescent="0.25">
      <c r="A2877">
        <v>54097</v>
      </c>
      <c r="B2877" t="s">
        <v>4833</v>
      </c>
      <c r="C2877" t="s">
        <v>4444</v>
      </c>
      <c r="D2877">
        <v>602</v>
      </c>
      <c r="E2877">
        <v>139</v>
      </c>
      <c r="F2877">
        <v>50</v>
      </c>
      <c r="G2877">
        <v>80</v>
      </c>
      <c r="H2877">
        <v>176</v>
      </c>
      <c r="I2877">
        <v>157</v>
      </c>
      <c r="J2877">
        <v>82</v>
      </c>
      <c r="K2877">
        <v>207</v>
      </c>
      <c r="L2877">
        <v>313</v>
      </c>
      <c r="M2877">
        <v>559</v>
      </c>
      <c r="N2877">
        <v>43</v>
      </c>
      <c r="O2877" t="s">
        <v>4897</v>
      </c>
      <c r="P2877" s="1" t="b">
        <f>NOT(OR(Table1[[#This Row],[State]]="Other Foreign Countries", Table1[[#This Row],[State]]="Unknown", Table1[[#This Row],[State]]="Puerto Rico all counties"))</f>
        <v>1</v>
      </c>
    </row>
    <row r="2878" spans="1:16" x14ac:dyDescent="0.25">
      <c r="A2878">
        <v>13293</v>
      </c>
      <c r="B2878" t="s">
        <v>754</v>
      </c>
      <c r="C2878" t="s">
        <v>997</v>
      </c>
      <c r="D2878">
        <v>583</v>
      </c>
      <c r="E2878">
        <v>118</v>
      </c>
      <c r="F2878">
        <v>62</v>
      </c>
      <c r="G2878">
        <v>63</v>
      </c>
      <c r="H2878">
        <v>190</v>
      </c>
      <c r="I2878">
        <v>150</v>
      </c>
      <c r="J2878">
        <v>119</v>
      </c>
      <c r="K2878">
        <v>191</v>
      </c>
      <c r="L2878">
        <v>273</v>
      </c>
      <c r="M2878">
        <v>532</v>
      </c>
      <c r="N2878">
        <v>51</v>
      </c>
      <c r="O2878" t="s">
        <v>998</v>
      </c>
      <c r="P2878" s="1" t="b">
        <f>NOT(OR(Table1[[#This Row],[State]]="Other Foreign Countries", Table1[[#This Row],[State]]="Unknown", Table1[[#This Row],[State]]="Puerto Rico all counties"))</f>
        <v>1</v>
      </c>
    </row>
    <row r="2879" spans="1:16" x14ac:dyDescent="0.25">
      <c r="A2879">
        <v>48461</v>
      </c>
      <c r="B2879" t="s">
        <v>2654</v>
      </c>
      <c r="C2879" t="s">
        <v>4446</v>
      </c>
      <c r="D2879">
        <v>40</v>
      </c>
      <c r="H2879">
        <v>11</v>
      </c>
      <c r="J2879">
        <v>16</v>
      </c>
      <c r="K2879">
        <v>11</v>
      </c>
      <c r="L2879">
        <v>13</v>
      </c>
      <c r="O2879" t="s">
        <v>4447</v>
      </c>
      <c r="P2879" s="1" t="b">
        <f>NOT(OR(Table1[[#This Row],[State]]="Other Foreign Countries", Table1[[#This Row],[State]]="Unknown", Table1[[#This Row],[State]]="Puerto Rico all counties"))</f>
        <v>1</v>
      </c>
    </row>
    <row r="2880" spans="1:16" x14ac:dyDescent="0.25">
      <c r="A2880">
        <v>88888</v>
      </c>
      <c r="B2880" t="s">
        <v>5050</v>
      </c>
      <c r="C2880" t="s">
        <v>5050</v>
      </c>
      <c r="D2880">
        <v>7699</v>
      </c>
      <c r="E2880" s="1">
        <v>1208</v>
      </c>
      <c r="F2880">
        <v>711</v>
      </c>
      <c r="G2880">
        <v>844</v>
      </c>
      <c r="H2880" s="1">
        <v>2479</v>
      </c>
      <c r="I2880" s="1">
        <v>2457</v>
      </c>
      <c r="J2880" s="1">
        <v>2102</v>
      </c>
      <c r="K2880" s="1">
        <v>3206</v>
      </c>
      <c r="L2880" s="1">
        <v>2391</v>
      </c>
      <c r="M2880" s="1">
        <v>6629</v>
      </c>
      <c r="N2880" s="1">
        <v>1068</v>
      </c>
      <c r="O2880" t="s">
        <v>5051</v>
      </c>
      <c r="P2880" s="1" t="b">
        <f>NOT(OR(Table1[[#This Row],[State]]="Other Foreign Countries", Table1[[#This Row],[State]]="Unknown", Table1[[#This Row],[State]]="Puerto Rico all counties"))</f>
        <v>1</v>
      </c>
    </row>
    <row r="2881" spans="1:16" x14ac:dyDescent="0.25">
      <c r="A2881">
        <v>49049</v>
      </c>
      <c r="B2881" t="s">
        <v>4486</v>
      </c>
      <c r="C2881" t="s">
        <v>4486</v>
      </c>
      <c r="D2881">
        <v>5341</v>
      </c>
      <c r="E2881">
        <v>908</v>
      </c>
      <c r="F2881">
        <v>584</v>
      </c>
      <c r="G2881">
        <v>667</v>
      </c>
      <c r="H2881" s="1">
        <v>1761</v>
      </c>
      <c r="I2881" s="1">
        <v>1421</v>
      </c>
      <c r="J2881" s="1">
        <v>2145</v>
      </c>
      <c r="K2881" s="1">
        <v>1645</v>
      </c>
      <c r="L2881" s="1">
        <v>1550</v>
      </c>
      <c r="M2881" s="1">
        <v>4924</v>
      </c>
      <c r="N2881">
        <v>417</v>
      </c>
      <c r="O2881" t="s">
        <v>4524</v>
      </c>
      <c r="P2881" s="1" t="b">
        <f>NOT(OR(Table1[[#This Row],[State]]="Other Foreign Countries", Table1[[#This Row],[State]]="Unknown", Table1[[#This Row],[State]]="Puerto Rico all counties"))</f>
        <v>1</v>
      </c>
    </row>
    <row r="2882" spans="1:16" x14ac:dyDescent="0.25">
      <c r="A2882">
        <v>48463</v>
      </c>
      <c r="B2882" t="s">
        <v>2654</v>
      </c>
      <c r="C2882" t="s">
        <v>4448</v>
      </c>
      <c r="D2882">
        <v>574</v>
      </c>
      <c r="E2882">
        <v>128</v>
      </c>
      <c r="F2882">
        <v>54</v>
      </c>
      <c r="G2882">
        <v>59</v>
      </c>
      <c r="H2882">
        <v>167</v>
      </c>
      <c r="I2882">
        <v>166</v>
      </c>
      <c r="J2882">
        <v>139</v>
      </c>
      <c r="K2882">
        <v>173</v>
      </c>
      <c r="L2882">
        <v>262</v>
      </c>
      <c r="M2882">
        <v>532</v>
      </c>
      <c r="N2882">
        <v>42</v>
      </c>
      <c r="O2882" t="s">
        <v>4449</v>
      </c>
      <c r="P2882" s="1" t="b">
        <f>NOT(OR(Table1[[#This Row],[State]]="Other Foreign Countries", Table1[[#This Row],[State]]="Unknown", Table1[[#This Row],[State]]="Puerto Rico all counties"))</f>
        <v>1</v>
      </c>
    </row>
    <row r="2883" spans="1:16" x14ac:dyDescent="0.25">
      <c r="A2883">
        <v>48465</v>
      </c>
      <c r="B2883" t="s">
        <v>2654</v>
      </c>
      <c r="C2883" t="s">
        <v>4450</v>
      </c>
      <c r="D2883">
        <v>1518</v>
      </c>
      <c r="E2883">
        <v>286</v>
      </c>
      <c r="F2883">
        <v>162</v>
      </c>
      <c r="G2883">
        <v>173</v>
      </c>
      <c r="H2883">
        <v>464</v>
      </c>
      <c r="I2883">
        <v>433</v>
      </c>
      <c r="J2883">
        <v>494</v>
      </c>
      <c r="K2883">
        <v>540</v>
      </c>
      <c r="L2883">
        <v>484</v>
      </c>
      <c r="M2883" s="1">
        <v>1371</v>
      </c>
      <c r="N2883">
        <v>147</v>
      </c>
      <c r="O2883" t="s">
        <v>4451</v>
      </c>
      <c r="P2883" s="1" t="b">
        <f>NOT(OR(Table1[[#This Row],[State]]="Other Foreign Countries", Table1[[#This Row],[State]]="Unknown", Table1[[#This Row],[State]]="Puerto Rico all counties"))</f>
        <v>1</v>
      </c>
    </row>
    <row r="2884" spans="1:16" x14ac:dyDescent="0.25">
      <c r="A2884">
        <v>35061</v>
      </c>
      <c r="B2884" t="s">
        <v>2971</v>
      </c>
      <c r="C2884" t="s">
        <v>3027</v>
      </c>
      <c r="D2884">
        <v>2189</v>
      </c>
      <c r="E2884">
        <v>357</v>
      </c>
      <c r="F2884">
        <v>200</v>
      </c>
      <c r="G2884">
        <v>230</v>
      </c>
      <c r="H2884">
        <v>795</v>
      </c>
      <c r="I2884">
        <v>607</v>
      </c>
      <c r="J2884">
        <v>522</v>
      </c>
      <c r="K2884">
        <v>692</v>
      </c>
      <c r="L2884">
        <v>975</v>
      </c>
      <c r="M2884" s="1">
        <v>1958</v>
      </c>
      <c r="N2884">
        <v>231</v>
      </c>
      <c r="O2884" t="s">
        <v>3028</v>
      </c>
      <c r="P2884" s="1" t="b">
        <f>NOT(OR(Table1[[#This Row],[State]]="Other Foreign Countries", Table1[[#This Row],[State]]="Unknown", Table1[[#This Row],[State]]="Puerto Rico all counties"))</f>
        <v>1</v>
      </c>
    </row>
    <row r="2885" spans="1:16" x14ac:dyDescent="0.25">
      <c r="A2885">
        <v>16085</v>
      </c>
      <c r="B2885" t="s">
        <v>1032</v>
      </c>
      <c r="C2885" t="s">
        <v>1106</v>
      </c>
      <c r="D2885">
        <v>322</v>
      </c>
      <c r="E2885">
        <v>85</v>
      </c>
      <c r="F2885">
        <v>40</v>
      </c>
      <c r="G2885">
        <v>47</v>
      </c>
      <c r="H2885">
        <v>85</v>
      </c>
      <c r="I2885">
        <v>65</v>
      </c>
      <c r="J2885">
        <v>68</v>
      </c>
      <c r="K2885">
        <v>119</v>
      </c>
      <c r="L2885">
        <v>135</v>
      </c>
      <c r="M2885">
        <v>281</v>
      </c>
      <c r="N2885">
        <v>41</v>
      </c>
      <c r="O2885" t="s">
        <v>1107</v>
      </c>
      <c r="P2885" s="1" t="b">
        <f>NOT(OR(Table1[[#This Row],[State]]="Other Foreign Countries", Table1[[#This Row],[State]]="Unknown", Table1[[#This Row],[State]]="Puerto Rico all counties"))</f>
        <v>1</v>
      </c>
    </row>
    <row r="2886" spans="1:16" x14ac:dyDescent="0.25">
      <c r="A2886">
        <v>30105</v>
      </c>
      <c r="B2886" t="s">
        <v>2665</v>
      </c>
      <c r="C2886" t="s">
        <v>1106</v>
      </c>
      <c r="D2886">
        <v>191</v>
      </c>
      <c r="E2886">
        <v>56</v>
      </c>
      <c r="F2886">
        <v>34</v>
      </c>
      <c r="G2886">
        <v>26</v>
      </c>
      <c r="H2886">
        <v>40</v>
      </c>
      <c r="I2886">
        <v>35</v>
      </c>
      <c r="J2886">
        <v>38</v>
      </c>
      <c r="K2886">
        <v>59</v>
      </c>
      <c r="L2886">
        <v>94</v>
      </c>
      <c r="M2886">
        <v>174</v>
      </c>
      <c r="N2886">
        <v>17</v>
      </c>
      <c r="O2886" t="s">
        <v>2751</v>
      </c>
      <c r="P2886" s="1" t="b">
        <f>NOT(OR(Table1[[#This Row],[State]]="Other Foreign Countries", Table1[[#This Row],[State]]="Unknown", Table1[[#This Row],[State]]="Puerto Rico all counties"))</f>
        <v>1</v>
      </c>
    </row>
    <row r="2887" spans="1:16" x14ac:dyDescent="0.25">
      <c r="A2887">
        <v>31175</v>
      </c>
      <c r="B2887" t="s">
        <v>2758</v>
      </c>
      <c r="C2887" t="s">
        <v>1106</v>
      </c>
      <c r="D2887">
        <v>134</v>
      </c>
      <c r="E2887">
        <v>62</v>
      </c>
      <c r="F2887">
        <v>19</v>
      </c>
      <c r="G2887">
        <v>14</v>
      </c>
      <c r="H2887">
        <v>23</v>
      </c>
      <c r="I2887">
        <v>16</v>
      </c>
      <c r="J2887">
        <v>18</v>
      </c>
      <c r="K2887">
        <v>30</v>
      </c>
      <c r="L2887">
        <v>86</v>
      </c>
      <c r="O2887" t="s">
        <v>2886</v>
      </c>
      <c r="P2887" s="1" t="b">
        <f>NOT(OR(Table1[[#This Row],[State]]="Other Foreign Countries", Table1[[#This Row],[State]]="Unknown", Table1[[#This Row],[State]]="Puerto Rico all counties"))</f>
        <v>1</v>
      </c>
    </row>
    <row r="2888" spans="1:16" x14ac:dyDescent="0.25">
      <c r="A2888">
        <v>5141</v>
      </c>
      <c r="B2888" t="s">
        <v>242</v>
      </c>
      <c r="C2888" t="s">
        <v>365</v>
      </c>
      <c r="D2888">
        <v>521</v>
      </c>
      <c r="E2888">
        <v>80</v>
      </c>
      <c r="F2888">
        <v>67</v>
      </c>
      <c r="G2888">
        <v>70</v>
      </c>
      <c r="H2888">
        <v>156</v>
      </c>
      <c r="I2888">
        <v>148</v>
      </c>
      <c r="J2888">
        <v>83</v>
      </c>
      <c r="K2888">
        <v>160</v>
      </c>
      <c r="L2888">
        <v>278</v>
      </c>
      <c r="M2888">
        <v>466</v>
      </c>
      <c r="N2888">
        <v>55</v>
      </c>
      <c r="O2888" t="s">
        <v>366</v>
      </c>
      <c r="P2888" s="1" t="b">
        <f>NOT(OR(Table1[[#This Row],[State]]="Other Foreign Countries", Table1[[#This Row],[State]]="Unknown", Table1[[#This Row],[State]]="Puerto Rico all counties"))</f>
        <v>1</v>
      </c>
    </row>
    <row r="2889" spans="1:16" x14ac:dyDescent="0.25">
      <c r="A2889">
        <v>19177</v>
      </c>
      <c r="B2889" t="s">
        <v>1399</v>
      </c>
      <c r="C2889" t="s">
        <v>365</v>
      </c>
      <c r="D2889">
        <v>138</v>
      </c>
      <c r="E2889">
        <v>36</v>
      </c>
      <c r="H2889">
        <v>42</v>
      </c>
      <c r="I2889">
        <v>36</v>
      </c>
      <c r="J2889">
        <v>16</v>
      </c>
      <c r="K2889">
        <v>48</v>
      </c>
      <c r="L2889">
        <v>74</v>
      </c>
      <c r="M2889">
        <v>128</v>
      </c>
      <c r="N2889">
        <v>10</v>
      </c>
      <c r="O2889" t="s">
        <v>1528</v>
      </c>
      <c r="P2889" s="1" t="b">
        <f>NOT(OR(Table1[[#This Row],[State]]="Other Foreign Countries", Table1[[#This Row],[State]]="Unknown", Table1[[#This Row],[State]]="Puerto Rico all counties"))</f>
        <v>1</v>
      </c>
    </row>
    <row r="2890" spans="1:16" x14ac:dyDescent="0.25">
      <c r="A2890">
        <v>26159</v>
      </c>
      <c r="B2890" t="s">
        <v>2099</v>
      </c>
      <c r="C2890" t="s">
        <v>365</v>
      </c>
      <c r="D2890">
        <v>1175</v>
      </c>
      <c r="E2890">
        <v>202</v>
      </c>
      <c r="F2890">
        <v>120</v>
      </c>
      <c r="G2890">
        <v>157</v>
      </c>
      <c r="H2890">
        <v>366</v>
      </c>
      <c r="I2890">
        <v>330</v>
      </c>
      <c r="J2890">
        <v>332</v>
      </c>
      <c r="K2890">
        <v>340</v>
      </c>
      <c r="L2890">
        <v>503</v>
      </c>
      <c r="M2890" s="1">
        <v>1057</v>
      </c>
      <c r="N2890">
        <v>118</v>
      </c>
      <c r="O2890" t="s">
        <v>2239</v>
      </c>
      <c r="P2890" s="1" t="b">
        <f>NOT(OR(Table1[[#This Row],[State]]="Other Foreign Countries", Table1[[#This Row],[State]]="Unknown", Table1[[#This Row],[State]]="Puerto Rico all counties"))</f>
        <v>1</v>
      </c>
    </row>
    <row r="2891" spans="1:16" x14ac:dyDescent="0.25">
      <c r="A2891">
        <v>47175</v>
      </c>
      <c r="B2891" t="s">
        <v>3951</v>
      </c>
      <c r="C2891" t="s">
        <v>365</v>
      </c>
      <c r="D2891">
        <v>191</v>
      </c>
      <c r="E2891">
        <v>36</v>
      </c>
      <c r="F2891">
        <v>18</v>
      </c>
      <c r="G2891">
        <v>26</v>
      </c>
      <c r="H2891">
        <v>57</v>
      </c>
      <c r="I2891">
        <v>54</v>
      </c>
      <c r="J2891">
        <v>45</v>
      </c>
      <c r="K2891">
        <v>53</v>
      </c>
      <c r="L2891">
        <v>93</v>
      </c>
      <c r="M2891">
        <v>173</v>
      </c>
      <c r="N2891">
        <v>18</v>
      </c>
      <c r="O2891" t="s">
        <v>4064</v>
      </c>
      <c r="P2891" s="1" t="b">
        <f>NOT(OR(Table1[[#This Row],[State]]="Other Foreign Countries", Table1[[#This Row],[State]]="Unknown", Table1[[#This Row],[State]]="Puerto Rico all counties"))</f>
        <v>1</v>
      </c>
    </row>
    <row r="2892" spans="1:16" x14ac:dyDescent="0.25">
      <c r="A2892">
        <v>39161</v>
      </c>
      <c r="B2892" t="s">
        <v>1343</v>
      </c>
      <c r="C2892" t="s">
        <v>3483</v>
      </c>
      <c r="D2892">
        <v>444</v>
      </c>
      <c r="E2892">
        <v>123</v>
      </c>
      <c r="F2892">
        <v>61</v>
      </c>
      <c r="G2892">
        <v>60</v>
      </c>
      <c r="H2892">
        <v>112</v>
      </c>
      <c r="I2892">
        <v>88</v>
      </c>
      <c r="J2892">
        <v>107</v>
      </c>
      <c r="K2892">
        <v>135</v>
      </c>
      <c r="L2892">
        <v>202</v>
      </c>
      <c r="M2892">
        <v>417</v>
      </c>
      <c r="N2892">
        <v>27</v>
      </c>
      <c r="O2892" t="s">
        <v>3484</v>
      </c>
      <c r="P2892" s="1" t="b">
        <f>NOT(OR(Table1[[#This Row],[State]]="Other Foreign Countries", Table1[[#This Row],[State]]="Unknown", Table1[[#This Row],[State]]="Puerto Rico all counties"))</f>
        <v>1</v>
      </c>
    </row>
    <row r="2893" spans="1:16" x14ac:dyDescent="0.25">
      <c r="A2893">
        <v>48467</v>
      </c>
      <c r="B2893" t="s">
        <v>2654</v>
      </c>
      <c r="C2893" t="s">
        <v>4452</v>
      </c>
      <c r="D2893">
        <v>1451</v>
      </c>
      <c r="E2893">
        <v>231</v>
      </c>
      <c r="F2893">
        <v>163</v>
      </c>
      <c r="G2893">
        <v>185</v>
      </c>
      <c r="H2893">
        <v>437</v>
      </c>
      <c r="I2893">
        <v>435</v>
      </c>
      <c r="J2893">
        <v>457</v>
      </c>
      <c r="K2893">
        <v>422</v>
      </c>
      <c r="L2893">
        <v>572</v>
      </c>
      <c r="M2893" s="1">
        <v>1319</v>
      </c>
      <c r="N2893">
        <v>132</v>
      </c>
      <c r="O2893" t="s">
        <v>4453</v>
      </c>
      <c r="P2893" s="1" t="b">
        <f>NOT(OR(Table1[[#This Row],[State]]="Other Foreign Countries", Table1[[#This Row],[State]]="Unknown", Table1[[#This Row],[State]]="Puerto Rico all counties"))</f>
        <v>1</v>
      </c>
    </row>
    <row r="2894" spans="1:16" x14ac:dyDescent="0.25">
      <c r="A2894">
        <v>37181</v>
      </c>
      <c r="B2894" t="s">
        <v>3121</v>
      </c>
      <c r="C2894" t="s">
        <v>3271</v>
      </c>
      <c r="D2894">
        <v>808</v>
      </c>
      <c r="E2894">
        <v>157</v>
      </c>
      <c r="F2894">
        <v>65</v>
      </c>
      <c r="G2894">
        <v>102</v>
      </c>
      <c r="H2894">
        <v>267</v>
      </c>
      <c r="I2894">
        <v>217</v>
      </c>
      <c r="J2894">
        <v>158</v>
      </c>
      <c r="K2894">
        <v>250</v>
      </c>
      <c r="L2894">
        <v>400</v>
      </c>
      <c r="M2894">
        <v>722</v>
      </c>
      <c r="N2894">
        <v>86</v>
      </c>
      <c r="O2894" t="s">
        <v>3272</v>
      </c>
      <c r="P2894" s="1" t="b">
        <f>NOT(OR(Table1[[#This Row],[State]]="Other Foreign Countries", Table1[[#This Row],[State]]="Unknown", Table1[[#This Row],[State]]="Puerto Rico all counties"))</f>
        <v>1</v>
      </c>
    </row>
    <row r="2895" spans="1:16" x14ac:dyDescent="0.25">
      <c r="A2895">
        <v>18163</v>
      </c>
      <c r="B2895" t="s">
        <v>1266</v>
      </c>
      <c r="C2895" t="s">
        <v>1382</v>
      </c>
      <c r="D2895">
        <v>2916</v>
      </c>
      <c r="E2895">
        <v>734</v>
      </c>
      <c r="F2895">
        <v>333</v>
      </c>
      <c r="G2895">
        <v>329</v>
      </c>
      <c r="H2895">
        <v>893</v>
      </c>
      <c r="I2895">
        <v>627</v>
      </c>
      <c r="J2895">
        <v>844</v>
      </c>
      <c r="K2895">
        <v>880</v>
      </c>
      <c r="L2895" s="1">
        <v>1192</v>
      </c>
      <c r="M2895" s="1">
        <v>2629</v>
      </c>
      <c r="N2895">
        <v>287</v>
      </c>
      <c r="O2895" t="s">
        <v>1383</v>
      </c>
      <c r="P2895" s="1" t="b">
        <f>NOT(OR(Table1[[#This Row],[State]]="Other Foreign Countries", Table1[[#This Row],[State]]="Unknown", Table1[[#This Row],[State]]="Puerto Rico all counties"))</f>
        <v>1</v>
      </c>
    </row>
    <row r="2896" spans="1:16" x14ac:dyDescent="0.25">
      <c r="A2896">
        <v>42121</v>
      </c>
      <c r="B2896" t="s">
        <v>3665</v>
      </c>
      <c r="C2896" t="s">
        <v>3755</v>
      </c>
      <c r="D2896">
        <v>1209</v>
      </c>
      <c r="E2896">
        <v>339</v>
      </c>
      <c r="F2896">
        <v>155</v>
      </c>
      <c r="G2896">
        <v>160</v>
      </c>
      <c r="H2896">
        <v>315</v>
      </c>
      <c r="I2896">
        <v>240</v>
      </c>
      <c r="J2896">
        <v>257</v>
      </c>
      <c r="K2896">
        <v>383</v>
      </c>
      <c r="L2896">
        <v>569</v>
      </c>
      <c r="M2896" s="1">
        <v>1127</v>
      </c>
      <c r="N2896">
        <v>82</v>
      </c>
      <c r="O2896" t="s">
        <v>3756</v>
      </c>
      <c r="P2896" s="1" t="b">
        <f>NOT(OR(Table1[[#This Row],[State]]="Other Foreign Countries", Table1[[#This Row],[State]]="Unknown", Table1[[#This Row],[State]]="Puerto Rico all counties"))</f>
        <v>1</v>
      </c>
    </row>
    <row r="2897" spans="1:16" x14ac:dyDescent="0.25">
      <c r="A2897">
        <v>6111</v>
      </c>
      <c r="B2897" t="s">
        <v>374</v>
      </c>
      <c r="C2897" t="s">
        <v>483</v>
      </c>
      <c r="D2897">
        <v>12095</v>
      </c>
      <c r="E2897" s="1">
        <v>2437</v>
      </c>
      <c r="F2897" s="1">
        <v>1168</v>
      </c>
      <c r="G2897" s="1">
        <v>1285</v>
      </c>
      <c r="H2897" s="1">
        <v>3474</v>
      </c>
      <c r="I2897" s="1">
        <v>3731</v>
      </c>
      <c r="J2897" s="1">
        <v>3836</v>
      </c>
      <c r="K2897" s="1">
        <v>3663</v>
      </c>
      <c r="L2897" s="1">
        <v>4596</v>
      </c>
      <c r="M2897" s="1">
        <v>10923</v>
      </c>
      <c r="N2897" s="1">
        <v>1170</v>
      </c>
      <c r="O2897" t="s">
        <v>484</v>
      </c>
      <c r="P2897" s="1" t="b">
        <f>NOT(OR(Table1[[#This Row],[State]]="Other Foreign Countries", Table1[[#This Row],[State]]="Unknown", Table1[[#This Row],[State]]="Puerto Rico all counties"))</f>
        <v>1</v>
      </c>
    </row>
    <row r="2898" spans="1:16" x14ac:dyDescent="0.25">
      <c r="A2898">
        <v>17183</v>
      </c>
      <c r="B2898" t="s">
        <v>1109</v>
      </c>
      <c r="C2898" t="s">
        <v>1248</v>
      </c>
      <c r="D2898">
        <v>1422</v>
      </c>
      <c r="E2898">
        <v>219</v>
      </c>
      <c r="F2898">
        <v>174</v>
      </c>
      <c r="G2898">
        <v>193</v>
      </c>
      <c r="H2898">
        <v>463</v>
      </c>
      <c r="I2898">
        <v>373</v>
      </c>
      <c r="J2898">
        <v>315</v>
      </c>
      <c r="K2898">
        <v>473</v>
      </c>
      <c r="L2898">
        <v>634</v>
      </c>
      <c r="M2898" s="1">
        <v>1281</v>
      </c>
      <c r="N2898">
        <v>141</v>
      </c>
      <c r="O2898" t="s">
        <v>1249</v>
      </c>
      <c r="P2898" s="1" t="b">
        <f>NOT(OR(Table1[[#This Row],[State]]="Other Foreign Countries", Table1[[#This Row],[State]]="Unknown", Table1[[#This Row],[State]]="Puerto Rico all counties"))</f>
        <v>1</v>
      </c>
    </row>
    <row r="2899" spans="1:16" x14ac:dyDescent="0.25">
      <c r="A2899">
        <v>22113</v>
      </c>
      <c r="B2899" t="s">
        <v>1892</v>
      </c>
      <c r="C2899" t="s">
        <v>1248</v>
      </c>
      <c r="D2899">
        <v>885</v>
      </c>
      <c r="E2899">
        <v>196</v>
      </c>
      <c r="F2899">
        <v>82</v>
      </c>
      <c r="G2899">
        <v>109</v>
      </c>
      <c r="H2899">
        <v>271</v>
      </c>
      <c r="I2899">
        <v>227</v>
      </c>
      <c r="J2899">
        <v>272</v>
      </c>
      <c r="K2899">
        <v>288</v>
      </c>
      <c r="L2899">
        <v>325</v>
      </c>
      <c r="M2899">
        <v>816</v>
      </c>
      <c r="N2899">
        <v>69</v>
      </c>
      <c r="O2899" t="s">
        <v>1991</v>
      </c>
      <c r="P2899" s="1" t="b">
        <f>NOT(OR(Table1[[#This Row],[State]]="Other Foreign Countries", Table1[[#This Row],[State]]="Unknown", Table1[[#This Row],[State]]="Puerto Rico all counties"))</f>
        <v>1</v>
      </c>
    </row>
    <row r="2900" spans="1:16" x14ac:dyDescent="0.25">
      <c r="A2900">
        <v>18165</v>
      </c>
      <c r="B2900" t="s">
        <v>1266</v>
      </c>
      <c r="C2900" t="s">
        <v>1384</v>
      </c>
      <c r="D2900">
        <v>317</v>
      </c>
      <c r="E2900">
        <v>75</v>
      </c>
      <c r="F2900">
        <v>35</v>
      </c>
      <c r="G2900">
        <v>54</v>
      </c>
      <c r="H2900">
        <v>96</v>
      </c>
      <c r="I2900">
        <v>57</v>
      </c>
      <c r="J2900">
        <v>83</v>
      </c>
      <c r="K2900">
        <v>102</v>
      </c>
      <c r="L2900">
        <v>132</v>
      </c>
      <c r="M2900">
        <v>291</v>
      </c>
      <c r="N2900">
        <v>26</v>
      </c>
      <c r="O2900" t="s">
        <v>1385</v>
      </c>
      <c r="P2900" s="1" t="b">
        <f>NOT(OR(Table1[[#This Row],[State]]="Other Foreign Countries", Table1[[#This Row],[State]]="Unknown", Table1[[#This Row],[State]]="Puerto Rico all counties"))</f>
        <v>1</v>
      </c>
    </row>
    <row r="2901" spans="1:16" x14ac:dyDescent="0.25">
      <c r="A2901">
        <v>22115</v>
      </c>
      <c r="B2901" t="s">
        <v>1892</v>
      </c>
      <c r="C2901" t="s">
        <v>1992</v>
      </c>
      <c r="D2901">
        <v>3476</v>
      </c>
      <c r="E2901">
        <v>425</v>
      </c>
      <c r="F2901">
        <v>256</v>
      </c>
      <c r="G2901">
        <v>331</v>
      </c>
      <c r="H2901">
        <v>998</v>
      </c>
      <c r="I2901" s="1">
        <v>1466</v>
      </c>
      <c r="J2901" s="1">
        <v>1182</v>
      </c>
      <c r="K2901" s="1">
        <v>1387</v>
      </c>
      <c r="L2901">
        <v>907</v>
      </c>
      <c r="M2901" s="1">
        <v>2915</v>
      </c>
      <c r="N2901">
        <v>561</v>
      </c>
      <c r="O2901" t="s">
        <v>1993</v>
      </c>
      <c r="P2901" s="1" t="b">
        <f>NOT(OR(Table1[[#This Row],[State]]="Other Foreign Countries", Table1[[#This Row],[State]]="Unknown", Table1[[#This Row],[State]]="Puerto Rico all counties"))</f>
        <v>1</v>
      </c>
    </row>
    <row r="2902" spans="1:16" x14ac:dyDescent="0.25">
      <c r="A2902">
        <v>29217</v>
      </c>
      <c r="B2902" t="s">
        <v>2510</v>
      </c>
      <c r="C2902" t="s">
        <v>1992</v>
      </c>
      <c r="D2902">
        <v>364</v>
      </c>
      <c r="E2902">
        <v>84</v>
      </c>
      <c r="F2902">
        <v>48</v>
      </c>
      <c r="G2902">
        <v>40</v>
      </c>
      <c r="H2902">
        <v>126</v>
      </c>
      <c r="I2902">
        <v>66</v>
      </c>
      <c r="J2902">
        <v>80</v>
      </c>
      <c r="K2902">
        <v>108</v>
      </c>
      <c r="L2902">
        <v>175</v>
      </c>
      <c r="M2902">
        <v>338</v>
      </c>
      <c r="N2902">
        <v>26</v>
      </c>
      <c r="O2902" t="s">
        <v>2656</v>
      </c>
      <c r="P2902" s="1" t="b">
        <f>NOT(OR(Table1[[#This Row],[State]]="Other Foreign Countries", Table1[[#This Row],[State]]="Unknown", Table1[[#This Row],[State]]="Puerto Rico all counties"))</f>
        <v>1</v>
      </c>
    </row>
    <row r="2903" spans="1:16" x14ac:dyDescent="0.25">
      <c r="A2903">
        <v>55123</v>
      </c>
      <c r="B2903" t="s">
        <v>4906</v>
      </c>
      <c r="C2903" t="s">
        <v>1992</v>
      </c>
      <c r="D2903">
        <v>654</v>
      </c>
      <c r="E2903">
        <v>159</v>
      </c>
      <c r="F2903">
        <v>94</v>
      </c>
      <c r="G2903">
        <v>91</v>
      </c>
      <c r="H2903">
        <v>157</v>
      </c>
      <c r="I2903">
        <v>153</v>
      </c>
      <c r="J2903">
        <v>105</v>
      </c>
      <c r="K2903">
        <v>200</v>
      </c>
      <c r="L2903">
        <v>349</v>
      </c>
      <c r="M2903">
        <v>615</v>
      </c>
      <c r="N2903">
        <v>38</v>
      </c>
      <c r="O2903" t="s">
        <v>4998</v>
      </c>
      <c r="P2903" s="1" t="b">
        <f>NOT(OR(Table1[[#This Row],[State]]="Other Foreign Countries", Table1[[#This Row],[State]]="Unknown", Table1[[#This Row],[State]]="Puerto Rico all counties"))</f>
        <v>1</v>
      </c>
    </row>
    <row r="2904" spans="1:16" x14ac:dyDescent="0.25">
      <c r="A2904">
        <v>48469</v>
      </c>
      <c r="B2904" t="s">
        <v>2654</v>
      </c>
      <c r="C2904" t="s">
        <v>4454</v>
      </c>
      <c r="D2904">
        <v>2120</v>
      </c>
      <c r="E2904">
        <v>460</v>
      </c>
      <c r="F2904">
        <v>227</v>
      </c>
      <c r="G2904">
        <v>228</v>
      </c>
      <c r="H2904">
        <v>643</v>
      </c>
      <c r="I2904">
        <v>562</v>
      </c>
      <c r="J2904">
        <v>562</v>
      </c>
      <c r="K2904">
        <v>608</v>
      </c>
      <c r="L2904">
        <v>950</v>
      </c>
      <c r="M2904" s="1">
        <v>1936</v>
      </c>
      <c r="N2904">
        <v>184</v>
      </c>
      <c r="O2904" t="s">
        <v>4455</v>
      </c>
      <c r="P2904" s="1" t="b">
        <f>NOT(OR(Table1[[#This Row],[State]]="Other Foreign Countries", Table1[[#This Row],[State]]="Unknown", Table1[[#This Row],[State]]="Puerto Rico all counties"))</f>
        <v>1</v>
      </c>
    </row>
    <row r="2905" spans="1:16" x14ac:dyDescent="0.25">
      <c r="A2905">
        <v>18167</v>
      </c>
      <c r="B2905" t="s">
        <v>1266</v>
      </c>
      <c r="C2905" t="s">
        <v>1386</v>
      </c>
      <c r="D2905">
        <v>2029</v>
      </c>
      <c r="E2905">
        <v>539</v>
      </c>
      <c r="F2905">
        <v>284</v>
      </c>
      <c r="G2905">
        <v>284</v>
      </c>
      <c r="H2905">
        <v>537</v>
      </c>
      <c r="I2905">
        <v>385</v>
      </c>
      <c r="J2905">
        <v>551</v>
      </c>
      <c r="K2905">
        <v>647</v>
      </c>
      <c r="L2905">
        <v>831</v>
      </c>
      <c r="M2905" s="1">
        <v>1852</v>
      </c>
      <c r="N2905">
        <v>176</v>
      </c>
      <c r="O2905" t="s">
        <v>1387</v>
      </c>
      <c r="P2905" s="1" t="b">
        <f>NOT(OR(Table1[[#This Row],[State]]="Other Foreign Countries", Table1[[#This Row],[State]]="Unknown", Table1[[#This Row],[State]]="Puerto Rico all counties"))</f>
        <v>1</v>
      </c>
    </row>
    <row r="2906" spans="1:16" x14ac:dyDescent="0.25">
      <c r="A2906">
        <v>55125</v>
      </c>
      <c r="B2906" t="s">
        <v>4906</v>
      </c>
      <c r="C2906" t="s">
        <v>4999</v>
      </c>
      <c r="D2906">
        <v>744</v>
      </c>
      <c r="E2906">
        <v>180</v>
      </c>
      <c r="F2906">
        <v>86</v>
      </c>
      <c r="G2906">
        <v>92</v>
      </c>
      <c r="H2906">
        <v>203</v>
      </c>
      <c r="I2906">
        <v>183</v>
      </c>
      <c r="J2906">
        <v>100</v>
      </c>
      <c r="K2906">
        <v>182</v>
      </c>
      <c r="L2906">
        <v>462</v>
      </c>
      <c r="M2906">
        <v>677</v>
      </c>
      <c r="N2906">
        <v>67</v>
      </c>
      <c r="O2906" t="s">
        <v>5000</v>
      </c>
      <c r="P2906" s="1" t="b">
        <f>NOT(OR(Table1[[#This Row],[State]]="Other Foreign Countries", Table1[[#This Row],[State]]="Unknown", Table1[[#This Row],[State]]="Puerto Rico all counties"))</f>
        <v>1</v>
      </c>
    </row>
    <row r="2907" spans="1:16" x14ac:dyDescent="0.25">
      <c r="A2907">
        <v>39163</v>
      </c>
      <c r="B2907" t="s">
        <v>1343</v>
      </c>
      <c r="C2907" t="s">
        <v>3485</v>
      </c>
      <c r="D2907">
        <v>304</v>
      </c>
      <c r="E2907">
        <v>64</v>
      </c>
      <c r="F2907">
        <v>31</v>
      </c>
      <c r="G2907">
        <v>44</v>
      </c>
      <c r="H2907">
        <v>98</v>
      </c>
      <c r="I2907">
        <v>67</v>
      </c>
      <c r="J2907">
        <v>56</v>
      </c>
      <c r="K2907">
        <v>86</v>
      </c>
      <c r="L2907">
        <v>162</v>
      </c>
      <c r="M2907">
        <v>288</v>
      </c>
      <c r="N2907">
        <v>16</v>
      </c>
      <c r="O2907" t="s">
        <v>3486</v>
      </c>
      <c r="P2907" s="1" t="b">
        <f>NOT(OR(Table1[[#This Row],[State]]="Other Foreign Countries", Table1[[#This Row],[State]]="Unknown", Table1[[#This Row],[State]]="Puerto Rico all counties"))</f>
        <v>1</v>
      </c>
    </row>
    <row r="2908" spans="1:16" x14ac:dyDescent="0.25">
      <c r="A2908">
        <v>51810</v>
      </c>
      <c r="B2908" t="s">
        <v>4555</v>
      </c>
      <c r="C2908" t="s">
        <v>4764</v>
      </c>
      <c r="D2908">
        <v>27752</v>
      </c>
      <c r="E2908" s="1">
        <v>3742</v>
      </c>
      <c r="F2908" s="1">
        <v>2865</v>
      </c>
      <c r="G2908" s="1">
        <v>3327</v>
      </c>
      <c r="H2908" s="1">
        <v>8087</v>
      </c>
      <c r="I2908" s="1">
        <v>9731</v>
      </c>
      <c r="J2908" s="1">
        <v>8213</v>
      </c>
      <c r="K2908" s="1">
        <v>12189</v>
      </c>
      <c r="L2908" s="1">
        <v>7350</v>
      </c>
      <c r="M2908" s="1">
        <v>22410</v>
      </c>
      <c r="N2908" s="1">
        <v>5341</v>
      </c>
      <c r="O2908" t="s">
        <v>4765</v>
      </c>
      <c r="P2908" s="1" t="b">
        <f>NOT(OR(Table1[[#This Row],[State]]="Other Foreign Countries", Table1[[#This Row],[State]]="Unknown", Table1[[#This Row],[State]]="Puerto Rico all counties"))</f>
        <v>1</v>
      </c>
    </row>
    <row r="2909" spans="1:16" x14ac:dyDescent="0.25">
      <c r="A2909">
        <v>12127</v>
      </c>
      <c r="B2909" t="s">
        <v>637</v>
      </c>
      <c r="C2909" t="s">
        <v>747</v>
      </c>
      <c r="D2909">
        <v>18805</v>
      </c>
      <c r="E2909" s="1">
        <v>4302</v>
      </c>
      <c r="F2909" s="1">
        <v>1890</v>
      </c>
      <c r="G2909" s="1">
        <v>2024</v>
      </c>
      <c r="H2909" s="1">
        <v>5247</v>
      </c>
      <c r="I2909" s="1">
        <v>5342</v>
      </c>
      <c r="J2909" s="1">
        <v>4441</v>
      </c>
      <c r="K2909" s="1">
        <v>5387</v>
      </c>
      <c r="L2909" s="1">
        <v>8977</v>
      </c>
      <c r="M2909" s="1">
        <v>16727</v>
      </c>
      <c r="N2909" s="1">
        <v>2077</v>
      </c>
      <c r="O2909" t="s">
        <v>748</v>
      </c>
      <c r="P2909" s="1" t="b">
        <f>NOT(OR(Table1[[#This Row],[State]]="Other Foreign Countries", Table1[[#This Row],[State]]="Unknown", Table1[[#This Row],[State]]="Puerto Rico all counties"))</f>
        <v>1</v>
      </c>
    </row>
    <row r="2910" spans="1:16" x14ac:dyDescent="0.25">
      <c r="A2910">
        <v>17185</v>
      </c>
      <c r="B2910" t="s">
        <v>1109</v>
      </c>
      <c r="C2910" t="s">
        <v>1250</v>
      </c>
      <c r="D2910">
        <v>154</v>
      </c>
      <c r="E2910">
        <v>29</v>
      </c>
      <c r="F2910">
        <v>27</v>
      </c>
      <c r="G2910">
        <v>24</v>
      </c>
      <c r="H2910">
        <v>38</v>
      </c>
      <c r="I2910">
        <v>36</v>
      </c>
      <c r="J2910">
        <v>38</v>
      </c>
      <c r="K2910">
        <v>35</v>
      </c>
      <c r="L2910">
        <v>81</v>
      </c>
      <c r="O2910" t="s">
        <v>1251</v>
      </c>
      <c r="P2910" s="1" t="b">
        <f>NOT(OR(Table1[[#This Row],[State]]="Other Foreign Countries", Table1[[#This Row],[State]]="Unknown", Table1[[#This Row],[State]]="Puerto Rico all counties"))</f>
        <v>1</v>
      </c>
    </row>
    <row r="2911" spans="1:16" x14ac:dyDescent="0.25">
      <c r="A2911">
        <v>18169</v>
      </c>
      <c r="B2911" t="s">
        <v>1266</v>
      </c>
      <c r="C2911" t="s">
        <v>1250</v>
      </c>
      <c r="D2911">
        <v>707</v>
      </c>
      <c r="E2911">
        <v>272</v>
      </c>
      <c r="F2911">
        <v>106</v>
      </c>
      <c r="G2911">
        <v>87</v>
      </c>
      <c r="H2911">
        <v>132</v>
      </c>
      <c r="I2911">
        <v>110</v>
      </c>
      <c r="J2911">
        <v>104</v>
      </c>
      <c r="K2911">
        <v>165</v>
      </c>
      <c r="L2911">
        <v>438</v>
      </c>
      <c r="M2911">
        <v>679</v>
      </c>
      <c r="N2911">
        <v>28</v>
      </c>
      <c r="O2911" t="s">
        <v>1388</v>
      </c>
      <c r="P2911" s="1" t="b">
        <f>NOT(OR(Table1[[#This Row],[State]]="Other Foreign Countries", Table1[[#This Row],[State]]="Unknown", Table1[[#This Row],[State]]="Puerto Rico all counties"))</f>
        <v>1</v>
      </c>
    </row>
    <row r="2912" spans="1:16" x14ac:dyDescent="0.25">
      <c r="A2912">
        <v>27157</v>
      </c>
      <c r="B2912" t="s">
        <v>2245</v>
      </c>
      <c r="C2912" t="s">
        <v>2378</v>
      </c>
      <c r="D2912">
        <v>640</v>
      </c>
      <c r="E2912">
        <v>280</v>
      </c>
      <c r="F2912">
        <v>66</v>
      </c>
      <c r="G2912">
        <v>70</v>
      </c>
      <c r="H2912">
        <v>131</v>
      </c>
      <c r="I2912">
        <v>93</v>
      </c>
      <c r="J2912">
        <v>119</v>
      </c>
      <c r="K2912">
        <v>133</v>
      </c>
      <c r="L2912">
        <v>388</v>
      </c>
      <c r="M2912">
        <v>592</v>
      </c>
      <c r="N2912">
        <v>47</v>
      </c>
      <c r="O2912" t="s">
        <v>2379</v>
      </c>
      <c r="P2912" s="1" t="b">
        <f>NOT(OR(Table1[[#This Row],[State]]="Other Foreign Countries", Table1[[#This Row],[State]]="Unknown", Table1[[#This Row],[State]]="Puerto Rico all counties"))</f>
        <v>1</v>
      </c>
    </row>
    <row r="2913" spans="1:16" x14ac:dyDescent="0.25">
      <c r="A2913">
        <v>20197</v>
      </c>
      <c r="B2913" t="s">
        <v>1543</v>
      </c>
      <c r="C2913" t="s">
        <v>1703</v>
      </c>
      <c r="D2913">
        <v>170</v>
      </c>
      <c r="E2913">
        <v>30</v>
      </c>
      <c r="F2913">
        <v>16</v>
      </c>
      <c r="G2913">
        <v>21</v>
      </c>
      <c r="H2913">
        <v>45</v>
      </c>
      <c r="I2913">
        <v>58</v>
      </c>
      <c r="J2913">
        <v>38</v>
      </c>
      <c r="K2913">
        <v>61</v>
      </c>
      <c r="L2913">
        <v>71</v>
      </c>
      <c r="M2913">
        <v>158</v>
      </c>
      <c r="N2913">
        <v>11</v>
      </c>
      <c r="O2913" t="s">
        <v>1704</v>
      </c>
      <c r="P2913" s="1" t="b">
        <f>NOT(OR(Table1[[#This Row],[State]]="Other Foreign Countries", Table1[[#This Row],[State]]="Unknown", Table1[[#This Row],[State]]="Puerto Rico all counties"))</f>
        <v>1</v>
      </c>
    </row>
    <row r="2914" spans="1:16" x14ac:dyDescent="0.25">
      <c r="A2914">
        <v>27159</v>
      </c>
      <c r="B2914" t="s">
        <v>2245</v>
      </c>
      <c r="C2914" t="s">
        <v>2380</v>
      </c>
      <c r="D2914">
        <v>497</v>
      </c>
      <c r="E2914">
        <v>215</v>
      </c>
      <c r="F2914">
        <v>55</v>
      </c>
      <c r="G2914">
        <v>61</v>
      </c>
      <c r="H2914">
        <v>93</v>
      </c>
      <c r="I2914">
        <v>73</v>
      </c>
      <c r="J2914">
        <v>69</v>
      </c>
      <c r="K2914">
        <v>105</v>
      </c>
      <c r="L2914">
        <v>323</v>
      </c>
      <c r="M2914">
        <v>462</v>
      </c>
      <c r="N2914">
        <v>35</v>
      </c>
      <c r="O2914" t="s">
        <v>2381</v>
      </c>
      <c r="P2914" s="1" t="b">
        <f>NOT(OR(Table1[[#This Row],[State]]="Other Foreign Countries", Table1[[#This Row],[State]]="Unknown", Table1[[#This Row],[State]]="Puerto Rico all counties"))</f>
        <v>1</v>
      </c>
    </row>
    <row r="2915" spans="1:16" x14ac:dyDescent="0.25">
      <c r="A2915">
        <v>40145</v>
      </c>
      <c r="B2915" t="s">
        <v>3495</v>
      </c>
      <c r="C2915" t="s">
        <v>3604</v>
      </c>
      <c r="D2915">
        <v>2849</v>
      </c>
      <c r="E2915">
        <v>551</v>
      </c>
      <c r="F2915">
        <v>254</v>
      </c>
      <c r="G2915">
        <v>305</v>
      </c>
      <c r="H2915">
        <v>905</v>
      </c>
      <c r="I2915">
        <v>834</v>
      </c>
      <c r="J2915">
        <v>806</v>
      </c>
      <c r="K2915">
        <v>874</v>
      </c>
      <c r="L2915" s="1">
        <v>1169</v>
      </c>
      <c r="M2915" s="1">
        <v>2583</v>
      </c>
      <c r="N2915">
        <v>266</v>
      </c>
      <c r="O2915" t="s">
        <v>3605</v>
      </c>
      <c r="P2915" s="1" t="b">
        <f>NOT(OR(Table1[[#This Row],[State]]="Other Foreign Countries", Table1[[#This Row],[State]]="Unknown", Table1[[#This Row],[State]]="Puerto Rico all counties"))</f>
        <v>1</v>
      </c>
    </row>
    <row r="2916" spans="1:16" x14ac:dyDescent="0.25">
      <c r="A2916">
        <v>53069</v>
      </c>
      <c r="B2916" t="s">
        <v>144</v>
      </c>
      <c r="C2916" t="s">
        <v>4823</v>
      </c>
      <c r="D2916">
        <v>147</v>
      </c>
      <c r="E2916">
        <v>37</v>
      </c>
      <c r="F2916">
        <v>24</v>
      </c>
      <c r="G2916">
        <v>19</v>
      </c>
      <c r="H2916">
        <v>40</v>
      </c>
      <c r="I2916">
        <v>27</v>
      </c>
      <c r="J2916">
        <v>32</v>
      </c>
      <c r="K2916">
        <v>40</v>
      </c>
      <c r="L2916">
        <v>75</v>
      </c>
      <c r="M2916">
        <v>128</v>
      </c>
      <c r="N2916">
        <v>19</v>
      </c>
      <c r="O2916" t="s">
        <v>4824</v>
      </c>
      <c r="P2916" s="1" t="b">
        <f>NOT(OR(Table1[[#This Row],[State]]="Other Foreign Countries", Table1[[#This Row],[State]]="Unknown", Table1[[#This Row],[State]]="Puerto Rico all counties"))</f>
        <v>1</v>
      </c>
    </row>
    <row r="2917" spans="1:16" x14ac:dyDescent="0.25">
      <c r="A2917">
        <v>37183</v>
      </c>
      <c r="B2917" t="s">
        <v>3121</v>
      </c>
      <c r="C2917" t="s">
        <v>3273</v>
      </c>
      <c r="D2917">
        <v>19154</v>
      </c>
      <c r="E2917" s="1">
        <v>2954</v>
      </c>
      <c r="F2917" s="1">
        <v>1919</v>
      </c>
      <c r="G2917" s="1">
        <v>2210</v>
      </c>
      <c r="H2917" s="1">
        <v>5944</v>
      </c>
      <c r="I2917" s="1">
        <v>6127</v>
      </c>
      <c r="J2917" s="1">
        <v>6975</v>
      </c>
      <c r="K2917" s="1">
        <v>6895</v>
      </c>
      <c r="L2917" s="1">
        <v>5284</v>
      </c>
      <c r="M2917" s="1">
        <v>15993</v>
      </c>
      <c r="N2917" s="1">
        <v>3159</v>
      </c>
      <c r="O2917" t="s">
        <v>3274</v>
      </c>
      <c r="P2917" s="1" t="b">
        <f>NOT(OR(Table1[[#This Row],[State]]="Other Foreign Countries", Table1[[#This Row],[State]]="Unknown", Table1[[#This Row],[State]]="Puerto Rico all counties"))</f>
        <v>1</v>
      </c>
    </row>
    <row r="2918" spans="1:16" x14ac:dyDescent="0.25">
      <c r="A2918">
        <v>12129</v>
      </c>
      <c r="B2918" t="s">
        <v>637</v>
      </c>
      <c r="C2918" t="s">
        <v>749</v>
      </c>
      <c r="D2918">
        <v>1215</v>
      </c>
      <c r="E2918">
        <v>230</v>
      </c>
      <c r="F2918">
        <v>121</v>
      </c>
      <c r="G2918">
        <v>158</v>
      </c>
      <c r="H2918">
        <v>346</v>
      </c>
      <c r="I2918">
        <v>360</v>
      </c>
      <c r="J2918">
        <v>315</v>
      </c>
      <c r="K2918">
        <v>477</v>
      </c>
      <c r="L2918">
        <v>423</v>
      </c>
      <c r="M2918" s="1">
        <v>1058</v>
      </c>
      <c r="N2918">
        <v>157</v>
      </c>
      <c r="O2918" t="s">
        <v>750</v>
      </c>
      <c r="P2918" s="1" t="b">
        <f>NOT(OR(Table1[[#This Row],[State]]="Other Foreign Countries", Table1[[#This Row],[State]]="Unknown", Table1[[#This Row],[State]]="Puerto Rico all counties"))</f>
        <v>1</v>
      </c>
    </row>
    <row r="2919" spans="1:16" x14ac:dyDescent="0.25">
      <c r="A2919">
        <v>23027</v>
      </c>
      <c r="B2919" t="s">
        <v>2004</v>
      </c>
      <c r="C2919" t="s">
        <v>2026</v>
      </c>
      <c r="D2919">
        <v>1093</v>
      </c>
      <c r="E2919">
        <v>187</v>
      </c>
      <c r="F2919">
        <v>115</v>
      </c>
      <c r="G2919">
        <v>143</v>
      </c>
      <c r="H2919">
        <v>331</v>
      </c>
      <c r="I2919">
        <v>317</v>
      </c>
      <c r="J2919">
        <v>242</v>
      </c>
      <c r="K2919">
        <v>339</v>
      </c>
      <c r="L2919">
        <v>512</v>
      </c>
      <c r="M2919">
        <v>989</v>
      </c>
      <c r="N2919">
        <v>104</v>
      </c>
      <c r="O2919" t="s">
        <v>2027</v>
      </c>
      <c r="P2919" s="1" t="b">
        <f>NOT(OR(Table1[[#This Row],[State]]="Other Foreign Countries", Table1[[#This Row],[State]]="Unknown", Table1[[#This Row],[State]]="Puerto Rico all counties"))</f>
        <v>1</v>
      </c>
    </row>
    <row r="2920" spans="1:16" x14ac:dyDescent="0.25">
      <c r="A2920">
        <v>1127</v>
      </c>
      <c r="B2920" t="s">
        <v>15</v>
      </c>
      <c r="C2920" t="s">
        <v>142</v>
      </c>
      <c r="D2920">
        <v>1287</v>
      </c>
      <c r="E2920">
        <v>234</v>
      </c>
      <c r="F2920">
        <v>125</v>
      </c>
      <c r="G2920">
        <v>185</v>
      </c>
      <c r="H2920">
        <v>401</v>
      </c>
      <c r="I2920">
        <v>342</v>
      </c>
      <c r="J2920">
        <v>273</v>
      </c>
      <c r="K2920">
        <v>417</v>
      </c>
      <c r="L2920">
        <v>597</v>
      </c>
      <c r="M2920" s="1">
        <v>1187</v>
      </c>
      <c r="N2920">
        <v>100</v>
      </c>
      <c r="O2920" t="s">
        <v>143</v>
      </c>
      <c r="P2920" s="1" t="b">
        <f>NOT(OR(Table1[[#This Row],[State]]="Other Foreign Countries", Table1[[#This Row],[State]]="Unknown", Table1[[#This Row],[State]]="Puerto Rico all counties"))</f>
        <v>1</v>
      </c>
    </row>
    <row r="2921" spans="1:16" x14ac:dyDescent="0.25">
      <c r="A2921">
        <v>13295</v>
      </c>
      <c r="B2921" t="s">
        <v>754</v>
      </c>
      <c r="C2921" t="s">
        <v>142</v>
      </c>
      <c r="D2921">
        <v>1342</v>
      </c>
      <c r="E2921">
        <v>309</v>
      </c>
      <c r="F2921">
        <v>149</v>
      </c>
      <c r="G2921">
        <v>133</v>
      </c>
      <c r="H2921">
        <v>384</v>
      </c>
      <c r="I2921">
        <v>367</v>
      </c>
      <c r="J2921">
        <v>321</v>
      </c>
      <c r="K2921">
        <v>389</v>
      </c>
      <c r="L2921">
        <v>632</v>
      </c>
      <c r="M2921" s="1">
        <v>1223</v>
      </c>
      <c r="N2921">
        <v>119</v>
      </c>
      <c r="O2921" t="s">
        <v>999</v>
      </c>
      <c r="P2921" s="1" t="b">
        <f>NOT(OR(Table1[[#This Row],[State]]="Other Foreign Countries", Table1[[#This Row],[State]]="Unknown", Table1[[#This Row],[State]]="Puerto Rico all counties"))</f>
        <v>1</v>
      </c>
    </row>
    <row r="2922" spans="1:16" x14ac:dyDescent="0.25">
      <c r="A2922">
        <v>48471</v>
      </c>
      <c r="B2922" t="s">
        <v>2654</v>
      </c>
      <c r="C2922" t="s">
        <v>142</v>
      </c>
      <c r="D2922">
        <v>1280</v>
      </c>
      <c r="E2922">
        <v>264</v>
      </c>
      <c r="F2922">
        <v>134</v>
      </c>
      <c r="G2922">
        <v>147</v>
      </c>
      <c r="H2922">
        <v>395</v>
      </c>
      <c r="I2922">
        <v>340</v>
      </c>
      <c r="J2922">
        <v>391</v>
      </c>
      <c r="K2922">
        <v>436</v>
      </c>
      <c r="L2922">
        <v>453</v>
      </c>
      <c r="M2922" s="1">
        <v>1142</v>
      </c>
      <c r="N2922">
        <v>138</v>
      </c>
      <c r="O2922" t="s">
        <v>4456</v>
      </c>
      <c r="P2922" s="1" t="b">
        <f>NOT(OR(Table1[[#This Row],[State]]="Other Foreign Countries", Table1[[#This Row],[State]]="Unknown", Table1[[#This Row],[State]]="Puerto Rico all counties"))</f>
        <v>1</v>
      </c>
    </row>
    <row r="2923" spans="1:16" x14ac:dyDescent="0.25">
      <c r="A2923">
        <v>53071</v>
      </c>
      <c r="B2923" t="s">
        <v>144</v>
      </c>
      <c r="C2923" t="s">
        <v>4825</v>
      </c>
      <c r="D2923">
        <v>1344</v>
      </c>
      <c r="E2923">
        <v>332</v>
      </c>
      <c r="F2923">
        <v>143</v>
      </c>
      <c r="G2923">
        <v>163</v>
      </c>
      <c r="H2923">
        <v>389</v>
      </c>
      <c r="I2923">
        <v>317</v>
      </c>
      <c r="J2923">
        <v>302</v>
      </c>
      <c r="K2923">
        <v>426</v>
      </c>
      <c r="L2923">
        <v>616</v>
      </c>
      <c r="M2923" s="1">
        <v>1195</v>
      </c>
      <c r="N2923">
        <v>148</v>
      </c>
      <c r="O2923" t="s">
        <v>4826</v>
      </c>
      <c r="P2923" s="1" t="b">
        <f>NOT(OR(Table1[[#This Row],[State]]="Other Foreign Countries", Table1[[#This Row],[State]]="Unknown", Table1[[#This Row],[State]]="Puerto Rico all counties"))</f>
        <v>1</v>
      </c>
    </row>
    <row r="2924" spans="1:16" x14ac:dyDescent="0.25">
      <c r="A2924">
        <v>20199</v>
      </c>
      <c r="B2924" t="s">
        <v>1543</v>
      </c>
      <c r="C2924" t="s">
        <v>1705</v>
      </c>
      <c r="D2924">
        <v>27</v>
      </c>
      <c r="L2924">
        <v>17</v>
      </c>
      <c r="O2924" t="s">
        <v>1706</v>
      </c>
      <c r="P2924" s="1" t="b">
        <f>NOT(OR(Table1[[#This Row],[State]]="Other Foreign Countries", Table1[[#This Row],[State]]="Unknown", Table1[[#This Row],[State]]="Puerto Rico all counties"))</f>
        <v>1</v>
      </c>
    </row>
    <row r="2925" spans="1:16" x14ac:dyDescent="0.25">
      <c r="A2925">
        <v>48473</v>
      </c>
      <c r="B2925" t="s">
        <v>2654</v>
      </c>
      <c r="C2925" t="s">
        <v>4457</v>
      </c>
      <c r="D2925">
        <v>1338</v>
      </c>
      <c r="E2925">
        <v>162</v>
      </c>
      <c r="F2925">
        <v>104</v>
      </c>
      <c r="G2925">
        <v>132</v>
      </c>
      <c r="H2925">
        <v>404</v>
      </c>
      <c r="I2925">
        <v>536</v>
      </c>
      <c r="J2925">
        <v>610</v>
      </c>
      <c r="K2925">
        <v>424</v>
      </c>
      <c r="L2925">
        <v>304</v>
      </c>
      <c r="M2925" s="1">
        <v>1105</v>
      </c>
      <c r="N2925">
        <v>233</v>
      </c>
      <c r="O2925" t="s">
        <v>4458</v>
      </c>
      <c r="P2925" s="1" t="b">
        <f>NOT(OR(Table1[[#This Row],[State]]="Other Foreign Countries", Table1[[#This Row],[State]]="Unknown", Table1[[#This Row],[State]]="Puerto Rico all counties"))</f>
        <v>1</v>
      </c>
    </row>
    <row r="2926" spans="1:16" x14ac:dyDescent="0.25">
      <c r="A2926">
        <v>41063</v>
      </c>
      <c r="B2926" t="s">
        <v>2607</v>
      </c>
      <c r="C2926" t="s">
        <v>3657</v>
      </c>
      <c r="D2926">
        <v>221</v>
      </c>
      <c r="E2926">
        <v>64</v>
      </c>
      <c r="F2926">
        <v>27</v>
      </c>
      <c r="G2926">
        <v>30</v>
      </c>
      <c r="H2926">
        <v>66</v>
      </c>
      <c r="I2926">
        <v>34</v>
      </c>
      <c r="J2926">
        <v>32</v>
      </c>
      <c r="K2926">
        <v>58</v>
      </c>
      <c r="L2926">
        <v>131</v>
      </c>
      <c r="M2926">
        <v>203</v>
      </c>
      <c r="N2926">
        <v>18</v>
      </c>
      <c r="O2926" t="s">
        <v>3658</v>
      </c>
      <c r="P2926" s="1" t="b">
        <f>NOT(OR(Table1[[#This Row],[State]]="Other Foreign Countries", Table1[[#This Row],[State]]="Unknown", Table1[[#This Row],[State]]="Puerto Rico all counties"))</f>
        <v>1</v>
      </c>
    </row>
    <row r="2927" spans="1:16" x14ac:dyDescent="0.25">
      <c r="A2927">
        <v>38099</v>
      </c>
      <c r="B2927" t="s">
        <v>3286</v>
      </c>
      <c r="C2927" t="s">
        <v>3364</v>
      </c>
      <c r="D2927">
        <v>142</v>
      </c>
      <c r="E2927">
        <v>33</v>
      </c>
      <c r="H2927">
        <v>39</v>
      </c>
      <c r="I2927">
        <v>41</v>
      </c>
      <c r="J2927">
        <v>26</v>
      </c>
      <c r="K2927">
        <v>46</v>
      </c>
      <c r="L2927">
        <v>70</v>
      </c>
      <c r="O2927" t="s">
        <v>3365</v>
      </c>
      <c r="P2927" s="1" t="b">
        <f>NOT(OR(Table1[[#This Row],[State]]="Other Foreign Countries", Table1[[#This Row],[State]]="Unknown", Table1[[#This Row],[State]]="Puerto Rico all counties"))</f>
        <v>1</v>
      </c>
    </row>
    <row r="2928" spans="1:16" x14ac:dyDescent="0.25">
      <c r="A2928">
        <v>28147</v>
      </c>
      <c r="B2928" t="s">
        <v>322</v>
      </c>
      <c r="C2928" t="s">
        <v>2498</v>
      </c>
      <c r="D2928">
        <v>240</v>
      </c>
      <c r="E2928">
        <v>51</v>
      </c>
      <c r="F2928">
        <v>26</v>
      </c>
      <c r="G2928">
        <v>27</v>
      </c>
      <c r="H2928">
        <v>57</v>
      </c>
      <c r="I2928">
        <v>79</v>
      </c>
      <c r="J2928">
        <v>44</v>
      </c>
      <c r="K2928">
        <v>82</v>
      </c>
      <c r="L2928">
        <v>114</v>
      </c>
      <c r="M2928">
        <v>218</v>
      </c>
      <c r="N2928">
        <v>22</v>
      </c>
      <c r="O2928" t="s">
        <v>2499</v>
      </c>
      <c r="P2928" s="1" t="b">
        <f>NOT(OR(Table1[[#This Row],[State]]="Other Foreign Countries", Table1[[#This Row],[State]]="Unknown", Table1[[#This Row],[State]]="Puerto Rico all counties"))</f>
        <v>1</v>
      </c>
    </row>
    <row r="2929" spans="1:16" x14ac:dyDescent="0.25">
      <c r="A2929">
        <v>12131</v>
      </c>
      <c r="B2929" t="s">
        <v>637</v>
      </c>
      <c r="C2929" t="s">
        <v>751</v>
      </c>
      <c r="D2929">
        <v>3437</v>
      </c>
      <c r="E2929">
        <v>693</v>
      </c>
      <c r="F2929">
        <v>331</v>
      </c>
      <c r="G2929">
        <v>395</v>
      </c>
      <c r="H2929">
        <v>903</v>
      </c>
      <c r="I2929" s="1">
        <v>1115</v>
      </c>
      <c r="J2929">
        <v>825</v>
      </c>
      <c r="K2929" s="1">
        <v>1317</v>
      </c>
      <c r="L2929" s="1">
        <v>1295</v>
      </c>
      <c r="M2929" s="1">
        <v>2975</v>
      </c>
      <c r="N2929">
        <v>462</v>
      </c>
      <c r="O2929" t="s">
        <v>752</v>
      </c>
      <c r="P2929" s="1" t="b">
        <f>NOT(OR(Table1[[#This Row],[State]]="Other Foreign Countries", Table1[[#This Row],[State]]="Unknown", Table1[[#This Row],[State]]="Puerto Rico all counties"))</f>
        <v>1</v>
      </c>
    </row>
    <row r="2930" spans="1:16" x14ac:dyDescent="0.25">
      <c r="A2930">
        <v>13297</v>
      </c>
      <c r="B2930" t="s">
        <v>754</v>
      </c>
      <c r="C2930" t="s">
        <v>751</v>
      </c>
      <c r="D2930">
        <v>2270</v>
      </c>
      <c r="E2930">
        <v>381</v>
      </c>
      <c r="F2930">
        <v>239</v>
      </c>
      <c r="G2930">
        <v>264</v>
      </c>
      <c r="H2930">
        <v>691</v>
      </c>
      <c r="I2930">
        <v>695</v>
      </c>
      <c r="J2930">
        <v>728</v>
      </c>
      <c r="K2930">
        <v>794</v>
      </c>
      <c r="L2930">
        <v>748</v>
      </c>
      <c r="M2930" s="1">
        <v>1912</v>
      </c>
      <c r="N2930">
        <v>358</v>
      </c>
      <c r="O2930" t="s">
        <v>1000</v>
      </c>
      <c r="P2930" s="1" t="b">
        <f>NOT(OR(Table1[[#This Row],[State]]="Other Foreign Countries", Table1[[#This Row],[State]]="Unknown", Table1[[#This Row],[State]]="Puerto Rico all counties"))</f>
        <v>1</v>
      </c>
    </row>
    <row r="2931" spans="1:16" x14ac:dyDescent="0.25">
      <c r="A2931">
        <v>46129</v>
      </c>
      <c r="B2931" t="s">
        <v>3846</v>
      </c>
      <c r="C2931" t="s">
        <v>3945</v>
      </c>
      <c r="D2931">
        <v>105</v>
      </c>
      <c r="E2931">
        <v>25</v>
      </c>
      <c r="F2931">
        <v>18</v>
      </c>
      <c r="G2931">
        <v>18</v>
      </c>
      <c r="H2931">
        <v>24</v>
      </c>
      <c r="I2931">
        <v>20</v>
      </c>
      <c r="J2931">
        <v>10</v>
      </c>
      <c r="K2931">
        <v>38</v>
      </c>
      <c r="L2931">
        <v>57</v>
      </c>
      <c r="M2931">
        <v>94</v>
      </c>
      <c r="N2931">
        <v>11</v>
      </c>
      <c r="O2931" t="s">
        <v>3946</v>
      </c>
      <c r="P2931" s="1" t="b">
        <f>NOT(OR(Table1[[#This Row],[State]]="Other Foreign Countries", Table1[[#This Row],[State]]="Unknown", Table1[[#This Row],[State]]="Puerto Rico all counties"))</f>
        <v>1</v>
      </c>
    </row>
    <row r="2932" spans="1:16" x14ac:dyDescent="0.25">
      <c r="A2932">
        <v>55127</v>
      </c>
      <c r="B2932" t="s">
        <v>4906</v>
      </c>
      <c r="C2932" t="s">
        <v>3945</v>
      </c>
      <c r="D2932">
        <v>1428</v>
      </c>
      <c r="E2932">
        <v>372</v>
      </c>
      <c r="F2932">
        <v>197</v>
      </c>
      <c r="G2932">
        <v>194</v>
      </c>
      <c r="H2932">
        <v>393</v>
      </c>
      <c r="I2932">
        <v>272</v>
      </c>
      <c r="J2932">
        <v>419</v>
      </c>
      <c r="K2932">
        <v>373</v>
      </c>
      <c r="L2932">
        <v>636</v>
      </c>
      <c r="M2932" s="1">
        <v>1302</v>
      </c>
      <c r="N2932">
        <v>126</v>
      </c>
      <c r="O2932" t="s">
        <v>5001</v>
      </c>
      <c r="P2932" s="1" t="b">
        <f>NOT(OR(Table1[[#This Row],[State]]="Other Foreign Countries", Table1[[#This Row],[State]]="Unknown", Table1[[#This Row],[State]]="Puerto Rico all counties"))</f>
        <v>1</v>
      </c>
    </row>
    <row r="2933" spans="1:16" x14ac:dyDescent="0.25">
      <c r="A2933">
        <v>19179</v>
      </c>
      <c r="B2933" t="s">
        <v>1399</v>
      </c>
      <c r="C2933" t="s">
        <v>1529</v>
      </c>
      <c r="D2933">
        <v>495</v>
      </c>
      <c r="E2933">
        <v>124</v>
      </c>
      <c r="F2933">
        <v>58</v>
      </c>
      <c r="G2933">
        <v>76</v>
      </c>
      <c r="H2933">
        <v>131</v>
      </c>
      <c r="I2933">
        <v>106</v>
      </c>
      <c r="J2933">
        <v>87</v>
      </c>
      <c r="K2933">
        <v>142</v>
      </c>
      <c r="L2933">
        <v>266</v>
      </c>
      <c r="M2933">
        <v>461</v>
      </c>
      <c r="N2933">
        <v>34</v>
      </c>
      <c r="O2933" t="s">
        <v>1530</v>
      </c>
      <c r="P2933" s="1" t="b">
        <f>NOT(OR(Table1[[#This Row],[State]]="Other Foreign Countries", Table1[[#This Row],[State]]="Unknown", Table1[[#This Row],[State]]="Puerto Rico all counties"))</f>
        <v>1</v>
      </c>
    </row>
    <row r="2934" spans="1:16" x14ac:dyDescent="0.25">
      <c r="A2934">
        <v>38101</v>
      </c>
      <c r="B2934" t="s">
        <v>3286</v>
      </c>
      <c r="C2934" t="s">
        <v>3366</v>
      </c>
      <c r="D2934">
        <v>2524</v>
      </c>
      <c r="E2934">
        <v>489</v>
      </c>
      <c r="F2934">
        <v>299</v>
      </c>
      <c r="G2934">
        <v>374</v>
      </c>
      <c r="H2934">
        <v>818</v>
      </c>
      <c r="I2934">
        <v>544</v>
      </c>
      <c r="J2934">
        <v>974</v>
      </c>
      <c r="K2934">
        <v>876</v>
      </c>
      <c r="L2934">
        <v>674</v>
      </c>
      <c r="M2934" s="1">
        <v>2137</v>
      </c>
      <c r="N2934">
        <v>387</v>
      </c>
      <c r="O2934" t="s">
        <v>3367</v>
      </c>
      <c r="P2934" s="1" t="b">
        <f>NOT(OR(Table1[[#This Row],[State]]="Other Foreign Countries", Table1[[#This Row],[State]]="Unknown", Table1[[#This Row],[State]]="Puerto Rico all counties"))</f>
        <v>1</v>
      </c>
    </row>
    <row r="2935" spans="1:16" x14ac:dyDescent="0.25">
      <c r="A2935">
        <v>48475</v>
      </c>
      <c r="B2935" t="s">
        <v>2654</v>
      </c>
      <c r="C2935" t="s">
        <v>3366</v>
      </c>
      <c r="D2935">
        <v>146</v>
      </c>
      <c r="E2935">
        <v>39</v>
      </c>
      <c r="F2935">
        <v>16</v>
      </c>
      <c r="G2935">
        <v>22</v>
      </c>
      <c r="H2935">
        <v>38</v>
      </c>
      <c r="I2935">
        <v>31</v>
      </c>
      <c r="J2935">
        <v>38</v>
      </c>
      <c r="K2935">
        <v>44</v>
      </c>
      <c r="L2935">
        <v>64</v>
      </c>
      <c r="M2935">
        <v>135</v>
      </c>
      <c r="N2935">
        <v>11</v>
      </c>
      <c r="O2935" t="s">
        <v>4459</v>
      </c>
      <c r="P2935" s="1" t="b">
        <f>NOT(OR(Table1[[#This Row],[State]]="Other Foreign Countries", Table1[[#This Row],[State]]="Unknown", Table1[[#This Row],[State]]="Puerto Rico all counties"))</f>
        <v>1</v>
      </c>
    </row>
    <row r="2936" spans="1:16" x14ac:dyDescent="0.25">
      <c r="A2936">
        <v>13299</v>
      </c>
      <c r="B2936" t="s">
        <v>754</v>
      </c>
      <c r="C2936" t="s">
        <v>1001</v>
      </c>
      <c r="D2936">
        <v>823</v>
      </c>
      <c r="E2936">
        <v>140</v>
      </c>
      <c r="F2936">
        <v>70</v>
      </c>
      <c r="G2936">
        <v>100</v>
      </c>
      <c r="H2936">
        <v>257</v>
      </c>
      <c r="I2936">
        <v>256</v>
      </c>
      <c r="J2936">
        <v>191</v>
      </c>
      <c r="K2936">
        <v>286</v>
      </c>
      <c r="L2936">
        <v>346</v>
      </c>
      <c r="M2936">
        <v>734</v>
      </c>
      <c r="N2936">
        <v>89</v>
      </c>
      <c r="O2936" t="s">
        <v>1002</v>
      </c>
      <c r="P2936" s="1" t="b">
        <f>NOT(OR(Table1[[#This Row],[State]]="Other Foreign Countries", Table1[[#This Row],[State]]="Unknown", Table1[[#This Row],[State]]="Puerto Rico all counties"))</f>
        <v>1</v>
      </c>
    </row>
    <row r="2937" spans="1:16" x14ac:dyDescent="0.25">
      <c r="A2937">
        <v>13301</v>
      </c>
      <c r="B2937" t="s">
        <v>754</v>
      </c>
      <c r="C2937" t="s">
        <v>1003</v>
      </c>
      <c r="D2937">
        <v>105</v>
      </c>
      <c r="E2937">
        <v>20</v>
      </c>
      <c r="H2937">
        <v>36</v>
      </c>
      <c r="I2937">
        <v>26</v>
      </c>
      <c r="J2937">
        <v>25</v>
      </c>
      <c r="K2937">
        <v>32</v>
      </c>
      <c r="L2937">
        <v>48</v>
      </c>
      <c r="M2937">
        <v>94</v>
      </c>
      <c r="N2937">
        <v>11</v>
      </c>
      <c r="O2937" t="s">
        <v>1004</v>
      </c>
      <c r="P2937" s="1" t="b">
        <f>NOT(OR(Table1[[#This Row],[State]]="Other Foreign Countries", Table1[[#This Row],[State]]="Unknown", Table1[[#This Row],[State]]="Puerto Rico all counties"))</f>
        <v>1</v>
      </c>
    </row>
    <row r="2938" spans="1:16" x14ac:dyDescent="0.25">
      <c r="A2938">
        <v>17187</v>
      </c>
      <c r="B2938" t="s">
        <v>1109</v>
      </c>
      <c r="C2938" t="s">
        <v>1003</v>
      </c>
      <c r="D2938">
        <v>244</v>
      </c>
      <c r="E2938">
        <v>32</v>
      </c>
      <c r="F2938">
        <v>33</v>
      </c>
      <c r="G2938">
        <v>41</v>
      </c>
      <c r="H2938">
        <v>73</v>
      </c>
      <c r="I2938">
        <v>65</v>
      </c>
      <c r="J2938">
        <v>65</v>
      </c>
      <c r="K2938">
        <v>75</v>
      </c>
      <c r="L2938">
        <v>104</v>
      </c>
      <c r="M2938">
        <v>231</v>
      </c>
      <c r="N2938">
        <v>13</v>
      </c>
      <c r="O2938" t="s">
        <v>1252</v>
      </c>
      <c r="P2938" s="1" t="b">
        <f>NOT(OR(Table1[[#This Row],[State]]="Other Foreign Countries", Table1[[#This Row],[State]]="Unknown", Table1[[#This Row],[State]]="Puerto Rico all counties"))</f>
        <v>1</v>
      </c>
    </row>
    <row r="2939" spans="1:16" x14ac:dyDescent="0.25">
      <c r="A2939">
        <v>18171</v>
      </c>
      <c r="B2939" t="s">
        <v>1266</v>
      </c>
      <c r="C2939" t="s">
        <v>1003</v>
      </c>
      <c r="D2939">
        <v>148</v>
      </c>
      <c r="E2939">
        <v>26</v>
      </c>
      <c r="F2939">
        <v>27</v>
      </c>
      <c r="G2939">
        <v>18</v>
      </c>
      <c r="H2939">
        <v>39</v>
      </c>
      <c r="I2939">
        <v>38</v>
      </c>
      <c r="J2939">
        <v>42</v>
      </c>
      <c r="K2939">
        <v>55</v>
      </c>
      <c r="L2939">
        <v>51</v>
      </c>
      <c r="O2939" t="s">
        <v>1389</v>
      </c>
      <c r="P2939" s="1" t="b">
        <f>NOT(OR(Table1[[#This Row],[State]]="Other Foreign Countries", Table1[[#This Row],[State]]="Unknown", Table1[[#This Row],[State]]="Puerto Rico all counties"))</f>
        <v>1</v>
      </c>
    </row>
    <row r="2940" spans="1:16" x14ac:dyDescent="0.25">
      <c r="A2940">
        <v>19181</v>
      </c>
      <c r="B2940" t="s">
        <v>1399</v>
      </c>
      <c r="C2940" t="s">
        <v>1003</v>
      </c>
      <c r="D2940">
        <v>1346</v>
      </c>
      <c r="E2940">
        <v>343</v>
      </c>
      <c r="F2940">
        <v>169</v>
      </c>
      <c r="G2940">
        <v>169</v>
      </c>
      <c r="H2940">
        <v>355</v>
      </c>
      <c r="I2940">
        <v>310</v>
      </c>
      <c r="J2940">
        <v>391</v>
      </c>
      <c r="K2940">
        <v>404</v>
      </c>
      <c r="L2940">
        <v>551</v>
      </c>
      <c r="M2940" s="1">
        <v>1216</v>
      </c>
      <c r="N2940">
        <v>129</v>
      </c>
      <c r="O2940" t="s">
        <v>1531</v>
      </c>
      <c r="P2940" s="1" t="b">
        <f>NOT(OR(Table1[[#This Row],[State]]="Other Foreign Countries", Table1[[#This Row],[State]]="Unknown", Table1[[#This Row],[State]]="Puerto Rico all counties"))</f>
        <v>1</v>
      </c>
    </row>
    <row r="2941" spans="1:16" x14ac:dyDescent="0.25">
      <c r="A2941">
        <v>21227</v>
      </c>
      <c r="B2941" t="s">
        <v>1716</v>
      </c>
      <c r="C2941" t="s">
        <v>1003</v>
      </c>
      <c r="D2941">
        <v>2201</v>
      </c>
      <c r="E2941">
        <v>445</v>
      </c>
      <c r="F2941">
        <v>209</v>
      </c>
      <c r="G2941">
        <v>236</v>
      </c>
      <c r="H2941">
        <v>708</v>
      </c>
      <c r="I2941">
        <v>603</v>
      </c>
      <c r="J2941">
        <v>653</v>
      </c>
      <c r="K2941">
        <v>739</v>
      </c>
      <c r="L2941">
        <v>809</v>
      </c>
      <c r="M2941" s="1">
        <v>1999</v>
      </c>
      <c r="N2941">
        <v>202</v>
      </c>
      <c r="O2941" t="s">
        <v>1884</v>
      </c>
      <c r="P2941" s="1" t="b">
        <f>NOT(OR(Table1[[#This Row],[State]]="Other Foreign Countries", Table1[[#This Row],[State]]="Unknown", Table1[[#This Row],[State]]="Puerto Rico all counties"))</f>
        <v>1</v>
      </c>
    </row>
    <row r="2942" spans="1:16" x14ac:dyDescent="0.25">
      <c r="A2942">
        <v>28149</v>
      </c>
      <c r="B2942" t="s">
        <v>322</v>
      </c>
      <c r="C2942" t="s">
        <v>1003</v>
      </c>
      <c r="D2942">
        <v>786</v>
      </c>
      <c r="E2942">
        <v>148</v>
      </c>
      <c r="F2942">
        <v>70</v>
      </c>
      <c r="G2942">
        <v>99</v>
      </c>
      <c r="H2942">
        <v>239</v>
      </c>
      <c r="I2942">
        <v>230</v>
      </c>
      <c r="J2942">
        <v>163</v>
      </c>
      <c r="K2942">
        <v>310</v>
      </c>
      <c r="L2942">
        <v>313</v>
      </c>
      <c r="M2942">
        <v>663</v>
      </c>
      <c r="N2942">
        <v>123</v>
      </c>
      <c r="O2942" t="s">
        <v>2500</v>
      </c>
      <c r="P2942" s="1" t="b">
        <f>NOT(OR(Table1[[#This Row],[State]]="Other Foreign Countries", Table1[[#This Row],[State]]="Unknown", Table1[[#This Row],[State]]="Puerto Rico all counties"))</f>
        <v>1</v>
      </c>
    </row>
    <row r="2943" spans="1:16" x14ac:dyDescent="0.25">
      <c r="A2943">
        <v>29219</v>
      </c>
      <c r="B2943" t="s">
        <v>2510</v>
      </c>
      <c r="C2943" t="s">
        <v>1003</v>
      </c>
      <c r="D2943">
        <v>783</v>
      </c>
      <c r="E2943">
        <v>199</v>
      </c>
      <c r="F2943">
        <v>82</v>
      </c>
      <c r="G2943">
        <v>108</v>
      </c>
      <c r="H2943">
        <v>216</v>
      </c>
      <c r="I2943">
        <v>178</v>
      </c>
      <c r="J2943">
        <v>253</v>
      </c>
      <c r="K2943">
        <v>207</v>
      </c>
      <c r="L2943">
        <v>323</v>
      </c>
      <c r="M2943">
        <v>722</v>
      </c>
      <c r="N2943">
        <v>61</v>
      </c>
      <c r="O2943" t="s">
        <v>2657</v>
      </c>
      <c r="P2943" s="1" t="b">
        <f>NOT(OR(Table1[[#This Row],[State]]="Other Foreign Countries", Table1[[#This Row],[State]]="Unknown", Table1[[#This Row],[State]]="Puerto Rico all counties"))</f>
        <v>1</v>
      </c>
    </row>
    <row r="2944" spans="1:16" x14ac:dyDescent="0.25">
      <c r="A2944">
        <v>34041</v>
      </c>
      <c r="B2944" t="s">
        <v>2938</v>
      </c>
      <c r="C2944" t="s">
        <v>1003</v>
      </c>
      <c r="D2944">
        <v>1242</v>
      </c>
      <c r="E2944">
        <v>257</v>
      </c>
      <c r="F2944">
        <v>113</v>
      </c>
      <c r="G2944">
        <v>145</v>
      </c>
      <c r="H2944">
        <v>349</v>
      </c>
      <c r="I2944">
        <v>378</v>
      </c>
      <c r="J2944">
        <v>441</v>
      </c>
      <c r="K2944">
        <v>274</v>
      </c>
      <c r="L2944">
        <v>527</v>
      </c>
      <c r="M2944" s="1">
        <v>1129</v>
      </c>
      <c r="N2944">
        <v>113</v>
      </c>
      <c r="O2944" t="s">
        <v>2970</v>
      </c>
      <c r="P2944" s="1" t="b">
        <f>NOT(OR(Table1[[#This Row],[State]]="Other Foreign Countries", Table1[[#This Row],[State]]="Unknown", Table1[[#This Row],[State]]="Puerto Rico all counties"))</f>
        <v>1</v>
      </c>
    </row>
    <row r="2945" spans="1:16" x14ac:dyDescent="0.25">
      <c r="A2945">
        <v>36113</v>
      </c>
      <c r="B2945" t="s">
        <v>3029</v>
      </c>
      <c r="C2945" t="s">
        <v>1003</v>
      </c>
      <c r="D2945">
        <v>1002</v>
      </c>
      <c r="E2945">
        <v>197</v>
      </c>
      <c r="F2945">
        <v>152</v>
      </c>
      <c r="G2945">
        <v>155</v>
      </c>
      <c r="H2945">
        <v>288</v>
      </c>
      <c r="I2945">
        <v>210</v>
      </c>
      <c r="J2945">
        <v>237</v>
      </c>
      <c r="K2945">
        <v>286</v>
      </c>
      <c r="L2945">
        <v>479</v>
      </c>
      <c r="M2945">
        <v>906</v>
      </c>
      <c r="N2945">
        <v>95</v>
      </c>
      <c r="O2945" t="s">
        <v>3112</v>
      </c>
      <c r="P2945" s="1" t="b">
        <f>NOT(OR(Table1[[#This Row],[State]]="Other Foreign Countries", Table1[[#This Row],[State]]="Unknown", Table1[[#This Row],[State]]="Puerto Rico all counties"))</f>
        <v>1</v>
      </c>
    </row>
    <row r="2946" spans="1:16" x14ac:dyDescent="0.25">
      <c r="A2946">
        <v>37185</v>
      </c>
      <c r="B2946" t="s">
        <v>3121</v>
      </c>
      <c r="C2946" t="s">
        <v>1003</v>
      </c>
      <c r="D2946">
        <v>478</v>
      </c>
      <c r="E2946">
        <v>68</v>
      </c>
      <c r="F2946">
        <v>42</v>
      </c>
      <c r="G2946">
        <v>59</v>
      </c>
      <c r="H2946">
        <v>170</v>
      </c>
      <c r="I2946">
        <v>139</v>
      </c>
      <c r="J2946">
        <v>56</v>
      </c>
      <c r="K2946">
        <v>167</v>
      </c>
      <c r="L2946">
        <v>255</v>
      </c>
      <c r="M2946">
        <v>422</v>
      </c>
      <c r="N2946">
        <v>56</v>
      </c>
      <c r="O2946" t="s">
        <v>3275</v>
      </c>
      <c r="P2946" s="1" t="b">
        <f>NOT(OR(Table1[[#This Row],[State]]="Other Foreign Countries", Table1[[#This Row],[State]]="Unknown", Table1[[#This Row],[State]]="Puerto Rico all counties"))</f>
        <v>1</v>
      </c>
    </row>
    <row r="2947" spans="1:16" x14ac:dyDescent="0.25">
      <c r="A2947">
        <v>39165</v>
      </c>
      <c r="B2947" t="s">
        <v>1343</v>
      </c>
      <c r="C2947" t="s">
        <v>1003</v>
      </c>
      <c r="D2947">
        <v>4374</v>
      </c>
      <c r="E2947">
        <v>981</v>
      </c>
      <c r="F2947">
        <v>539</v>
      </c>
      <c r="G2947">
        <v>548</v>
      </c>
      <c r="H2947" s="1">
        <v>1250</v>
      </c>
      <c r="I2947" s="1">
        <v>1056</v>
      </c>
      <c r="J2947" s="1">
        <v>1287</v>
      </c>
      <c r="K2947" s="1">
        <v>1589</v>
      </c>
      <c r="L2947" s="1">
        <v>1498</v>
      </c>
      <c r="M2947" s="1">
        <v>3905</v>
      </c>
      <c r="N2947">
        <v>469</v>
      </c>
      <c r="O2947" t="s">
        <v>3487</v>
      </c>
      <c r="P2947" s="1" t="b">
        <f>NOT(OR(Table1[[#This Row],[State]]="Other Foreign Countries", Table1[[#This Row],[State]]="Unknown", Table1[[#This Row],[State]]="Puerto Rico all counties"))</f>
        <v>1</v>
      </c>
    </row>
    <row r="2948" spans="1:16" x14ac:dyDescent="0.25">
      <c r="A2948">
        <v>42123</v>
      </c>
      <c r="B2948" t="s">
        <v>3665</v>
      </c>
      <c r="C2948" t="s">
        <v>1003</v>
      </c>
      <c r="D2948">
        <v>1163</v>
      </c>
      <c r="E2948">
        <v>421</v>
      </c>
      <c r="F2948">
        <v>149</v>
      </c>
      <c r="G2948">
        <v>124</v>
      </c>
      <c r="H2948">
        <v>266</v>
      </c>
      <c r="I2948">
        <v>203</v>
      </c>
      <c r="J2948">
        <v>229</v>
      </c>
      <c r="K2948">
        <v>335</v>
      </c>
      <c r="L2948">
        <v>599</v>
      </c>
      <c r="M2948" s="1">
        <v>1080</v>
      </c>
      <c r="N2948">
        <v>83</v>
      </c>
      <c r="O2948" t="s">
        <v>3757</v>
      </c>
      <c r="P2948" s="1" t="b">
        <f>NOT(OR(Table1[[#This Row],[State]]="Other Foreign Countries", Table1[[#This Row],[State]]="Unknown", Table1[[#This Row],[State]]="Puerto Rico all counties"))</f>
        <v>1</v>
      </c>
    </row>
    <row r="2949" spans="1:16" x14ac:dyDescent="0.25">
      <c r="A2949">
        <v>47177</v>
      </c>
      <c r="B2949" t="s">
        <v>3951</v>
      </c>
      <c r="C2949" t="s">
        <v>1003</v>
      </c>
      <c r="D2949">
        <v>814</v>
      </c>
      <c r="E2949">
        <v>150</v>
      </c>
      <c r="F2949">
        <v>65</v>
      </c>
      <c r="G2949">
        <v>92</v>
      </c>
      <c r="H2949">
        <v>249</v>
      </c>
      <c r="I2949">
        <v>258</v>
      </c>
      <c r="J2949">
        <v>198</v>
      </c>
      <c r="K2949">
        <v>251</v>
      </c>
      <c r="L2949">
        <v>365</v>
      </c>
      <c r="M2949">
        <v>745</v>
      </c>
      <c r="N2949">
        <v>69</v>
      </c>
      <c r="O2949" t="s">
        <v>4065</v>
      </c>
      <c r="P2949" s="1" t="b">
        <f>NOT(OR(Table1[[#This Row],[State]]="Other Foreign Countries", Table1[[#This Row],[State]]="Unknown", Table1[[#This Row],[State]]="Puerto Rico all counties"))</f>
        <v>1</v>
      </c>
    </row>
    <row r="2950" spans="1:16" x14ac:dyDescent="0.25">
      <c r="A2950">
        <v>51187</v>
      </c>
      <c r="B2950" t="s">
        <v>4555</v>
      </c>
      <c r="C2950" t="s">
        <v>1003</v>
      </c>
      <c r="D2950">
        <v>1063</v>
      </c>
      <c r="E2950">
        <v>206</v>
      </c>
      <c r="F2950">
        <v>134</v>
      </c>
      <c r="G2950">
        <v>148</v>
      </c>
      <c r="H2950">
        <v>316</v>
      </c>
      <c r="I2950">
        <v>259</v>
      </c>
      <c r="J2950">
        <v>320</v>
      </c>
      <c r="K2950">
        <v>393</v>
      </c>
      <c r="L2950">
        <v>350</v>
      </c>
      <c r="M2950">
        <v>933</v>
      </c>
      <c r="N2950">
        <v>130</v>
      </c>
      <c r="O2950" t="s">
        <v>4689</v>
      </c>
      <c r="P2950" s="1" t="b">
        <f>NOT(OR(Table1[[#This Row],[State]]="Other Foreign Countries", Table1[[#This Row],[State]]="Unknown", Table1[[#This Row],[State]]="Puerto Rico all counties"))</f>
        <v>1</v>
      </c>
    </row>
    <row r="2951" spans="1:16" x14ac:dyDescent="0.25">
      <c r="A2951">
        <v>18173</v>
      </c>
      <c r="B2951" t="s">
        <v>1266</v>
      </c>
      <c r="C2951" t="s">
        <v>1390</v>
      </c>
      <c r="D2951">
        <v>1332</v>
      </c>
      <c r="E2951">
        <v>321</v>
      </c>
      <c r="F2951">
        <v>153</v>
      </c>
      <c r="G2951">
        <v>172</v>
      </c>
      <c r="H2951">
        <v>399</v>
      </c>
      <c r="I2951">
        <v>287</v>
      </c>
      <c r="J2951">
        <v>345</v>
      </c>
      <c r="K2951">
        <v>440</v>
      </c>
      <c r="L2951">
        <v>547</v>
      </c>
      <c r="M2951" s="1">
        <v>1235</v>
      </c>
      <c r="N2951">
        <v>97</v>
      </c>
      <c r="O2951" t="s">
        <v>1391</v>
      </c>
      <c r="P2951" s="1" t="b">
        <f>NOT(OR(Table1[[#This Row],[State]]="Other Foreign Countries", Table1[[#This Row],[State]]="Unknown", Table1[[#This Row],[State]]="Puerto Rico all counties"))</f>
        <v>1</v>
      </c>
    </row>
    <row r="2952" spans="1:16" x14ac:dyDescent="0.25">
      <c r="A2952">
        <v>49051</v>
      </c>
      <c r="B2952" t="s">
        <v>4486</v>
      </c>
      <c r="C2952" t="s">
        <v>4525</v>
      </c>
      <c r="D2952">
        <v>347</v>
      </c>
      <c r="E2952">
        <v>71</v>
      </c>
      <c r="F2952">
        <v>40</v>
      </c>
      <c r="G2952">
        <v>44</v>
      </c>
      <c r="H2952">
        <v>101</v>
      </c>
      <c r="I2952">
        <v>91</v>
      </c>
      <c r="J2952">
        <v>102</v>
      </c>
      <c r="K2952">
        <v>119</v>
      </c>
      <c r="L2952">
        <v>126</v>
      </c>
      <c r="M2952">
        <v>327</v>
      </c>
      <c r="N2952">
        <v>20</v>
      </c>
      <c r="O2952" t="s">
        <v>4526</v>
      </c>
      <c r="P2952" s="1" t="b">
        <f>NOT(OR(Table1[[#This Row],[State]]="Other Foreign Countries", Table1[[#This Row],[State]]="Unknown", Table1[[#This Row],[State]]="Puerto Rico all counties"))</f>
        <v>1</v>
      </c>
    </row>
    <row r="2953" spans="1:16" x14ac:dyDescent="0.25">
      <c r="A2953">
        <v>41065</v>
      </c>
      <c r="B2953" t="s">
        <v>2607</v>
      </c>
      <c r="C2953" t="s">
        <v>3659</v>
      </c>
      <c r="D2953">
        <v>676</v>
      </c>
      <c r="E2953">
        <v>163</v>
      </c>
      <c r="F2953">
        <v>93</v>
      </c>
      <c r="G2953">
        <v>94</v>
      </c>
      <c r="H2953">
        <v>203</v>
      </c>
      <c r="I2953">
        <v>123</v>
      </c>
      <c r="J2953">
        <v>138</v>
      </c>
      <c r="K2953">
        <v>179</v>
      </c>
      <c r="L2953">
        <v>359</v>
      </c>
      <c r="M2953">
        <v>626</v>
      </c>
      <c r="N2953">
        <v>50</v>
      </c>
      <c r="O2953" t="s">
        <v>3660</v>
      </c>
      <c r="P2953" s="1" t="b">
        <f>NOT(OR(Table1[[#This Row],[State]]="Other Foreign Countries", Table1[[#This Row],[State]]="Unknown", Table1[[#This Row],[State]]="Puerto Rico all counties"))</f>
        <v>1</v>
      </c>
    </row>
    <row r="2954" spans="1:16" x14ac:dyDescent="0.25">
      <c r="A2954">
        <v>27161</v>
      </c>
      <c r="B2954" t="s">
        <v>2245</v>
      </c>
      <c r="C2954" t="s">
        <v>2382</v>
      </c>
      <c r="D2954">
        <v>475</v>
      </c>
      <c r="E2954">
        <v>224</v>
      </c>
      <c r="F2954">
        <v>65</v>
      </c>
      <c r="G2954">
        <v>52</v>
      </c>
      <c r="H2954">
        <v>74</v>
      </c>
      <c r="I2954">
        <v>60</v>
      </c>
      <c r="J2954">
        <v>78</v>
      </c>
      <c r="K2954">
        <v>113</v>
      </c>
      <c r="L2954">
        <v>284</v>
      </c>
      <c r="M2954">
        <v>450</v>
      </c>
      <c r="N2954">
        <v>25</v>
      </c>
      <c r="O2954" t="s">
        <v>2383</v>
      </c>
      <c r="P2954" s="1" t="b">
        <f>NOT(OR(Table1[[#This Row],[State]]="Other Foreign Countries", Table1[[#This Row],[State]]="Unknown", Table1[[#This Row],[State]]="Puerto Rico all counties"))</f>
        <v>1</v>
      </c>
    </row>
    <row r="2955" spans="1:16" x14ac:dyDescent="0.25">
      <c r="A2955">
        <v>56043</v>
      </c>
      <c r="B2955" t="s">
        <v>3117</v>
      </c>
      <c r="C2955" t="s">
        <v>5043</v>
      </c>
      <c r="D2955">
        <v>149</v>
      </c>
      <c r="E2955">
        <v>44</v>
      </c>
      <c r="F2955">
        <v>14</v>
      </c>
      <c r="G2955">
        <v>15</v>
      </c>
      <c r="H2955">
        <v>40</v>
      </c>
      <c r="I2955">
        <v>36</v>
      </c>
      <c r="J2955">
        <v>35</v>
      </c>
      <c r="K2955">
        <v>42</v>
      </c>
      <c r="L2955">
        <v>72</v>
      </c>
      <c r="M2955">
        <v>136</v>
      </c>
      <c r="N2955">
        <v>13</v>
      </c>
      <c r="O2955" t="s">
        <v>5044</v>
      </c>
      <c r="P2955" s="1" t="b">
        <f>NOT(OR(Table1[[#This Row],[State]]="Other Foreign Countries", Table1[[#This Row],[State]]="Unknown", Table1[[#This Row],[State]]="Puerto Rico all counties"))</f>
        <v>1</v>
      </c>
    </row>
    <row r="2956" spans="1:16" x14ac:dyDescent="0.25">
      <c r="A2956">
        <v>55129</v>
      </c>
      <c r="B2956" t="s">
        <v>4906</v>
      </c>
      <c r="C2956" t="s">
        <v>5002</v>
      </c>
      <c r="D2956">
        <v>606</v>
      </c>
      <c r="E2956">
        <v>194</v>
      </c>
      <c r="F2956">
        <v>72</v>
      </c>
      <c r="G2956">
        <v>71</v>
      </c>
      <c r="H2956">
        <v>137</v>
      </c>
      <c r="I2956">
        <v>132</v>
      </c>
      <c r="J2956">
        <v>82</v>
      </c>
      <c r="K2956">
        <v>164</v>
      </c>
      <c r="L2956">
        <v>360</v>
      </c>
      <c r="M2956">
        <v>561</v>
      </c>
      <c r="N2956">
        <v>44</v>
      </c>
      <c r="O2956" t="s">
        <v>5003</v>
      </c>
      <c r="P2956" s="1" t="b">
        <f>NOT(OR(Table1[[#This Row],[State]]="Other Foreign Countries", Table1[[#This Row],[State]]="Unknown", Table1[[#This Row],[State]]="Puerto Rico all counties"))</f>
        <v>1</v>
      </c>
    </row>
    <row r="2957" spans="1:16" x14ac:dyDescent="0.25">
      <c r="A2957">
        <v>1129</v>
      </c>
      <c r="B2957" t="s">
        <v>15</v>
      </c>
      <c r="C2957" t="s">
        <v>144</v>
      </c>
      <c r="D2957">
        <v>383</v>
      </c>
      <c r="E2957">
        <v>83</v>
      </c>
      <c r="F2957">
        <v>45</v>
      </c>
      <c r="G2957">
        <v>41</v>
      </c>
      <c r="H2957">
        <v>117</v>
      </c>
      <c r="I2957">
        <v>97</v>
      </c>
      <c r="J2957">
        <v>63</v>
      </c>
      <c r="K2957">
        <v>123</v>
      </c>
      <c r="L2957">
        <v>197</v>
      </c>
      <c r="M2957">
        <v>357</v>
      </c>
      <c r="N2957">
        <v>26</v>
      </c>
      <c r="O2957" t="s">
        <v>145</v>
      </c>
      <c r="P2957" s="1" t="b">
        <f>NOT(OR(Table1[[#This Row],[State]]="Other Foreign Countries", Table1[[#This Row],[State]]="Unknown", Table1[[#This Row],[State]]="Puerto Rico all counties"))</f>
        <v>1</v>
      </c>
    </row>
    <row r="2958" spans="1:16" x14ac:dyDescent="0.25">
      <c r="A2958">
        <v>5143</v>
      </c>
      <c r="B2958" t="s">
        <v>242</v>
      </c>
      <c r="C2958" t="s">
        <v>144</v>
      </c>
      <c r="D2958">
        <v>3958</v>
      </c>
      <c r="E2958">
        <v>692</v>
      </c>
      <c r="F2958">
        <v>416</v>
      </c>
      <c r="G2958">
        <v>479</v>
      </c>
      <c r="H2958" s="1">
        <v>1204</v>
      </c>
      <c r="I2958" s="1">
        <v>1167</v>
      </c>
      <c r="J2958" s="1">
        <v>1310</v>
      </c>
      <c r="K2958" s="1">
        <v>1317</v>
      </c>
      <c r="L2958" s="1">
        <v>1331</v>
      </c>
      <c r="M2958" s="1">
        <v>3506</v>
      </c>
      <c r="N2958">
        <v>452</v>
      </c>
      <c r="O2958" t="s">
        <v>367</v>
      </c>
      <c r="P2958" s="1" t="b">
        <f>NOT(OR(Table1[[#This Row],[State]]="Other Foreign Countries", Table1[[#This Row],[State]]="Unknown", Table1[[#This Row],[State]]="Puerto Rico all counties"))</f>
        <v>1</v>
      </c>
    </row>
    <row r="2959" spans="1:16" x14ac:dyDescent="0.25">
      <c r="A2959">
        <v>8121</v>
      </c>
      <c r="B2959" t="s">
        <v>489</v>
      </c>
      <c r="C2959" t="s">
        <v>144</v>
      </c>
      <c r="D2959">
        <v>73</v>
      </c>
      <c r="F2959">
        <v>13</v>
      </c>
      <c r="H2959">
        <v>22</v>
      </c>
      <c r="I2959">
        <v>19</v>
      </c>
      <c r="J2959">
        <v>15</v>
      </c>
      <c r="K2959">
        <v>26</v>
      </c>
      <c r="L2959">
        <v>32</v>
      </c>
      <c r="O2959" t="s">
        <v>605</v>
      </c>
      <c r="P2959" s="1" t="b">
        <f>NOT(OR(Table1[[#This Row],[State]]="Other Foreign Countries", Table1[[#This Row],[State]]="Unknown", Table1[[#This Row],[State]]="Puerto Rico all counties"))</f>
        <v>1</v>
      </c>
    </row>
    <row r="2960" spans="1:16" x14ac:dyDescent="0.25">
      <c r="A2960">
        <v>12133</v>
      </c>
      <c r="B2960" t="s">
        <v>637</v>
      </c>
      <c r="C2960" t="s">
        <v>144</v>
      </c>
      <c r="D2960">
        <v>867</v>
      </c>
      <c r="E2960">
        <v>149</v>
      </c>
      <c r="F2960">
        <v>89</v>
      </c>
      <c r="G2960">
        <v>112</v>
      </c>
      <c r="H2960">
        <v>247</v>
      </c>
      <c r="I2960">
        <v>270</v>
      </c>
      <c r="J2960">
        <v>163</v>
      </c>
      <c r="K2960">
        <v>320</v>
      </c>
      <c r="L2960">
        <v>384</v>
      </c>
      <c r="M2960">
        <v>777</v>
      </c>
      <c r="N2960">
        <v>90</v>
      </c>
      <c r="O2960" t="s">
        <v>753</v>
      </c>
      <c r="P2960" s="1" t="b">
        <f>NOT(OR(Table1[[#This Row],[State]]="Other Foreign Countries", Table1[[#This Row],[State]]="Unknown", Table1[[#This Row],[State]]="Puerto Rico all counties"))</f>
        <v>1</v>
      </c>
    </row>
    <row r="2961" spans="1:16" x14ac:dyDescent="0.25">
      <c r="A2961">
        <v>13303</v>
      </c>
      <c r="B2961" t="s">
        <v>754</v>
      </c>
      <c r="C2961" t="s">
        <v>144</v>
      </c>
      <c r="D2961">
        <v>420</v>
      </c>
      <c r="E2961">
        <v>71</v>
      </c>
      <c r="F2961">
        <v>40</v>
      </c>
      <c r="G2961">
        <v>48</v>
      </c>
      <c r="H2961">
        <v>145</v>
      </c>
      <c r="I2961">
        <v>116</v>
      </c>
      <c r="J2961">
        <v>105</v>
      </c>
      <c r="K2961">
        <v>135</v>
      </c>
      <c r="L2961">
        <v>180</v>
      </c>
      <c r="M2961">
        <v>352</v>
      </c>
      <c r="N2961">
        <v>68</v>
      </c>
      <c r="O2961" t="s">
        <v>1005</v>
      </c>
      <c r="P2961" s="1" t="b">
        <f>NOT(OR(Table1[[#This Row],[State]]="Other Foreign Countries", Table1[[#This Row],[State]]="Unknown", Table1[[#This Row],[State]]="Puerto Rico all counties"))</f>
        <v>1</v>
      </c>
    </row>
    <row r="2962" spans="1:16" x14ac:dyDescent="0.25">
      <c r="A2962">
        <v>16087</v>
      </c>
      <c r="B2962" t="s">
        <v>1032</v>
      </c>
      <c r="C2962" t="s">
        <v>144</v>
      </c>
      <c r="D2962">
        <v>287</v>
      </c>
      <c r="E2962">
        <v>74</v>
      </c>
      <c r="F2962">
        <v>32</v>
      </c>
      <c r="G2962">
        <v>40</v>
      </c>
      <c r="H2962">
        <v>83</v>
      </c>
      <c r="I2962">
        <v>58</v>
      </c>
      <c r="J2962">
        <v>62</v>
      </c>
      <c r="K2962">
        <v>76</v>
      </c>
      <c r="L2962">
        <v>149</v>
      </c>
      <c r="M2962">
        <v>261</v>
      </c>
      <c r="N2962">
        <v>26</v>
      </c>
      <c r="O2962" t="s">
        <v>1108</v>
      </c>
      <c r="P2962" s="1" t="b">
        <f>NOT(OR(Table1[[#This Row],[State]]="Other Foreign Countries", Table1[[#This Row],[State]]="Unknown", Table1[[#This Row],[State]]="Puerto Rico all counties"))</f>
        <v>1</v>
      </c>
    </row>
    <row r="2963" spans="1:16" x14ac:dyDescent="0.25">
      <c r="A2963">
        <v>17189</v>
      </c>
      <c r="B2963" t="s">
        <v>1109</v>
      </c>
      <c r="C2963" t="s">
        <v>144</v>
      </c>
      <c r="D2963">
        <v>286</v>
      </c>
      <c r="E2963">
        <v>54</v>
      </c>
      <c r="F2963">
        <v>28</v>
      </c>
      <c r="G2963">
        <v>31</v>
      </c>
      <c r="H2963">
        <v>98</v>
      </c>
      <c r="I2963">
        <v>75</v>
      </c>
      <c r="J2963">
        <v>68</v>
      </c>
      <c r="K2963">
        <v>94</v>
      </c>
      <c r="L2963">
        <v>124</v>
      </c>
      <c r="M2963">
        <v>250</v>
      </c>
      <c r="N2963">
        <v>36</v>
      </c>
      <c r="O2963" t="s">
        <v>1253</v>
      </c>
      <c r="P2963" s="1" t="b">
        <f>NOT(OR(Table1[[#This Row],[State]]="Other Foreign Countries", Table1[[#This Row],[State]]="Unknown", Table1[[#This Row],[State]]="Puerto Rico all counties"))</f>
        <v>1</v>
      </c>
    </row>
    <row r="2964" spans="1:16" x14ac:dyDescent="0.25">
      <c r="A2964">
        <v>18175</v>
      </c>
      <c r="B2964" t="s">
        <v>1266</v>
      </c>
      <c r="C2964" t="s">
        <v>144</v>
      </c>
      <c r="D2964">
        <v>617</v>
      </c>
      <c r="E2964">
        <v>199</v>
      </c>
      <c r="F2964">
        <v>84</v>
      </c>
      <c r="G2964">
        <v>72</v>
      </c>
      <c r="H2964">
        <v>147</v>
      </c>
      <c r="I2964">
        <v>115</v>
      </c>
      <c r="J2964">
        <v>134</v>
      </c>
      <c r="K2964">
        <v>204</v>
      </c>
      <c r="L2964">
        <v>279</v>
      </c>
      <c r="M2964">
        <v>570</v>
      </c>
      <c r="N2964">
        <v>46</v>
      </c>
      <c r="O2964" t="s">
        <v>1392</v>
      </c>
      <c r="P2964" s="1" t="b">
        <f>NOT(OR(Table1[[#This Row],[State]]="Other Foreign Countries", Table1[[#This Row],[State]]="Unknown", Table1[[#This Row],[State]]="Puerto Rico all counties"))</f>
        <v>1</v>
      </c>
    </row>
    <row r="2965" spans="1:16" x14ac:dyDescent="0.25">
      <c r="A2965">
        <v>19183</v>
      </c>
      <c r="B2965" t="s">
        <v>1399</v>
      </c>
      <c r="C2965" t="s">
        <v>144</v>
      </c>
      <c r="D2965">
        <v>328</v>
      </c>
      <c r="E2965">
        <v>61</v>
      </c>
      <c r="F2965">
        <v>40</v>
      </c>
      <c r="G2965">
        <v>52</v>
      </c>
      <c r="H2965">
        <v>106</v>
      </c>
      <c r="I2965">
        <v>69</v>
      </c>
      <c r="J2965">
        <v>81</v>
      </c>
      <c r="K2965">
        <v>114</v>
      </c>
      <c r="L2965">
        <v>133</v>
      </c>
      <c r="M2965">
        <v>297</v>
      </c>
      <c r="N2965">
        <v>31</v>
      </c>
      <c r="O2965" t="s">
        <v>1532</v>
      </c>
      <c r="P2965" s="1" t="b">
        <f>NOT(OR(Table1[[#This Row],[State]]="Other Foreign Countries", Table1[[#This Row],[State]]="Unknown", Table1[[#This Row],[State]]="Puerto Rico all counties"))</f>
        <v>1</v>
      </c>
    </row>
    <row r="2966" spans="1:16" x14ac:dyDescent="0.25">
      <c r="A2966">
        <v>20201</v>
      </c>
      <c r="B2966" t="s">
        <v>1543</v>
      </c>
      <c r="C2966" t="s">
        <v>144</v>
      </c>
      <c r="D2966">
        <v>77</v>
      </c>
      <c r="E2966">
        <v>20</v>
      </c>
      <c r="H2966">
        <v>25</v>
      </c>
      <c r="I2966">
        <v>15</v>
      </c>
      <c r="J2966">
        <v>13</v>
      </c>
      <c r="K2966">
        <v>24</v>
      </c>
      <c r="L2966">
        <v>40</v>
      </c>
      <c r="O2966" t="s">
        <v>1707</v>
      </c>
      <c r="P2966" s="1" t="b">
        <f>NOT(OR(Table1[[#This Row],[State]]="Other Foreign Countries", Table1[[#This Row],[State]]="Unknown", Table1[[#This Row],[State]]="Puerto Rico all counties"))</f>
        <v>1</v>
      </c>
    </row>
    <row r="2967" spans="1:16" x14ac:dyDescent="0.25">
      <c r="A2967">
        <v>21229</v>
      </c>
      <c r="B2967" t="s">
        <v>1716</v>
      </c>
      <c r="C2967" t="s">
        <v>144</v>
      </c>
      <c r="D2967">
        <v>186</v>
      </c>
      <c r="E2967">
        <v>43</v>
      </c>
      <c r="F2967">
        <v>21</v>
      </c>
      <c r="G2967">
        <v>27</v>
      </c>
      <c r="H2967">
        <v>51</v>
      </c>
      <c r="I2967">
        <v>44</v>
      </c>
      <c r="J2967">
        <v>38</v>
      </c>
      <c r="K2967">
        <v>67</v>
      </c>
      <c r="L2967">
        <v>81</v>
      </c>
      <c r="M2967">
        <v>168</v>
      </c>
      <c r="N2967">
        <v>18</v>
      </c>
      <c r="O2967" t="s">
        <v>1885</v>
      </c>
      <c r="P2967" s="1" t="b">
        <f>NOT(OR(Table1[[#This Row],[State]]="Other Foreign Countries", Table1[[#This Row],[State]]="Unknown", Table1[[#This Row],[State]]="Puerto Rico all counties"))</f>
        <v>1</v>
      </c>
    </row>
    <row r="2968" spans="1:16" x14ac:dyDescent="0.25">
      <c r="A2968">
        <v>22117</v>
      </c>
      <c r="B2968" t="s">
        <v>1892</v>
      </c>
      <c r="C2968" t="s">
        <v>144</v>
      </c>
      <c r="D2968">
        <v>858</v>
      </c>
      <c r="E2968">
        <v>150</v>
      </c>
      <c r="F2968">
        <v>74</v>
      </c>
      <c r="G2968">
        <v>103</v>
      </c>
      <c r="H2968">
        <v>309</v>
      </c>
      <c r="I2968">
        <v>222</v>
      </c>
      <c r="J2968">
        <v>192</v>
      </c>
      <c r="K2968">
        <v>272</v>
      </c>
      <c r="L2968">
        <v>394</v>
      </c>
      <c r="M2968">
        <v>774</v>
      </c>
      <c r="N2968">
        <v>83</v>
      </c>
      <c r="O2968" t="s">
        <v>1994</v>
      </c>
      <c r="P2968" s="1" t="b">
        <f>NOT(OR(Table1[[#This Row],[State]]="Other Foreign Countries", Table1[[#This Row],[State]]="Unknown", Table1[[#This Row],[State]]="Puerto Rico all counties"))</f>
        <v>1</v>
      </c>
    </row>
    <row r="2969" spans="1:16" x14ac:dyDescent="0.25">
      <c r="A2969">
        <v>23029</v>
      </c>
      <c r="B2969" t="s">
        <v>2004</v>
      </c>
      <c r="C2969" t="s">
        <v>144</v>
      </c>
      <c r="D2969">
        <v>1093</v>
      </c>
      <c r="E2969">
        <v>203</v>
      </c>
      <c r="F2969">
        <v>106</v>
      </c>
      <c r="G2969">
        <v>102</v>
      </c>
      <c r="H2969">
        <v>369</v>
      </c>
      <c r="I2969">
        <v>313</v>
      </c>
      <c r="J2969">
        <v>183</v>
      </c>
      <c r="K2969">
        <v>376</v>
      </c>
      <c r="L2969">
        <v>534</v>
      </c>
      <c r="M2969">
        <v>974</v>
      </c>
      <c r="N2969">
        <v>119</v>
      </c>
      <c r="O2969" t="s">
        <v>2028</v>
      </c>
      <c r="P2969" s="1" t="b">
        <f>NOT(OR(Table1[[#This Row],[State]]="Other Foreign Countries", Table1[[#This Row],[State]]="Unknown", Table1[[#This Row],[State]]="Puerto Rico all counties"))</f>
        <v>1</v>
      </c>
    </row>
    <row r="2970" spans="1:16" x14ac:dyDescent="0.25">
      <c r="A2970">
        <v>24043</v>
      </c>
      <c r="B2970" t="s">
        <v>2031</v>
      </c>
      <c r="C2970" t="s">
        <v>144</v>
      </c>
      <c r="D2970">
        <v>2727</v>
      </c>
      <c r="E2970">
        <v>530</v>
      </c>
      <c r="F2970">
        <v>355</v>
      </c>
      <c r="G2970">
        <v>380</v>
      </c>
      <c r="H2970">
        <v>731</v>
      </c>
      <c r="I2970">
        <v>731</v>
      </c>
      <c r="J2970">
        <v>816</v>
      </c>
      <c r="K2970">
        <v>990</v>
      </c>
      <c r="L2970">
        <v>921</v>
      </c>
      <c r="M2970" s="1">
        <v>2374</v>
      </c>
      <c r="N2970">
        <v>353</v>
      </c>
      <c r="O2970" t="s">
        <v>2066</v>
      </c>
      <c r="P2970" s="1" t="b">
        <f>NOT(OR(Table1[[#This Row],[State]]="Other Foreign Countries", Table1[[#This Row],[State]]="Unknown", Table1[[#This Row],[State]]="Puerto Rico all counties"))</f>
        <v>1</v>
      </c>
    </row>
    <row r="2971" spans="1:16" x14ac:dyDescent="0.25">
      <c r="A2971">
        <v>27163</v>
      </c>
      <c r="B2971" t="s">
        <v>2245</v>
      </c>
      <c r="C2971" t="s">
        <v>144</v>
      </c>
      <c r="D2971">
        <v>4540</v>
      </c>
      <c r="E2971" s="1">
        <v>1564</v>
      </c>
      <c r="F2971">
        <v>608</v>
      </c>
      <c r="G2971">
        <v>513</v>
      </c>
      <c r="H2971" s="1">
        <v>1036</v>
      </c>
      <c r="I2971">
        <v>819</v>
      </c>
      <c r="J2971" s="1">
        <v>1155</v>
      </c>
      <c r="K2971" s="1">
        <v>1229</v>
      </c>
      <c r="L2971" s="1">
        <v>2156</v>
      </c>
      <c r="M2971" s="1">
        <v>4146</v>
      </c>
      <c r="N2971">
        <v>384</v>
      </c>
      <c r="O2971" t="s">
        <v>2384</v>
      </c>
      <c r="P2971" s="1" t="b">
        <f>NOT(OR(Table1[[#This Row],[State]]="Other Foreign Countries", Table1[[#This Row],[State]]="Unknown", Table1[[#This Row],[State]]="Puerto Rico all counties"))</f>
        <v>1</v>
      </c>
    </row>
    <row r="2972" spans="1:16" x14ac:dyDescent="0.25">
      <c r="A2972">
        <v>28151</v>
      </c>
      <c r="B2972" t="s">
        <v>322</v>
      </c>
      <c r="C2972" t="s">
        <v>144</v>
      </c>
      <c r="D2972">
        <v>666</v>
      </c>
      <c r="E2972">
        <v>109</v>
      </c>
      <c r="F2972">
        <v>75</v>
      </c>
      <c r="G2972">
        <v>69</v>
      </c>
      <c r="H2972">
        <v>221</v>
      </c>
      <c r="I2972">
        <v>192</v>
      </c>
      <c r="J2972">
        <v>112</v>
      </c>
      <c r="K2972">
        <v>234</v>
      </c>
      <c r="L2972">
        <v>320</v>
      </c>
      <c r="M2972">
        <v>600</v>
      </c>
      <c r="N2972">
        <v>66</v>
      </c>
      <c r="O2972" t="s">
        <v>2501</v>
      </c>
      <c r="P2972" s="1" t="b">
        <f>NOT(OR(Table1[[#This Row],[State]]="Other Foreign Countries", Table1[[#This Row],[State]]="Unknown", Table1[[#This Row],[State]]="Puerto Rico all counties"))</f>
        <v>1</v>
      </c>
    </row>
    <row r="2973" spans="1:16" x14ac:dyDescent="0.25">
      <c r="A2973">
        <v>29221</v>
      </c>
      <c r="B2973" t="s">
        <v>2510</v>
      </c>
      <c r="C2973" t="s">
        <v>144</v>
      </c>
      <c r="D2973">
        <v>506</v>
      </c>
      <c r="E2973">
        <v>109</v>
      </c>
      <c r="F2973">
        <v>59</v>
      </c>
      <c r="G2973">
        <v>71</v>
      </c>
      <c r="H2973">
        <v>140</v>
      </c>
      <c r="I2973">
        <v>127</v>
      </c>
      <c r="J2973">
        <v>116</v>
      </c>
      <c r="K2973">
        <v>158</v>
      </c>
      <c r="L2973">
        <v>232</v>
      </c>
      <c r="M2973">
        <v>467</v>
      </c>
      <c r="N2973">
        <v>38</v>
      </c>
      <c r="O2973" t="s">
        <v>2658</v>
      </c>
      <c r="P2973" s="1" t="b">
        <f>NOT(OR(Table1[[#This Row],[State]]="Other Foreign Countries", Table1[[#This Row],[State]]="Unknown", Table1[[#This Row],[State]]="Puerto Rico all counties"))</f>
        <v>1</v>
      </c>
    </row>
    <row r="2974" spans="1:16" x14ac:dyDescent="0.25">
      <c r="A2974">
        <v>31177</v>
      </c>
      <c r="B2974" t="s">
        <v>2758</v>
      </c>
      <c r="C2974" t="s">
        <v>144</v>
      </c>
      <c r="D2974">
        <v>476</v>
      </c>
      <c r="E2974">
        <v>129</v>
      </c>
      <c r="F2974">
        <v>64</v>
      </c>
      <c r="G2974">
        <v>64</v>
      </c>
      <c r="H2974">
        <v>129</v>
      </c>
      <c r="I2974">
        <v>90</v>
      </c>
      <c r="J2974">
        <v>140</v>
      </c>
      <c r="K2974">
        <v>142</v>
      </c>
      <c r="L2974">
        <v>194</v>
      </c>
      <c r="M2974">
        <v>434</v>
      </c>
      <c r="N2974">
        <v>42</v>
      </c>
      <c r="O2974" t="s">
        <v>2887</v>
      </c>
      <c r="P2974" s="1" t="b">
        <f>NOT(OR(Table1[[#This Row],[State]]="Other Foreign Countries", Table1[[#This Row],[State]]="Unknown", Table1[[#This Row],[State]]="Puerto Rico all counties"))</f>
        <v>1</v>
      </c>
    </row>
    <row r="2975" spans="1:16" x14ac:dyDescent="0.25">
      <c r="A2975">
        <v>36115</v>
      </c>
      <c r="B2975" t="s">
        <v>3029</v>
      </c>
      <c r="C2975" t="s">
        <v>144</v>
      </c>
      <c r="D2975">
        <v>1095</v>
      </c>
      <c r="E2975">
        <v>296</v>
      </c>
      <c r="F2975">
        <v>148</v>
      </c>
      <c r="G2975">
        <v>121</v>
      </c>
      <c r="H2975">
        <v>288</v>
      </c>
      <c r="I2975">
        <v>242</v>
      </c>
      <c r="J2975">
        <v>275</v>
      </c>
      <c r="K2975">
        <v>320</v>
      </c>
      <c r="L2975">
        <v>500</v>
      </c>
      <c r="M2975">
        <v>998</v>
      </c>
      <c r="N2975">
        <v>96</v>
      </c>
      <c r="O2975" t="s">
        <v>3113</v>
      </c>
      <c r="P2975" s="1" t="b">
        <f>NOT(OR(Table1[[#This Row],[State]]="Other Foreign Countries", Table1[[#This Row],[State]]="Unknown", Table1[[#This Row],[State]]="Puerto Rico all counties"))</f>
        <v>1</v>
      </c>
    </row>
    <row r="2976" spans="1:16" x14ac:dyDescent="0.25">
      <c r="A2976">
        <v>37187</v>
      </c>
      <c r="B2976" t="s">
        <v>3121</v>
      </c>
      <c r="C2976" t="s">
        <v>144</v>
      </c>
      <c r="D2976">
        <v>277</v>
      </c>
      <c r="E2976">
        <v>49</v>
      </c>
      <c r="F2976">
        <v>35</v>
      </c>
      <c r="G2976">
        <v>40</v>
      </c>
      <c r="H2976">
        <v>79</v>
      </c>
      <c r="I2976">
        <v>74</v>
      </c>
      <c r="J2976">
        <v>46</v>
      </c>
      <c r="K2976">
        <v>84</v>
      </c>
      <c r="L2976">
        <v>147</v>
      </c>
      <c r="M2976">
        <v>248</v>
      </c>
      <c r="N2976">
        <v>29</v>
      </c>
      <c r="O2976" t="s">
        <v>3276</v>
      </c>
      <c r="P2976" s="1" t="b">
        <f>NOT(OR(Table1[[#This Row],[State]]="Other Foreign Countries", Table1[[#This Row],[State]]="Unknown", Table1[[#This Row],[State]]="Puerto Rico all counties"))</f>
        <v>1</v>
      </c>
    </row>
    <row r="2977" spans="1:16" x14ac:dyDescent="0.25">
      <c r="A2977">
        <v>39167</v>
      </c>
      <c r="B2977" t="s">
        <v>1343</v>
      </c>
      <c r="C2977" t="s">
        <v>144</v>
      </c>
      <c r="D2977">
        <v>1465</v>
      </c>
      <c r="E2977">
        <v>353</v>
      </c>
      <c r="F2977">
        <v>158</v>
      </c>
      <c r="G2977">
        <v>177</v>
      </c>
      <c r="H2977">
        <v>445</v>
      </c>
      <c r="I2977">
        <v>332</v>
      </c>
      <c r="J2977">
        <v>353</v>
      </c>
      <c r="K2977">
        <v>447</v>
      </c>
      <c r="L2977">
        <v>665</v>
      </c>
      <c r="M2977" s="1">
        <v>1351</v>
      </c>
      <c r="N2977">
        <v>114</v>
      </c>
      <c r="O2977" t="s">
        <v>3488</v>
      </c>
      <c r="P2977" s="1" t="b">
        <f>NOT(OR(Table1[[#This Row],[State]]="Other Foreign Countries", Table1[[#This Row],[State]]="Unknown", Table1[[#This Row],[State]]="Puerto Rico all counties"))</f>
        <v>1</v>
      </c>
    </row>
    <row r="2978" spans="1:16" x14ac:dyDescent="0.25">
      <c r="A2978">
        <v>40147</v>
      </c>
      <c r="B2978" t="s">
        <v>3495</v>
      </c>
      <c r="C2978" t="s">
        <v>144</v>
      </c>
      <c r="D2978">
        <v>1315</v>
      </c>
      <c r="E2978">
        <v>280</v>
      </c>
      <c r="F2978">
        <v>132</v>
      </c>
      <c r="G2978">
        <v>156</v>
      </c>
      <c r="H2978">
        <v>433</v>
      </c>
      <c r="I2978">
        <v>314</v>
      </c>
      <c r="J2978">
        <v>335</v>
      </c>
      <c r="K2978">
        <v>354</v>
      </c>
      <c r="L2978">
        <v>626</v>
      </c>
      <c r="M2978" s="1">
        <v>1211</v>
      </c>
      <c r="N2978">
        <v>104</v>
      </c>
      <c r="O2978" t="s">
        <v>3606</v>
      </c>
      <c r="P2978" s="1" t="b">
        <f>NOT(OR(Table1[[#This Row],[State]]="Other Foreign Countries", Table1[[#This Row],[State]]="Unknown", Table1[[#This Row],[State]]="Puerto Rico all counties"))</f>
        <v>1</v>
      </c>
    </row>
    <row r="2979" spans="1:16" x14ac:dyDescent="0.25">
      <c r="A2979">
        <v>41067</v>
      </c>
      <c r="B2979" t="s">
        <v>2607</v>
      </c>
      <c r="C2979" t="s">
        <v>144</v>
      </c>
      <c r="D2979">
        <v>8925</v>
      </c>
      <c r="E2979" s="1">
        <v>2061</v>
      </c>
      <c r="F2979" s="1">
        <v>1254</v>
      </c>
      <c r="G2979" s="1">
        <v>1298</v>
      </c>
      <c r="H2979" s="1">
        <v>2545</v>
      </c>
      <c r="I2979" s="1">
        <v>1767</v>
      </c>
      <c r="J2979" s="1">
        <v>3189</v>
      </c>
      <c r="K2979" s="1">
        <v>2606</v>
      </c>
      <c r="L2979" s="1">
        <v>3130</v>
      </c>
      <c r="M2979" s="1">
        <v>7911</v>
      </c>
      <c r="N2979" s="1">
        <v>1012</v>
      </c>
      <c r="O2979" t="s">
        <v>3661</v>
      </c>
      <c r="P2979" s="1" t="b">
        <f>NOT(OR(Table1[[#This Row],[State]]="Other Foreign Countries", Table1[[#This Row],[State]]="Unknown", Table1[[#This Row],[State]]="Puerto Rico all counties"))</f>
        <v>1</v>
      </c>
    </row>
    <row r="2980" spans="1:16" x14ac:dyDescent="0.25">
      <c r="A2980">
        <v>42125</v>
      </c>
      <c r="B2980" t="s">
        <v>3665</v>
      </c>
      <c r="C2980" t="s">
        <v>144</v>
      </c>
      <c r="D2980">
        <v>3159</v>
      </c>
      <c r="E2980">
        <v>780</v>
      </c>
      <c r="F2980">
        <v>434</v>
      </c>
      <c r="G2980">
        <v>412</v>
      </c>
      <c r="H2980">
        <v>839</v>
      </c>
      <c r="I2980">
        <v>694</v>
      </c>
      <c r="J2980">
        <v>710</v>
      </c>
      <c r="K2980">
        <v>874</v>
      </c>
      <c r="L2980" s="1">
        <v>1575</v>
      </c>
      <c r="M2980" s="1">
        <v>2922</v>
      </c>
      <c r="N2980">
        <v>237</v>
      </c>
      <c r="O2980" t="s">
        <v>3758</v>
      </c>
      <c r="P2980" s="1" t="b">
        <f>NOT(OR(Table1[[#This Row],[State]]="Other Foreign Countries", Table1[[#This Row],[State]]="Unknown", Table1[[#This Row],[State]]="Puerto Rico all counties"))</f>
        <v>1</v>
      </c>
    </row>
    <row r="2981" spans="1:16" x14ac:dyDescent="0.25">
      <c r="A2981">
        <v>44009</v>
      </c>
      <c r="B2981" t="s">
        <v>3764</v>
      </c>
      <c r="C2981" t="s">
        <v>144</v>
      </c>
      <c r="D2981">
        <v>2263</v>
      </c>
      <c r="E2981">
        <v>603</v>
      </c>
      <c r="F2981">
        <v>287</v>
      </c>
      <c r="G2981">
        <v>286</v>
      </c>
      <c r="H2981">
        <v>637</v>
      </c>
      <c r="I2981">
        <v>450</v>
      </c>
      <c r="J2981">
        <v>492</v>
      </c>
      <c r="K2981">
        <v>653</v>
      </c>
      <c r="L2981" s="1">
        <v>1118</v>
      </c>
      <c r="M2981" s="1">
        <v>2072</v>
      </c>
      <c r="N2981">
        <v>189</v>
      </c>
      <c r="O2981" t="s">
        <v>3771</v>
      </c>
      <c r="P2981" s="1" t="b">
        <f>NOT(OR(Table1[[#This Row],[State]]="Other Foreign Countries", Table1[[#This Row],[State]]="Unknown", Table1[[#This Row],[State]]="Puerto Rico all counties"))</f>
        <v>1</v>
      </c>
    </row>
    <row r="2982" spans="1:16" x14ac:dyDescent="0.25">
      <c r="A2982">
        <v>47179</v>
      </c>
      <c r="B2982" t="s">
        <v>3951</v>
      </c>
      <c r="C2982" t="s">
        <v>144</v>
      </c>
      <c r="D2982">
        <v>4610</v>
      </c>
      <c r="E2982">
        <v>939</v>
      </c>
      <c r="F2982">
        <v>491</v>
      </c>
      <c r="G2982">
        <v>544</v>
      </c>
      <c r="H2982" s="1">
        <v>1416</v>
      </c>
      <c r="I2982" s="1">
        <v>1220</v>
      </c>
      <c r="J2982" s="1">
        <v>1035</v>
      </c>
      <c r="K2982" s="1">
        <v>1513</v>
      </c>
      <c r="L2982" s="1">
        <v>2062</v>
      </c>
      <c r="M2982" s="1">
        <v>4176</v>
      </c>
      <c r="N2982">
        <v>434</v>
      </c>
      <c r="O2982" t="s">
        <v>4066</v>
      </c>
      <c r="P2982" s="1" t="b">
        <f>NOT(OR(Table1[[#This Row],[State]]="Other Foreign Countries", Table1[[#This Row],[State]]="Unknown", Table1[[#This Row],[State]]="Puerto Rico all counties"))</f>
        <v>1</v>
      </c>
    </row>
    <row r="2983" spans="1:16" x14ac:dyDescent="0.25">
      <c r="A2983">
        <v>48477</v>
      </c>
      <c r="B2983" t="s">
        <v>2654</v>
      </c>
      <c r="C2983" t="s">
        <v>144</v>
      </c>
      <c r="D2983">
        <v>642</v>
      </c>
      <c r="E2983">
        <v>127</v>
      </c>
      <c r="F2983">
        <v>67</v>
      </c>
      <c r="G2983">
        <v>74</v>
      </c>
      <c r="H2983">
        <v>193</v>
      </c>
      <c r="I2983">
        <v>181</v>
      </c>
      <c r="J2983">
        <v>162</v>
      </c>
      <c r="K2983">
        <v>167</v>
      </c>
      <c r="L2983">
        <v>313</v>
      </c>
      <c r="M2983">
        <v>586</v>
      </c>
      <c r="N2983">
        <v>56</v>
      </c>
      <c r="O2983" t="s">
        <v>4460</v>
      </c>
      <c r="P2983" s="1" t="b">
        <f>NOT(OR(Table1[[#This Row],[State]]="Other Foreign Countries", Table1[[#This Row],[State]]="Unknown", Table1[[#This Row],[State]]="Puerto Rico all counties"))</f>
        <v>1</v>
      </c>
    </row>
    <row r="2984" spans="1:16" x14ac:dyDescent="0.25">
      <c r="A2984">
        <v>49053</v>
      </c>
      <c r="B2984" t="s">
        <v>4486</v>
      </c>
      <c r="C2984" t="s">
        <v>144</v>
      </c>
      <c r="D2984">
        <v>3843</v>
      </c>
      <c r="E2984" s="1">
        <v>1009</v>
      </c>
      <c r="F2984">
        <v>407</v>
      </c>
      <c r="G2984">
        <v>435</v>
      </c>
      <c r="H2984" s="1">
        <v>1033</v>
      </c>
      <c r="I2984">
        <v>959</v>
      </c>
      <c r="J2984">
        <v>733</v>
      </c>
      <c r="K2984">
        <v>892</v>
      </c>
      <c r="L2984" s="1">
        <v>2218</v>
      </c>
      <c r="M2984" s="1">
        <v>3578</v>
      </c>
      <c r="N2984">
        <v>263</v>
      </c>
      <c r="O2984" t="s">
        <v>4527</v>
      </c>
      <c r="P2984" s="1" t="b">
        <f>NOT(OR(Table1[[#This Row],[State]]="Other Foreign Countries", Table1[[#This Row],[State]]="Unknown", Table1[[#This Row],[State]]="Puerto Rico all counties"))</f>
        <v>1</v>
      </c>
    </row>
    <row r="2985" spans="1:16" x14ac:dyDescent="0.25">
      <c r="A2985">
        <v>50023</v>
      </c>
      <c r="B2985" t="s">
        <v>4531</v>
      </c>
      <c r="C2985" t="s">
        <v>144</v>
      </c>
      <c r="D2985">
        <v>839</v>
      </c>
      <c r="E2985">
        <v>176</v>
      </c>
      <c r="F2985">
        <v>97</v>
      </c>
      <c r="G2985">
        <v>119</v>
      </c>
      <c r="H2985">
        <v>257</v>
      </c>
      <c r="I2985">
        <v>190</v>
      </c>
      <c r="J2985">
        <v>221</v>
      </c>
      <c r="K2985">
        <v>292</v>
      </c>
      <c r="L2985">
        <v>326</v>
      </c>
      <c r="M2985">
        <v>750</v>
      </c>
      <c r="N2985">
        <v>89</v>
      </c>
      <c r="O2985" t="s">
        <v>4550</v>
      </c>
      <c r="P2985" s="1" t="b">
        <f>NOT(OR(Table1[[#This Row],[State]]="Other Foreign Countries", Table1[[#This Row],[State]]="Unknown", Table1[[#This Row],[State]]="Puerto Rico all counties"))</f>
        <v>1</v>
      </c>
    </row>
    <row r="2986" spans="1:16" x14ac:dyDescent="0.25">
      <c r="A2986">
        <v>51191</v>
      </c>
      <c r="B2986" t="s">
        <v>4555</v>
      </c>
      <c r="C2986" t="s">
        <v>144</v>
      </c>
      <c r="D2986">
        <v>1102</v>
      </c>
      <c r="E2986">
        <v>223</v>
      </c>
      <c r="F2986">
        <v>131</v>
      </c>
      <c r="G2986">
        <v>145</v>
      </c>
      <c r="H2986">
        <v>322</v>
      </c>
      <c r="I2986">
        <v>281</v>
      </c>
      <c r="J2986">
        <v>204</v>
      </c>
      <c r="K2986">
        <v>358</v>
      </c>
      <c r="L2986">
        <v>540</v>
      </c>
      <c r="M2986" s="1">
        <v>1015</v>
      </c>
      <c r="N2986">
        <v>87</v>
      </c>
      <c r="O2986" t="s">
        <v>4690</v>
      </c>
      <c r="P2986" s="1" t="b">
        <f>NOT(OR(Table1[[#This Row],[State]]="Other Foreign Countries", Table1[[#This Row],[State]]="Unknown", Table1[[#This Row],[State]]="Puerto Rico all counties"))</f>
        <v>1</v>
      </c>
    </row>
    <row r="2987" spans="1:16" x14ac:dyDescent="0.25">
      <c r="A2987">
        <v>55131</v>
      </c>
      <c r="B2987" t="s">
        <v>4906</v>
      </c>
      <c r="C2987" t="s">
        <v>144</v>
      </c>
      <c r="D2987">
        <v>1945</v>
      </c>
      <c r="E2987">
        <v>433</v>
      </c>
      <c r="F2987">
        <v>285</v>
      </c>
      <c r="G2987">
        <v>259</v>
      </c>
      <c r="H2987">
        <v>548</v>
      </c>
      <c r="I2987">
        <v>420</v>
      </c>
      <c r="J2987">
        <v>634</v>
      </c>
      <c r="K2987">
        <v>547</v>
      </c>
      <c r="L2987">
        <v>764</v>
      </c>
      <c r="M2987" s="1">
        <v>1707</v>
      </c>
      <c r="N2987">
        <v>236</v>
      </c>
      <c r="O2987" t="s">
        <v>5004</v>
      </c>
      <c r="P2987" s="1" t="b">
        <f>NOT(OR(Table1[[#This Row],[State]]="Other Foreign Countries", Table1[[#This Row],[State]]="Unknown", Table1[[#This Row],[State]]="Puerto Rico all counties"))</f>
        <v>1</v>
      </c>
    </row>
    <row r="2988" spans="1:16" x14ac:dyDescent="0.25">
      <c r="A2988">
        <v>40149</v>
      </c>
      <c r="B2988" t="s">
        <v>3495</v>
      </c>
      <c r="C2988" t="s">
        <v>3607</v>
      </c>
      <c r="D2988">
        <v>203</v>
      </c>
      <c r="E2988">
        <v>44</v>
      </c>
      <c r="F2988">
        <v>13</v>
      </c>
      <c r="G2988">
        <v>17</v>
      </c>
      <c r="H2988">
        <v>60</v>
      </c>
      <c r="I2988">
        <v>69</v>
      </c>
      <c r="J2988">
        <v>45</v>
      </c>
      <c r="K2988">
        <v>56</v>
      </c>
      <c r="L2988">
        <v>102</v>
      </c>
      <c r="M2988">
        <v>189</v>
      </c>
      <c r="N2988">
        <v>14</v>
      </c>
      <c r="O2988" t="s">
        <v>3608</v>
      </c>
      <c r="P2988" s="1" t="b">
        <f>NOT(OR(Table1[[#This Row],[State]]="Other Foreign Countries", Table1[[#This Row],[State]]="Unknown", Table1[[#This Row],[State]]="Puerto Rico all counties"))</f>
        <v>1</v>
      </c>
    </row>
    <row r="2989" spans="1:16" x14ac:dyDescent="0.25">
      <c r="A2989">
        <v>32031</v>
      </c>
      <c r="B2989" t="s">
        <v>326</v>
      </c>
      <c r="C2989" t="s">
        <v>2914</v>
      </c>
      <c r="D2989">
        <v>10542</v>
      </c>
      <c r="E2989" s="1">
        <v>2202</v>
      </c>
      <c r="F2989" s="1">
        <v>1086</v>
      </c>
      <c r="G2989" s="1">
        <v>1158</v>
      </c>
      <c r="H2989" s="1">
        <v>3063</v>
      </c>
      <c r="I2989" s="1">
        <v>3033</v>
      </c>
      <c r="J2989" s="1">
        <v>3074</v>
      </c>
      <c r="K2989" s="1">
        <v>3081</v>
      </c>
      <c r="L2989" s="1">
        <v>4387</v>
      </c>
      <c r="M2989" s="1">
        <v>9434</v>
      </c>
      <c r="N2989" s="1">
        <v>1107</v>
      </c>
      <c r="O2989" t="s">
        <v>2915</v>
      </c>
      <c r="P2989" s="1" t="b">
        <f>NOT(OR(Table1[[#This Row],[State]]="Other Foreign Countries", Table1[[#This Row],[State]]="Unknown", Table1[[#This Row],[State]]="Puerto Rico all counties"))</f>
        <v>1</v>
      </c>
    </row>
    <row r="2990" spans="1:16" x14ac:dyDescent="0.25">
      <c r="A2990">
        <v>26161</v>
      </c>
      <c r="B2990" t="s">
        <v>2099</v>
      </c>
      <c r="C2990" t="s">
        <v>2240</v>
      </c>
      <c r="D2990">
        <v>3461</v>
      </c>
      <c r="E2990">
        <v>821</v>
      </c>
      <c r="F2990">
        <v>454</v>
      </c>
      <c r="G2990">
        <v>405</v>
      </c>
      <c r="H2990">
        <v>956</v>
      </c>
      <c r="I2990">
        <v>825</v>
      </c>
      <c r="J2990" s="1">
        <v>1064</v>
      </c>
      <c r="K2990" s="1">
        <v>1004</v>
      </c>
      <c r="L2990" s="1">
        <v>1393</v>
      </c>
      <c r="M2990" s="1">
        <v>3084</v>
      </c>
      <c r="N2990">
        <v>376</v>
      </c>
      <c r="O2990" t="s">
        <v>2241</v>
      </c>
      <c r="P2990" s="1" t="b">
        <f>NOT(OR(Table1[[#This Row],[State]]="Other Foreign Countries", Table1[[#This Row],[State]]="Unknown", Table1[[#This Row],[State]]="Puerto Rico all counties"))</f>
        <v>1</v>
      </c>
    </row>
    <row r="2991" spans="1:16" x14ac:dyDescent="0.25">
      <c r="A2991">
        <v>37189</v>
      </c>
      <c r="B2991" t="s">
        <v>3121</v>
      </c>
      <c r="C2991" t="s">
        <v>3277</v>
      </c>
      <c r="D2991">
        <v>684</v>
      </c>
      <c r="E2991">
        <v>114</v>
      </c>
      <c r="F2991">
        <v>88</v>
      </c>
      <c r="G2991">
        <v>95</v>
      </c>
      <c r="H2991">
        <v>174</v>
      </c>
      <c r="I2991">
        <v>213</v>
      </c>
      <c r="J2991">
        <v>186</v>
      </c>
      <c r="K2991">
        <v>185</v>
      </c>
      <c r="L2991">
        <v>313</v>
      </c>
      <c r="M2991">
        <v>623</v>
      </c>
      <c r="N2991">
        <v>61</v>
      </c>
      <c r="O2991" t="s">
        <v>3278</v>
      </c>
      <c r="P2991" s="1" t="b">
        <f>NOT(OR(Table1[[#This Row],[State]]="Other Foreign Countries", Table1[[#This Row],[State]]="Unknown", Table1[[#This Row],[State]]="Puerto Rico all counties"))</f>
        <v>1</v>
      </c>
    </row>
    <row r="2992" spans="1:16" x14ac:dyDescent="0.25">
      <c r="A2992">
        <v>27165</v>
      </c>
      <c r="B2992" t="s">
        <v>2245</v>
      </c>
      <c r="C2992" t="s">
        <v>2385</v>
      </c>
      <c r="D2992">
        <v>258</v>
      </c>
      <c r="E2992">
        <v>125</v>
      </c>
      <c r="F2992">
        <v>33</v>
      </c>
      <c r="G2992">
        <v>28</v>
      </c>
      <c r="H2992">
        <v>45</v>
      </c>
      <c r="I2992">
        <v>27</v>
      </c>
      <c r="J2992">
        <v>43</v>
      </c>
      <c r="K2992">
        <v>54</v>
      </c>
      <c r="L2992">
        <v>161</v>
      </c>
      <c r="M2992">
        <v>241</v>
      </c>
      <c r="N2992">
        <v>17</v>
      </c>
      <c r="O2992" t="s">
        <v>2386</v>
      </c>
      <c r="P2992" s="1" t="b">
        <f>NOT(OR(Table1[[#This Row],[State]]="Other Foreign Countries", Table1[[#This Row],[State]]="Unknown", Table1[[#This Row],[State]]="Puerto Rico all counties"))</f>
        <v>1</v>
      </c>
    </row>
    <row r="2993" spans="1:16" x14ac:dyDescent="0.25">
      <c r="A2993">
        <v>55133</v>
      </c>
      <c r="B2993" t="s">
        <v>4906</v>
      </c>
      <c r="C2993" t="s">
        <v>5005</v>
      </c>
      <c r="D2993">
        <v>4881</v>
      </c>
      <c r="E2993" s="1">
        <v>1090</v>
      </c>
      <c r="F2993">
        <v>729</v>
      </c>
      <c r="G2993">
        <v>646</v>
      </c>
      <c r="H2993" s="1">
        <v>1392</v>
      </c>
      <c r="I2993" s="1">
        <v>1024</v>
      </c>
      <c r="J2993" s="1">
        <v>1507</v>
      </c>
      <c r="K2993" s="1">
        <v>1339</v>
      </c>
      <c r="L2993" s="1">
        <v>2035</v>
      </c>
      <c r="M2993" s="1">
        <v>4406</v>
      </c>
      <c r="N2993">
        <v>473</v>
      </c>
      <c r="O2993" t="s">
        <v>5006</v>
      </c>
      <c r="P2993" s="1" t="b">
        <f>NOT(OR(Table1[[#This Row],[State]]="Other Foreign Countries", Table1[[#This Row],[State]]="Unknown", Table1[[#This Row],[State]]="Puerto Rico all counties"))</f>
        <v>1</v>
      </c>
    </row>
    <row r="2994" spans="1:16" x14ac:dyDescent="0.25">
      <c r="A2994">
        <v>55135</v>
      </c>
      <c r="B2994" t="s">
        <v>4906</v>
      </c>
      <c r="C2994" t="s">
        <v>5007</v>
      </c>
      <c r="D2994">
        <v>1237</v>
      </c>
      <c r="E2994">
        <v>288</v>
      </c>
      <c r="F2994">
        <v>149</v>
      </c>
      <c r="G2994">
        <v>156</v>
      </c>
      <c r="H2994">
        <v>359</v>
      </c>
      <c r="I2994">
        <v>285</v>
      </c>
      <c r="J2994">
        <v>260</v>
      </c>
      <c r="K2994">
        <v>338</v>
      </c>
      <c r="L2994">
        <v>639</v>
      </c>
      <c r="M2994" s="1">
        <v>1134</v>
      </c>
      <c r="N2994">
        <v>103</v>
      </c>
      <c r="O2994" t="s">
        <v>5008</v>
      </c>
      <c r="P2994" s="1" t="b">
        <f>NOT(OR(Table1[[#This Row],[State]]="Other Foreign Countries", Table1[[#This Row],[State]]="Unknown", Table1[[#This Row],[State]]="Puerto Rico all counties"))</f>
        <v>1</v>
      </c>
    </row>
    <row r="2995" spans="1:16" x14ac:dyDescent="0.25">
      <c r="A2995">
        <v>55137</v>
      </c>
      <c r="B2995" t="s">
        <v>4906</v>
      </c>
      <c r="C2995" t="s">
        <v>5009</v>
      </c>
      <c r="D2995">
        <v>692</v>
      </c>
      <c r="E2995">
        <v>203</v>
      </c>
      <c r="F2995">
        <v>93</v>
      </c>
      <c r="G2995">
        <v>105</v>
      </c>
      <c r="H2995">
        <v>155</v>
      </c>
      <c r="I2995">
        <v>136</v>
      </c>
      <c r="J2995">
        <v>109</v>
      </c>
      <c r="K2995">
        <v>184</v>
      </c>
      <c r="L2995">
        <v>399</v>
      </c>
      <c r="M2995">
        <v>635</v>
      </c>
      <c r="N2995">
        <v>57</v>
      </c>
      <c r="O2995" t="s">
        <v>5010</v>
      </c>
      <c r="P2995" s="1" t="b">
        <f>NOT(OR(Table1[[#This Row],[State]]="Other Foreign Countries", Table1[[#This Row],[State]]="Unknown", Table1[[#This Row],[State]]="Puerto Rico all counties"))</f>
        <v>1</v>
      </c>
    </row>
    <row r="2996" spans="1:16" x14ac:dyDescent="0.25">
      <c r="A2996">
        <v>13305</v>
      </c>
      <c r="B2996" t="s">
        <v>754</v>
      </c>
      <c r="C2996" t="s">
        <v>1006</v>
      </c>
      <c r="D2996">
        <v>919</v>
      </c>
      <c r="E2996">
        <v>122</v>
      </c>
      <c r="F2996">
        <v>80</v>
      </c>
      <c r="G2996">
        <v>96</v>
      </c>
      <c r="H2996">
        <v>306</v>
      </c>
      <c r="I2996">
        <v>315</v>
      </c>
      <c r="J2996">
        <v>256</v>
      </c>
      <c r="K2996">
        <v>358</v>
      </c>
      <c r="L2996">
        <v>305</v>
      </c>
      <c r="M2996">
        <v>800</v>
      </c>
      <c r="N2996">
        <v>119</v>
      </c>
      <c r="O2996" t="s">
        <v>1007</v>
      </c>
      <c r="P2996" s="1" t="b">
        <f>NOT(OR(Table1[[#This Row],[State]]="Other Foreign Countries", Table1[[#This Row],[State]]="Unknown", Table1[[#This Row],[State]]="Puerto Rico all counties"))</f>
        <v>1</v>
      </c>
    </row>
    <row r="2997" spans="1:16" x14ac:dyDescent="0.25">
      <c r="A2997">
        <v>17191</v>
      </c>
      <c r="B2997" t="s">
        <v>1109</v>
      </c>
      <c r="C2997" t="s">
        <v>1006</v>
      </c>
      <c r="D2997">
        <v>248</v>
      </c>
      <c r="E2997">
        <v>55</v>
      </c>
      <c r="F2997">
        <v>27</v>
      </c>
      <c r="G2997">
        <v>32</v>
      </c>
      <c r="H2997">
        <v>74</v>
      </c>
      <c r="I2997">
        <v>60</v>
      </c>
      <c r="J2997">
        <v>62</v>
      </c>
      <c r="K2997">
        <v>65</v>
      </c>
      <c r="L2997">
        <v>121</v>
      </c>
      <c r="M2997">
        <v>231</v>
      </c>
      <c r="N2997">
        <v>17</v>
      </c>
      <c r="O2997" t="s">
        <v>1254</v>
      </c>
      <c r="P2997" s="1" t="b">
        <f>NOT(OR(Table1[[#This Row],[State]]="Other Foreign Countries", Table1[[#This Row],[State]]="Unknown", Table1[[#This Row],[State]]="Puerto Rico all counties"))</f>
        <v>1</v>
      </c>
    </row>
    <row r="2998" spans="1:16" x14ac:dyDescent="0.25">
      <c r="A2998">
        <v>18177</v>
      </c>
      <c r="B2998" t="s">
        <v>1266</v>
      </c>
      <c r="C2998" t="s">
        <v>1006</v>
      </c>
      <c r="D2998">
        <v>1148</v>
      </c>
      <c r="E2998">
        <v>257</v>
      </c>
      <c r="F2998">
        <v>162</v>
      </c>
      <c r="G2998">
        <v>161</v>
      </c>
      <c r="H2998">
        <v>320</v>
      </c>
      <c r="I2998">
        <v>248</v>
      </c>
      <c r="J2998">
        <v>271</v>
      </c>
      <c r="K2998">
        <v>363</v>
      </c>
      <c r="L2998">
        <v>514</v>
      </c>
      <c r="M2998" s="1">
        <v>1057</v>
      </c>
      <c r="N2998">
        <v>91</v>
      </c>
      <c r="O2998" t="s">
        <v>1393</v>
      </c>
      <c r="P2998" s="1" t="b">
        <f>NOT(OR(Table1[[#This Row],[State]]="Other Foreign Countries", Table1[[#This Row],[State]]="Unknown", Table1[[#This Row],[State]]="Puerto Rico all counties"))</f>
        <v>1</v>
      </c>
    </row>
    <row r="2999" spans="1:16" x14ac:dyDescent="0.25">
      <c r="A2999">
        <v>19185</v>
      </c>
      <c r="B2999" t="s">
        <v>1399</v>
      </c>
      <c r="C2999" t="s">
        <v>1006</v>
      </c>
      <c r="D2999">
        <v>116</v>
      </c>
      <c r="E2999">
        <v>35</v>
      </c>
      <c r="F2999">
        <v>16</v>
      </c>
      <c r="G2999">
        <v>14</v>
      </c>
      <c r="H2999">
        <v>31</v>
      </c>
      <c r="I2999">
        <v>20</v>
      </c>
      <c r="J2999">
        <v>25</v>
      </c>
      <c r="K2999">
        <v>37</v>
      </c>
      <c r="L2999">
        <v>54</v>
      </c>
      <c r="M2999">
        <v>105</v>
      </c>
      <c r="N2999">
        <v>10</v>
      </c>
      <c r="O2999" t="s">
        <v>1533</v>
      </c>
      <c r="P2999" s="1" t="b">
        <f>NOT(OR(Table1[[#This Row],[State]]="Other Foreign Countries", Table1[[#This Row],[State]]="Unknown", Table1[[#This Row],[State]]="Puerto Rico all counties"))</f>
        <v>1</v>
      </c>
    </row>
    <row r="3000" spans="1:16" x14ac:dyDescent="0.25">
      <c r="A3000">
        <v>21231</v>
      </c>
      <c r="B3000" t="s">
        <v>1716</v>
      </c>
      <c r="C3000" t="s">
        <v>1006</v>
      </c>
      <c r="D3000">
        <v>357</v>
      </c>
      <c r="E3000">
        <v>64</v>
      </c>
      <c r="F3000">
        <v>37</v>
      </c>
      <c r="G3000">
        <v>44</v>
      </c>
      <c r="H3000">
        <v>110</v>
      </c>
      <c r="I3000">
        <v>102</v>
      </c>
      <c r="J3000">
        <v>62</v>
      </c>
      <c r="K3000">
        <v>114</v>
      </c>
      <c r="L3000">
        <v>181</v>
      </c>
      <c r="M3000">
        <v>339</v>
      </c>
      <c r="N3000">
        <v>17</v>
      </c>
      <c r="O3000" t="s">
        <v>1886</v>
      </c>
      <c r="P3000" s="1" t="b">
        <f>NOT(OR(Table1[[#This Row],[State]]="Other Foreign Countries", Table1[[#This Row],[State]]="Unknown", Table1[[#This Row],[State]]="Puerto Rico all counties"))</f>
        <v>1</v>
      </c>
    </row>
    <row r="3001" spans="1:16" x14ac:dyDescent="0.25">
      <c r="A3001">
        <v>26163</v>
      </c>
      <c r="B3001" t="s">
        <v>2099</v>
      </c>
      <c r="C3001" t="s">
        <v>1006</v>
      </c>
      <c r="D3001">
        <v>17379</v>
      </c>
      <c r="E3001" s="1">
        <v>4270</v>
      </c>
      <c r="F3001" s="1">
        <v>2176</v>
      </c>
      <c r="G3001" s="1">
        <v>2092</v>
      </c>
      <c r="H3001" s="1">
        <v>4942</v>
      </c>
      <c r="I3001" s="1">
        <v>3899</v>
      </c>
      <c r="J3001" s="1">
        <v>4021</v>
      </c>
      <c r="K3001" s="1">
        <v>5249</v>
      </c>
      <c r="L3001" s="1">
        <v>8108</v>
      </c>
      <c r="M3001" s="1">
        <v>15541</v>
      </c>
      <c r="N3001" s="1">
        <v>1835</v>
      </c>
      <c r="O3001" t="s">
        <v>2242</v>
      </c>
      <c r="P3001" s="1" t="b">
        <f>NOT(OR(Table1[[#This Row],[State]]="Other Foreign Countries", Table1[[#This Row],[State]]="Unknown", Table1[[#This Row],[State]]="Puerto Rico all counties"))</f>
        <v>1</v>
      </c>
    </row>
    <row r="3002" spans="1:16" x14ac:dyDescent="0.25">
      <c r="A3002">
        <v>28153</v>
      </c>
      <c r="B3002" t="s">
        <v>322</v>
      </c>
      <c r="C3002" t="s">
        <v>1006</v>
      </c>
      <c r="D3002">
        <v>306</v>
      </c>
      <c r="E3002">
        <v>52</v>
      </c>
      <c r="F3002">
        <v>30</v>
      </c>
      <c r="G3002">
        <v>49</v>
      </c>
      <c r="H3002">
        <v>90</v>
      </c>
      <c r="I3002">
        <v>85</v>
      </c>
      <c r="J3002">
        <v>39</v>
      </c>
      <c r="K3002">
        <v>113</v>
      </c>
      <c r="L3002">
        <v>154</v>
      </c>
      <c r="M3002">
        <v>280</v>
      </c>
      <c r="N3002">
        <v>26</v>
      </c>
      <c r="O3002" t="s">
        <v>2502</v>
      </c>
      <c r="P3002" s="1" t="b">
        <f>NOT(OR(Table1[[#This Row],[State]]="Other Foreign Countries", Table1[[#This Row],[State]]="Unknown", Table1[[#This Row],[State]]="Puerto Rico all counties"))</f>
        <v>1</v>
      </c>
    </row>
    <row r="3003" spans="1:16" x14ac:dyDescent="0.25">
      <c r="A3003">
        <v>29223</v>
      </c>
      <c r="B3003" t="s">
        <v>2510</v>
      </c>
      <c r="C3003" t="s">
        <v>1006</v>
      </c>
      <c r="D3003">
        <v>430</v>
      </c>
      <c r="E3003">
        <v>96</v>
      </c>
      <c r="F3003">
        <v>34</v>
      </c>
      <c r="G3003">
        <v>56</v>
      </c>
      <c r="H3003">
        <v>149</v>
      </c>
      <c r="I3003">
        <v>95</v>
      </c>
      <c r="J3003">
        <v>73</v>
      </c>
      <c r="K3003">
        <v>134</v>
      </c>
      <c r="L3003">
        <v>223</v>
      </c>
      <c r="M3003">
        <v>402</v>
      </c>
      <c r="N3003">
        <v>28</v>
      </c>
      <c r="O3003" t="s">
        <v>2659</v>
      </c>
      <c r="P3003" s="1" t="b">
        <f>NOT(OR(Table1[[#This Row],[State]]="Other Foreign Countries", Table1[[#This Row],[State]]="Unknown", Table1[[#This Row],[State]]="Puerto Rico all counties"))</f>
        <v>1</v>
      </c>
    </row>
    <row r="3004" spans="1:16" x14ac:dyDescent="0.25">
      <c r="A3004">
        <v>31179</v>
      </c>
      <c r="B3004" t="s">
        <v>2758</v>
      </c>
      <c r="C3004" t="s">
        <v>1006</v>
      </c>
      <c r="D3004">
        <v>184</v>
      </c>
      <c r="E3004">
        <v>83</v>
      </c>
      <c r="F3004">
        <v>26</v>
      </c>
      <c r="G3004">
        <v>24</v>
      </c>
      <c r="H3004">
        <v>28</v>
      </c>
      <c r="I3004">
        <v>23</v>
      </c>
      <c r="J3004">
        <v>38</v>
      </c>
      <c r="K3004">
        <v>40</v>
      </c>
      <c r="L3004">
        <v>106</v>
      </c>
      <c r="O3004" t="s">
        <v>2888</v>
      </c>
      <c r="P3004" s="1" t="b">
        <f>NOT(OR(Table1[[#This Row],[State]]="Other Foreign Countries", Table1[[#This Row],[State]]="Unknown", Table1[[#This Row],[State]]="Puerto Rico all counties"))</f>
        <v>1</v>
      </c>
    </row>
    <row r="3005" spans="1:16" x14ac:dyDescent="0.25">
      <c r="A3005">
        <v>36117</v>
      </c>
      <c r="B3005" t="s">
        <v>3029</v>
      </c>
      <c r="C3005" t="s">
        <v>1006</v>
      </c>
      <c r="D3005">
        <v>1505</v>
      </c>
      <c r="E3005">
        <v>406</v>
      </c>
      <c r="F3005">
        <v>188</v>
      </c>
      <c r="G3005">
        <v>184</v>
      </c>
      <c r="H3005">
        <v>442</v>
      </c>
      <c r="I3005">
        <v>285</v>
      </c>
      <c r="J3005">
        <v>416</v>
      </c>
      <c r="K3005">
        <v>387</v>
      </c>
      <c r="L3005">
        <v>702</v>
      </c>
      <c r="M3005" s="1">
        <v>1361</v>
      </c>
      <c r="N3005">
        <v>144</v>
      </c>
      <c r="O3005" t="s">
        <v>3114</v>
      </c>
      <c r="P3005" s="1" t="b">
        <f>NOT(OR(Table1[[#This Row],[State]]="Other Foreign Countries", Table1[[#This Row],[State]]="Unknown", Table1[[#This Row],[State]]="Puerto Rico all counties"))</f>
        <v>1</v>
      </c>
    </row>
    <row r="3006" spans="1:16" x14ac:dyDescent="0.25">
      <c r="A3006">
        <v>37191</v>
      </c>
      <c r="B3006" t="s">
        <v>3121</v>
      </c>
      <c r="C3006" t="s">
        <v>1006</v>
      </c>
      <c r="D3006">
        <v>5808</v>
      </c>
      <c r="E3006">
        <v>836</v>
      </c>
      <c r="F3006">
        <v>541</v>
      </c>
      <c r="G3006">
        <v>640</v>
      </c>
      <c r="H3006" s="1">
        <v>1840</v>
      </c>
      <c r="I3006" s="1">
        <v>1951</v>
      </c>
      <c r="J3006" s="1">
        <v>1449</v>
      </c>
      <c r="K3006" s="1">
        <v>2147</v>
      </c>
      <c r="L3006" s="1">
        <v>2212</v>
      </c>
      <c r="M3006" s="1">
        <v>4893</v>
      </c>
      <c r="N3006">
        <v>915</v>
      </c>
      <c r="O3006" t="s">
        <v>3279</v>
      </c>
      <c r="P3006" s="1" t="b">
        <f>NOT(OR(Table1[[#This Row],[State]]="Other Foreign Countries", Table1[[#This Row],[State]]="Unknown", Table1[[#This Row],[State]]="Puerto Rico all counties"))</f>
        <v>1</v>
      </c>
    </row>
    <row r="3007" spans="1:16" x14ac:dyDescent="0.25">
      <c r="A3007">
        <v>39169</v>
      </c>
      <c r="B3007" t="s">
        <v>1343</v>
      </c>
      <c r="C3007" t="s">
        <v>1006</v>
      </c>
      <c r="D3007">
        <v>1596</v>
      </c>
      <c r="E3007">
        <v>461</v>
      </c>
      <c r="F3007">
        <v>223</v>
      </c>
      <c r="G3007">
        <v>212</v>
      </c>
      <c r="H3007">
        <v>383</v>
      </c>
      <c r="I3007">
        <v>317</v>
      </c>
      <c r="J3007">
        <v>464</v>
      </c>
      <c r="K3007">
        <v>408</v>
      </c>
      <c r="L3007">
        <v>724</v>
      </c>
      <c r="M3007" s="1">
        <v>1457</v>
      </c>
      <c r="N3007">
        <v>138</v>
      </c>
      <c r="O3007" t="s">
        <v>3489</v>
      </c>
      <c r="P3007" s="1" t="b">
        <f>NOT(OR(Table1[[#This Row],[State]]="Other Foreign Countries", Table1[[#This Row],[State]]="Unknown", Table1[[#This Row],[State]]="Puerto Rico all counties"))</f>
        <v>1</v>
      </c>
    </row>
    <row r="3008" spans="1:16" x14ac:dyDescent="0.25">
      <c r="A3008">
        <v>42127</v>
      </c>
      <c r="B3008" t="s">
        <v>3665</v>
      </c>
      <c r="C3008" t="s">
        <v>1006</v>
      </c>
      <c r="D3008">
        <v>1030</v>
      </c>
      <c r="E3008">
        <v>238</v>
      </c>
      <c r="F3008">
        <v>119</v>
      </c>
      <c r="G3008">
        <v>113</v>
      </c>
      <c r="H3008">
        <v>270</v>
      </c>
      <c r="I3008">
        <v>290</v>
      </c>
      <c r="J3008">
        <v>234</v>
      </c>
      <c r="K3008">
        <v>298</v>
      </c>
      <c r="L3008">
        <v>498</v>
      </c>
      <c r="M3008">
        <v>936</v>
      </c>
      <c r="N3008">
        <v>94</v>
      </c>
      <c r="O3008" t="s">
        <v>3759</v>
      </c>
      <c r="P3008" s="1" t="b">
        <f>NOT(OR(Table1[[#This Row],[State]]="Other Foreign Countries", Table1[[#This Row],[State]]="Unknown", Table1[[#This Row],[State]]="Puerto Rico all counties"))</f>
        <v>1</v>
      </c>
    </row>
    <row r="3009" spans="1:16" x14ac:dyDescent="0.25">
      <c r="A3009">
        <v>47181</v>
      </c>
      <c r="B3009" t="s">
        <v>3951</v>
      </c>
      <c r="C3009" t="s">
        <v>1006</v>
      </c>
      <c r="D3009">
        <v>297</v>
      </c>
      <c r="E3009">
        <v>65</v>
      </c>
      <c r="F3009">
        <v>28</v>
      </c>
      <c r="G3009">
        <v>43</v>
      </c>
      <c r="H3009">
        <v>86</v>
      </c>
      <c r="I3009">
        <v>75</v>
      </c>
      <c r="J3009">
        <v>60</v>
      </c>
      <c r="K3009">
        <v>101</v>
      </c>
      <c r="L3009">
        <v>136</v>
      </c>
      <c r="M3009">
        <v>280</v>
      </c>
      <c r="N3009">
        <v>17</v>
      </c>
      <c r="O3009" t="s">
        <v>4067</v>
      </c>
      <c r="P3009" s="1" t="b">
        <f>NOT(OR(Table1[[#This Row],[State]]="Other Foreign Countries", Table1[[#This Row],[State]]="Unknown", Table1[[#This Row],[State]]="Puerto Rico all counties"))</f>
        <v>1</v>
      </c>
    </row>
    <row r="3010" spans="1:16" x14ac:dyDescent="0.25">
      <c r="A3010">
        <v>49055</v>
      </c>
      <c r="B3010" t="s">
        <v>4486</v>
      </c>
      <c r="C3010" t="s">
        <v>1006</v>
      </c>
      <c r="D3010">
        <v>36</v>
      </c>
      <c r="H3010">
        <v>10</v>
      </c>
      <c r="L3010">
        <v>21</v>
      </c>
      <c r="O3010" t="s">
        <v>4528</v>
      </c>
      <c r="P3010" s="1" t="b">
        <f>NOT(OR(Table1[[#This Row],[State]]="Other Foreign Countries", Table1[[#This Row],[State]]="Unknown", Table1[[#This Row],[State]]="Puerto Rico all counties"))</f>
        <v>1</v>
      </c>
    </row>
    <row r="3011" spans="1:16" x14ac:dyDescent="0.25">
      <c r="A3011">
        <v>54099</v>
      </c>
      <c r="B3011" t="s">
        <v>4833</v>
      </c>
      <c r="C3011" t="s">
        <v>1006</v>
      </c>
      <c r="D3011">
        <v>932</v>
      </c>
      <c r="E3011">
        <v>184</v>
      </c>
      <c r="F3011">
        <v>93</v>
      </c>
      <c r="G3011">
        <v>119</v>
      </c>
      <c r="H3011">
        <v>285</v>
      </c>
      <c r="I3011">
        <v>251</v>
      </c>
      <c r="J3011">
        <v>176</v>
      </c>
      <c r="K3011">
        <v>313</v>
      </c>
      <c r="L3011">
        <v>443</v>
      </c>
      <c r="M3011">
        <v>874</v>
      </c>
      <c r="N3011">
        <v>58</v>
      </c>
      <c r="O3011" t="s">
        <v>4898</v>
      </c>
      <c r="P3011" s="1" t="b">
        <f>NOT(OR(Table1[[#This Row],[State]]="Other Foreign Countries", Table1[[#This Row],[State]]="Unknown", Table1[[#This Row],[State]]="Puerto Rico all counties"))</f>
        <v>1</v>
      </c>
    </row>
    <row r="3012" spans="1:16" x14ac:dyDescent="0.25">
      <c r="A3012">
        <v>51820</v>
      </c>
      <c r="B3012" t="s">
        <v>4555</v>
      </c>
      <c r="C3012" t="s">
        <v>4766</v>
      </c>
      <c r="D3012">
        <v>362</v>
      </c>
      <c r="E3012">
        <v>82</v>
      </c>
      <c r="F3012">
        <v>47</v>
      </c>
      <c r="G3012">
        <v>39</v>
      </c>
      <c r="H3012">
        <v>103</v>
      </c>
      <c r="I3012">
        <v>91</v>
      </c>
      <c r="J3012">
        <v>103</v>
      </c>
      <c r="K3012">
        <v>113</v>
      </c>
      <c r="L3012">
        <v>146</v>
      </c>
      <c r="M3012">
        <v>331</v>
      </c>
      <c r="N3012">
        <v>31</v>
      </c>
      <c r="O3012" t="s">
        <v>4767</v>
      </c>
      <c r="P3012" s="1" t="b">
        <f>NOT(OR(Table1[[#This Row],[State]]="Other Foreign Countries", Table1[[#This Row],[State]]="Unknown", Table1[[#This Row],[State]]="Puerto Rico all counties"))</f>
        <v>1</v>
      </c>
    </row>
    <row r="3013" spans="1:16" x14ac:dyDescent="0.25">
      <c r="A3013">
        <v>47183</v>
      </c>
      <c r="B3013" t="s">
        <v>3951</v>
      </c>
      <c r="C3013" t="s">
        <v>4068</v>
      </c>
      <c r="D3013">
        <v>606</v>
      </c>
      <c r="E3013">
        <v>117</v>
      </c>
      <c r="F3013">
        <v>77</v>
      </c>
      <c r="G3013">
        <v>78</v>
      </c>
      <c r="H3013">
        <v>185</v>
      </c>
      <c r="I3013">
        <v>149</v>
      </c>
      <c r="J3013">
        <v>124</v>
      </c>
      <c r="K3013">
        <v>207</v>
      </c>
      <c r="L3013">
        <v>275</v>
      </c>
      <c r="M3013">
        <v>561</v>
      </c>
      <c r="N3013">
        <v>45</v>
      </c>
      <c r="O3013" t="s">
        <v>4069</v>
      </c>
      <c r="P3013" s="1" t="b">
        <f>NOT(OR(Table1[[#This Row],[State]]="Other Foreign Countries", Table1[[#This Row],[State]]="Unknown", Table1[[#This Row],[State]]="Puerto Rico all counties"))</f>
        <v>1</v>
      </c>
    </row>
    <row r="3014" spans="1:16" x14ac:dyDescent="0.25">
      <c r="A3014">
        <v>48479</v>
      </c>
      <c r="B3014" t="s">
        <v>2654</v>
      </c>
      <c r="C3014" t="s">
        <v>4461</v>
      </c>
      <c r="D3014">
        <v>3242</v>
      </c>
      <c r="E3014">
        <v>589</v>
      </c>
      <c r="F3014">
        <v>329</v>
      </c>
      <c r="G3014">
        <v>378</v>
      </c>
      <c r="H3014" s="1">
        <v>1011</v>
      </c>
      <c r="I3014">
        <v>935</v>
      </c>
      <c r="J3014" s="1">
        <v>1151</v>
      </c>
      <c r="K3014">
        <v>968</v>
      </c>
      <c r="L3014" s="1">
        <v>1123</v>
      </c>
      <c r="M3014" s="1">
        <v>3042</v>
      </c>
      <c r="N3014">
        <v>200</v>
      </c>
      <c r="O3014" t="s">
        <v>4462</v>
      </c>
      <c r="P3014" s="1" t="b">
        <f>NOT(OR(Table1[[#This Row],[State]]="Other Foreign Countries", Table1[[#This Row],[State]]="Unknown", Table1[[#This Row],[State]]="Puerto Rico all counties"))</f>
        <v>1</v>
      </c>
    </row>
    <row r="3015" spans="1:16" x14ac:dyDescent="0.25">
      <c r="A3015">
        <v>49057</v>
      </c>
      <c r="B3015" t="s">
        <v>4486</v>
      </c>
      <c r="C3015" t="s">
        <v>4529</v>
      </c>
      <c r="D3015">
        <v>6318</v>
      </c>
      <c r="E3015" s="1">
        <v>1040</v>
      </c>
      <c r="F3015">
        <v>640</v>
      </c>
      <c r="G3015">
        <v>842</v>
      </c>
      <c r="H3015" s="1">
        <v>2083</v>
      </c>
      <c r="I3015" s="1">
        <v>1713</v>
      </c>
      <c r="J3015" s="1">
        <v>2129</v>
      </c>
      <c r="K3015" s="1">
        <v>2400</v>
      </c>
      <c r="L3015" s="1">
        <v>1789</v>
      </c>
      <c r="M3015" s="1">
        <v>5552</v>
      </c>
      <c r="N3015">
        <v>765</v>
      </c>
      <c r="O3015" t="s">
        <v>4530</v>
      </c>
      <c r="P3015" s="1" t="b">
        <f>NOT(OR(Table1[[#This Row],[State]]="Other Foreign Countries", Table1[[#This Row],[State]]="Unknown", Table1[[#This Row],[State]]="Puerto Rico all counties"))</f>
        <v>1</v>
      </c>
    </row>
    <row r="3016" spans="1:16" x14ac:dyDescent="0.25">
      <c r="A3016">
        <v>13307</v>
      </c>
      <c r="B3016" t="s">
        <v>754</v>
      </c>
      <c r="C3016" t="s">
        <v>1008</v>
      </c>
      <c r="D3016">
        <v>47</v>
      </c>
      <c r="H3016">
        <v>20</v>
      </c>
      <c r="I3016">
        <v>13</v>
      </c>
      <c r="J3016">
        <v>12</v>
      </c>
      <c r="K3016">
        <v>14</v>
      </c>
      <c r="L3016">
        <v>21</v>
      </c>
      <c r="O3016" t="s">
        <v>1009</v>
      </c>
      <c r="P3016" s="1" t="b">
        <f>NOT(OR(Table1[[#This Row],[State]]="Other Foreign Countries", Table1[[#This Row],[State]]="Unknown", Table1[[#This Row],[State]]="Puerto Rico all counties"))</f>
        <v>1</v>
      </c>
    </row>
    <row r="3017" spans="1:16" x14ac:dyDescent="0.25">
      <c r="A3017">
        <v>19187</v>
      </c>
      <c r="B3017" t="s">
        <v>1399</v>
      </c>
      <c r="C3017" t="s">
        <v>1008</v>
      </c>
      <c r="D3017">
        <v>731</v>
      </c>
      <c r="E3017">
        <v>258</v>
      </c>
      <c r="F3017">
        <v>103</v>
      </c>
      <c r="G3017">
        <v>94</v>
      </c>
      <c r="H3017">
        <v>143</v>
      </c>
      <c r="I3017">
        <v>133</v>
      </c>
      <c r="J3017">
        <v>132</v>
      </c>
      <c r="K3017">
        <v>188</v>
      </c>
      <c r="L3017">
        <v>411</v>
      </c>
      <c r="M3017">
        <v>697</v>
      </c>
      <c r="N3017">
        <v>34</v>
      </c>
      <c r="O3017" t="s">
        <v>1534</v>
      </c>
      <c r="P3017" s="1" t="b">
        <f>NOT(OR(Table1[[#This Row],[State]]="Other Foreign Countries", Table1[[#This Row],[State]]="Unknown", Table1[[#This Row],[State]]="Puerto Rico all counties"))</f>
        <v>1</v>
      </c>
    </row>
    <row r="3018" spans="1:16" x14ac:dyDescent="0.25">
      <c r="A3018">
        <v>21233</v>
      </c>
      <c r="B3018" t="s">
        <v>1716</v>
      </c>
      <c r="C3018" t="s">
        <v>1008</v>
      </c>
      <c r="D3018">
        <v>167</v>
      </c>
      <c r="E3018">
        <v>36</v>
      </c>
      <c r="F3018">
        <v>14</v>
      </c>
      <c r="G3018">
        <v>20</v>
      </c>
      <c r="H3018">
        <v>51</v>
      </c>
      <c r="I3018">
        <v>46</v>
      </c>
      <c r="J3018">
        <v>25</v>
      </c>
      <c r="K3018">
        <v>47</v>
      </c>
      <c r="L3018">
        <v>95</v>
      </c>
      <c r="O3018" t="s">
        <v>1887</v>
      </c>
      <c r="P3018" s="1" t="b">
        <f>NOT(OR(Table1[[#This Row],[State]]="Other Foreign Countries", Table1[[#This Row],[State]]="Unknown", Table1[[#This Row],[State]]="Puerto Rico all counties"))</f>
        <v>1</v>
      </c>
    </row>
    <row r="3019" spans="1:16" x14ac:dyDescent="0.25">
      <c r="A3019">
        <v>22119</v>
      </c>
      <c r="B3019" t="s">
        <v>1892</v>
      </c>
      <c r="C3019" t="s">
        <v>1008</v>
      </c>
      <c r="D3019">
        <v>771</v>
      </c>
      <c r="E3019">
        <v>119</v>
      </c>
      <c r="F3019">
        <v>75</v>
      </c>
      <c r="G3019">
        <v>100</v>
      </c>
      <c r="H3019">
        <v>253</v>
      </c>
      <c r="I3019">
        <v>224</v>
      </c>
      <c r="J3019">
        <v>174</v>
      </c>
      <c r="K3019">
        <v>269</v>
      </c>
      <c r="L3019">
        <v>328</v>
      </c>
      <c r="M3019">
        <v>684</v>
      </c>
      <c r="N3019">
        <v>87</v>
      </c>
      <c r="O3019" t="s">
        <v>1995</v>
      </c>
      <c r="P3019" s="1" t="b">
        <f>NOT(OR(Table1[[#This Row],[State]]="Other Foreign Countries", Table1[[#This Row],[State]]="Unknown", Table1[[#This Row],[State]]="Puerto Rico all counties"))</f>
        <v>1</v>
      </c>
    </row>
    <row r="3020" spans="1:16" x14ac:dyDescent="0.25">
      <c r="A3020">
        <v>28155</v>
      </c>
      <c r="B3020" t="s">
        <v>322</v>
      </c>
      <c r="C3020" t="s">
        <v>1008</v>
      </c>
      <c r="D3020">
        <v>193</v>
      </c>
      <c r="E3020">
        <v>34</v>
      </c>
      <c r="F3020">
        <v>16</v>
      </c>
      <c r="G3020">
        <v>36</v>
      </c>
      <c r="H3020">
        <v>60</v>
      </c>
      <c r="I3020">
        <v>47</v>
      </c>
      <c r="J3020">
        <v>40</v>
      </c>
      <c r="K3020">
        <v>79</v>
      </c>
      <c r="L3020">
        <v>74</v>
      </c>
      <c r="O3020" t="s">
        <v>2503</v>
      </c>
      <c r="P3020" s="1" t="b">
        <f>NOT(OR(Table1[[#This Row],[State]]="Other Foreign Countries", Table1[[#This Row],[State]]="Unknown", Table1[[#This Row],[State]]="Puerto Rico all counties"))</f>
        <v>1</v>
      </c>
    </row>
    <row r="3021" spans="1:16" x14ac:dyDescent="0.25">
      <c r="A3021">
        <v>29225</v>
      </c>
      <c r="B3021" t="s">
        <v>2510</v>
      </c>
      <c r="C3021" t="s">
        <v>1008</v>
      </c>
      <c r="D3021">
        <v>954</v>
      </c>
      <c r="E3021">
        <v>206</v>
      </c>
      <c r="F3021">
        <v>107</v>
      </c>
      <c r="G3021">
        <v>141</v>
      </c>
      <c r="H3021">
        <v>292</v>
      </c>
      <c r="I3021">
        <v>208</v>
      </c>
      <c r="J3021">
        <v>243</v>
      </c>
      <c r="K3021">
        <v>320</v>
      </c>
      <c r="L3021">
        <v>391</v>
      </c>
      <c r="M3021">
        <v>867</v>
      </c>
      <c r="N3021">
        <v>87</v>
      </c>
      <c r="O3021" t="s">
        <v>2660</v>
      </c>
      <c r="P3021" s="1" t="b">
        <f>NOT(OR(Table1[[#This Row],[State]]="Other Foreign Countries", Table1[[#This Row],[State]]="Unknown", Table1[[#This Row],[State]]="Puerto Rico all counties"))</f>
        <v>1</v>
      </c>
    </row>
    <row r="3022" spans="1:16" x14ac:dyDescent="0.25">
      <c r="A3022">
        <v>31181</v>
      </c>
      <c r="B3022" t="s">
        <v>2758</v>
      </c>
      <c r="C3022" t="s">
        <v>1008</v>
      </c>
      <c r="D3022">
        <v>98</v>
      </c>
      <c r="E3022">
        <v>40</v>
      </c>
      <c r="F3022">
        <v>10</v>
      </c>
      <c r="G3022">
        <v>10</v>
      </c>
      <c r="H3022">
        <v>17</v>
      </c>
      <c r="I3022">
        <v>21</v>
      </c>
      <c r="J3022">
        <v>14</v>
      </c>
      <c r="K3022">
        <v>21</v>
      </c>
      <c r="L3022">
        <v>63</v>
      </c>
      <c r="O3022" t="s">
        <v>2889</v>
      </c>
      <c r="P3022" s="1" t="b">
        <f>NOT(OR(Table1[[#This Row],[State]]="Other Foreign Countries", Table1[[#This Row],[State]]="Unknown", Table1[[#This Row],[State]]="Puerto Rico all counties"))</f>
        <v>1</v>
      </c>
    </row>
    <row r="3023" spans="1:16" x14ac:dyDescent="0.25">
      <c r="A3023">
        <v>54101</v>
      </c>
      <c r="B3023" t="s">
        <v>4833</v>
      </c>
      <c r="C3023" t="s">
        <v>1008</v>
      </c>
      <c r="D3023">
        <v>216</v>
      </c>
      <c r="E3023">
        <v>50</v>
      </c>
      <c r="F3023">
        <v>23</v>
      </c>
      <c r="G3023">
        <v>23</v>
      </c>
      <c r="H3023">
        <v>68</v>
      </c>
      <c r="I3023">
        <v>52</v>
      </c>
      <c r="J3023">
        <v>24</v>
      </c>
      <c r="K3023">
        <v>50</v>
      </c>
      <c r="L3023">
        <v>142</v>
      </c>
      <c r="O3023" t="s">
        <v>4899</v>
      </c>
      <c r="P3023" s="1" t="b">
        <f>NOT(OR(Table1[[#This Row],[State]]="Other Foreign Countries", Table1[[#This Row],[State]]="Unknown", Table1[[#This Row],[State]]="Puerto Rico all counties"))</f>
        <v>1</v>
      </c>
    </row>
    <row r="3024" spans="1:16" x14ac:dyDescent="0.25">
      <c r="A3024">
        <v>8123</v>
      </c>
      <c r="B3024" t="s">
        <v>489</v>
      </c>
      <c r="C3024" t="s">
        <v>606</v>
      </c>
      <c r="D3024">
        <v>6067</v>
      </c>
      <c r="E3024" s="1">
        <v>1394</v>
      </c>
      <c r="F3024">
        <v>753</v>
      </c>
      <c r="G3024">
        <v>805</v>
      </c>
      <c r="H3024" s="1">
        <v>1752</v>
      </c>
      <c r="I3024" s="1">
        <v>1363</v>
      </c>
      <c r="J3024" s="1">
        <v>2421</v>
      </c>
      <c r="K3024" s="1">
        <v>1731</v>
      </c>
      <c r="L3024" s="1">
        <v>1915</v>
      </c>
      <c r="M3024" s="1">
        <v>5389</v>
      </c>
      <c r="N3024">
        <v>678</v>
      </c>
      <c r="O3024" t="s">
        <v>607</v>
      </c>
      <c r="P3024" s="1" t="b">
        <f>NOT(OR(Table1[[#This Row],[State]]="Other Foreign Countries", Table1[[#This Row],[State]]="Unknown", Table1[[#This Row],[State]]="Puerto Rico all counties"))</f>
        <v>1</v>
      </c>
    </row>
    <row r="3025" spans="1:16" x14ac:dyDescent="0.25">
      <c r="A3025">
        <v>18179</v>
      </c>
      <c r="B3025" t="s">
        <v>1266</v>
      </c>
      <c r="C3025" t="s">
        <v>1394</v>
      </c>
      <c r="D3025">
        <v>595</v>
      </c>
      <c r="E3025">
        <v>217</v>
      </c>
      <c r="F3025">
        <v>82</v>
      </c>
      <c r="G3025">
        <v>83</v>
      </c>
      <c r="H3025">
        <v>138</v>
      </c>
      <c r="I3025">
        <v>75</v>
      </c>
      <c r="J3025">
        <v>153</v>
      </c>
      <c r="K3025">
        <v>149</v>
      </c>
      <c r="L3025">
        <v>293</v>
      </c>
      <c r="M3025">
        <v>562</v>
      </c>
      <c r="N3025">
        <v>33</v>
      </c>
      <c r="O3025" t="s">
        <v>1395</v>
      </c>
      <c r="P3025" s="1" t="b">
        <f>NOT(OR(Table1[[#This Row],[State]]="Other Foreign Countries", Table1[[#This Row],[State]]="Unknown", Table1[[#This Row],[State]]="Puerto Rico all counties"))</f>
        <v>1</v>
      </c>
    </row>
    <row r="3026" spans="1:16" x14ac:dyDescent="0.25">
      <c r="A3026">
        <v>38103</v>
      </c>
      <c r="B3026" t="s">
        <v>3286</v>
      </c>
      <c r="C3026" t="s">
        <v>1394</v>
      </c>
      <c r="D3026">
        <v>63</v>
      </c>
      <c r="E3026">
        <v>16</v>
      </c>
      <c r="H3026">
        <v>19</v>
      </c>
      <c r="I3026">
        <v>13</v>
      </c>
      <c r="L3026">
        <v>33</v>
      </c>
      <c r="M3026">
        <v>49</v>
      </c>
      <c r="N3026">
        <v>14</v>
      </c>
      <c r="O3026" t="s">
        <v>3368</v>
      </c>
      <c r="P3026" s="1" t="b">
        <f>NOT(OR(Table1[[#This Row],[State]]="Other Foreign Countries", Table1[[#This Row],[State]]="Unknown", Table1[[#This Row],[State]]="Puerto Rico all counties"))</f>
        <v>1</v>
      </c>
    </row>
    <row r="3027" spans="1:16" x14ac:dyDescent="0.25">
      <c r="A3027">
        <v>22121</v>
      </c>
      <c r="B3027" t="s">
        <v>1892</v>
      </c>
      <c r="C3027" t="s">
        <v>1996</v>
      </c>
      <c r="D3027">
        <v>424</v>
      </c>
      <c r="E3027">
        <v>73</v>
      </c>
      <c r="F3027">
        <v>42</v>
      </c>
      <c r="G3027">
        <v>50</v>
      </c>
      <c r="H3027">
        <v>139</v>
      </c>
      <c r="I3027">
        <v>120</v>
      </c>
      <c r="J3027">
        <v>111</v>
      </c>
      <c r="K3027">
        <v>134</v>
      </c>
      <c r="L3027">
        <v>179</v>
      </c>
      <c r="M3027">
        <v>385</v>
      </c>
      <c r="N3027">
        <v>39</v>
      </c>
      <c r="O3027" t="s">
        <v>1997</v>
      </c>
      <c r="P3027" s="1" t="b">
        <f>NOT(OR(Table1[[#This Row],[State]]="Other Foreign Countries", Table1[[#This Row],[State]]="Unknown", Table1[[#This Row],[State]]="Puerto Rico all counties"))</f>
        <v>1</v>
      </c>
    </row>
    <row r="3028" spans="1:16" x14ac:dyDescent="0.25">
      <c r="A3028">
        <v>22123</v>
      </c>
      <c r="B3028" t="s">
        <v>1892</v>
      </c>
      <c r="C3028" t="s">
        <v>1998</v>
      </c>
      <c r="D3028">
        <v>145</v>
      </c>
      <c r="E3028">
        <v>26</v>
      </c>
      <c r="F3028">
        <v>19</v>
      </c>
      <c r="G3028">
        <v>26</v>
      </c>
      <c r="H3028">
        <v>44</v>
      </c>
      <c r="I3028">
        <v>30</v>
      </c>
      <c r="J3028">
        <v>24</v>
      </c>
      <c r="K3028">
        <v>45</v>
      </c>
      <c r="L3028">
        <v>76</v>
      </c>
      <c r="O3028" t="s">
        <v>1999</v>
      </c>
      <c r="P3028" s="1" t="b">
        <f>NOT(OR(Table1[[#This Row],[State]]="Other Foreign Countries", Table1[[#This Row],[State]]="Unknown", Table1[[#This Row],[State]]="Puerto Rico all counties"))</f>
        <v>1</v>
      </c>
    </row>
    <row r="3029" spans="1:16" x14ac:dyDescent="0.25">
      <c r="A3029">
        <v>22125</v>
      </c>
      <c r="B3029" t="s">
        <v>1892</v>
      </c>
      <c r="C3029" t="s">
        <v>2000</v>
      </c>
      <c r="D3029">
        <v>168</v>
      </c>
      <c r="E3029">
        <v>44</v>
      </c>
      <c r="F3029">
        <v>16</v>
      </c>
      <c r="G3029">
        <v>13</v>
      </c>
      <c r="H3029">
        <v>62</v>
      </c>
      <c r="I3029">
        <v>33</v>
      </c>
      <c r="J3029">
        <v>46</v>
      </c>
      <c r="K3029">
        <v>46</v>
      </c>
      <c r="L3029">
        <v>76</v>
      </c>
      <c r="M3029">
        <v>156</v>
      </c>
      <c r="N3029">
        <v>12</v>
      </c>
      <c r="O3029" t="s">
        <v>2001</v>
      </c>
      <c r="P3029" s="1" t="b">
        <f>NOT(OR(Table1[[#This Row],[State]]="Other Foreign Countries", Table1[[#This Row],[State]]="Unknown", Table1[[#This Row],[State]]="Puerto Rico all counties"))</f>
        <v>1</v>
      </c>
    </row>
    <row r="3030" spans="1:16" x14ac:dyDescent="0.25">
      <c r="A3030">
        <v>36119</v>
      </c>
      <c r="B3030" t="s">
        <v>3029</v>
      </c>
      <c r="C3030" t="s">
        <v>3115</v>
      </c>
      <c r="D3030">
        <v>4892</v>
      </c>
      <c r="E3030">
        <v>995</v>
      </c>
      <c r="F3030">
        <v>528</v>
      </c>
      <c r="G3030">
        <v>553</v>
      </c>
      <c r="H3030" s="1">
        <v>1432</v>
      </c>
      <c r="I3030" s="1">
        <v>1384</v>
      </c>
      <c r="J3030" s="1">
        <v>1524</v>
      </c>
      <c r="K3030" s="1">
        <v>1136</v>
      </c>
      <c r="L3030" s="1">
        <v>2232</v>
      </c>
      <c r="M3030" s="1">
        <v>4455</v>
      </c>
      <c r="N3030">
        <v>435</v>
      </c>
      <c r="O3030" t="s">
        <v>3116</v>
      </c>
      <c r="P3030" s="1" t="b">
        <f>NOT(OR(Table1[[#This Row],[State]]="Other Foreign Countries", Table1[[#This Row],[State]]="Unknown", Table1[[#This Row],[State]]="Puerto Rico all counties"))</f>
        <v>1</v>
      </c>
    </row>
    <row r="3031" spans="1:16" x14ac:dyDescent="0.25">
      <c r="A3031">
        <v>9190</v>
      </c>
      <c r="B3031" t="s">
        <v>609</v>
      </c>
      <c r="C3031" t="s">
        <v>626</v>
      </c>
      <c r="D3031">
        <v>2833</v>
      </c>
      <c r="E3031">
        <v>728</v>
      </c>
      <c r="F3031">
        <v>346</v>
      </c>
      <c r="G3031">
        <v>346</v>
      </c>
      <c r="H3031">
        <v>754</v>
      </c>
      <c r="I3031">
        <v>659</v>
      </c>
      <c r="J3031">
        <v>866</v>
      </c>
      <c r="K3031">
        <v>690</v>
      </c>
      <c r="L3031" s="1">
        <v>1277</v>
      </c>
      <c r="M3031" s="1">
        <v>2607</v>
      </c>
      <c r="N3031">
        <v>225</v>
      </c>
      <c r="O3031" t="s">
        <v>627</v>
      </c>
      <c r="P3031" s="1" t="b">
        <f>NOT(OR(Table1[[#This Row],[State]]="Other Foreign Countries", Table1[[#This Row],[State]]="Unknown", Table1[[#This Row],[State]]="Puerto Rico all counties"))</f>
        <v>1</v>
      </c>
    </row>
    <row r="3032" spans="1:16" x14ac:dyDescent="0.25">
      <c r="A3032">
        <v>42129</v>
      </c>
      <c r="B3032" t="s">
        <v>3665</v>
      </c>
      <c r="C3032" t="s">
        <v>3760</v>
      </c>
      <c r="D3032">
        <v>5296</v>
      </c>
      <c r="E3032" s="1">
        <v>1253</v>
      </c>
      <c r="F3032">
        <v>740</v>
      </c>
      <c r="G3032">
        <v>710</v>
      </c>
      <c r="H3032" s="1">
        <v>1408</v>
      </c>
      <c r="I3032" s="1">
        <v>1185</v>
      </c>
      <c r="J3032" s="1">
        <v>1270</v>
      </c>
      <c r="K3032" s="1">
        <v>1457</v>
      </c>
      <c r="L3032" s="1">
        <v>2569</v>
      </c>
      <c r="M3032" s="1">
        <v>4866</v>
      </c>
      <c r="N3032">
        <v>427</v>
      </c>
      <c r="O3032" t="s">
        <v>3761</v>
      </c>
      <c r="P3032" s="1" t="b">
        <f>NOT(OR(Table1[[#This Row],[State]]="Other Foreign Countries", Table1[[#This Row],[State]]="Unknown", Table1[[#This Row],[State]]="Puerto Rico all counties"))</f>
        <v>1</v>
      </c>
    </row>
    <row r="3033" spans="1:16" x14ac:dyDescent="0.25">
      <c r="A3033">
        <v>51193</v>
      </c>
      <c r="B3033" t="s">
        <v>4555</v>
      </c>
      <c r="C3033" t="s">
        <v>3760</v>
      </c>
      <c r="D3033">
        <v>592</v>
      </c>
      <c r="E3033">
        <v>97</v>
      </c>
      <c r="F3033">
        <v>60</v>
      </c>
      <c r="G3033">
        <v>68</v>
      </c>
      <c r="H3033">
        <v>185</v>
      </c>
      <c r="I3033">
        <v>182</v>
      </c>
      <c r="J3033">
        <v>166</v>
      </c>
      <c r="K3033">
        <v>222</v>
      </c>
      <c r="L3033">
        <v>204</v>
      </c>
      <c r="M3033">
        <v>518</v>
      </c>
      <c r="N3033">
        <v>74</v>
      </c>
      <c r="O3033" t="s">
        <v>4691</v>
      </c>
      <c r="P3033" s="1" t="b">
        <f>NOT(OR(Table1[[#This Row],[State]]="Other Foreign Countries", Table1[[#This Row],[State]]="Unknown", Table1[[#This Row],[State]]="Puerto Rico all counties"))</f>
        <v>1</v>
      </c>
    </row>
    <row r="3034" spans="1:16" x14ac:dyDescent="0.25">
      <c r="A3034">
        <v>56045</v>
      </c>
      <c r="B3034" t="s">
        <v>3117</v>
      </c>
      <c r="C3034" t="s">
        <v>5045</v>
      </c>
      <c r="D3034">
        <v>280</v>
      </c>
      <c r="E3034">
        <v>92</v>
      </c>
      <c r="F3034">
        <v>31</v>
      </c>
      <c r="G3034">
        <v>37</v>
      </c>
      <c r="H3034">
        <v>70</v>
      </c>
      <c r="I3034">
        <v>50</v>
      </c>
      <c r="J3034">
        <v>41</v>
      </c>
      <c r="K3034">
        <v>84</v>
      </c>
      <c r="L3034">
        <v>155</v>
      </c>
      <c r="M3034">
        <v>261</v>
      </c>
      <c r="N3034">
        <v>19</v>
      </c>
      <c r="O3034" t="s">
        <v>5046</v>
      </c>
      <c r="P3034" s="1" t="b">
        <f>NOT(OR(Table1[[#This Row],[State]]="Other Foreign Countries", Table1[[#This Row],[State]]="Unknown", Table1[[#This Row],[State]]="Puerto Rico all counties"))</f>
        <v>1</v>
      </c>
    </row>
    <row r="3035" spans="1:16" x14ac:dyDescent="0.25">
      <c r="A3035">
        <v>54103</v>
      </c>
      <c r="B3035" t="s">
        <v>4833</v>
      </c>
      <c r="C3035" t="s">
        <v>4900</v>
      </c>
      <c r="D3035">
        <v>295</v>
      </c>
      <c r="E3035">
        <v>69</v>
      </c>
      <c r="F3035">
        <v>31</v>
      </c>
      <c r="G3035">
        <v>31</v>
      </c>
      <c r="H3035">
        <v>92</v>
      </c>
      <c r="I3035">
        <v>72</v>
      </c>
      <c r="J3035">
        <v>35</v>
      </c>
      <c r="K3035">
        <v>96</v>
      </c>
      <c r="L3035">
        <v>164</v>
      </c>
      <c r="M3035">
        <v>274</v>
      </c>
      <c r="N3035">
        <v>21</v>
      </c>
      <c r="O3035" t="s">
        <v>4901</v>
      </c>
      <c r="P3035" s="1" t="b">
        <f>NOT(OR(Table1[[#This Row],[State]]="Other Foreign Countries", Table1[[#This Row],[State]]="Unknown", Table1[[#This Row],[State]]="Puerto Rico all counties"))</f>
        <v>1</v>
      </c>
    </row>
    <row r="3036" spans="1:16" x14ac:dyDescent="0.25">
      <c r="A3036">
        <v>26165</v>
      </c>
      <c r="B3036" t="s">
        <v>2099</v>
      </c>
      <c r="C3036" t="s">
        <v>2243</v>
      </c>
      <c r="D3036">
        <v>785</v>
      </c>
      <c r="E3036">
        <v>180</v>
      </c>
      <c r="F3036">
        <v>88</v>
      </c>
      <c r="G3036">
        <v>113</v>
      </c>
      <c r="H3036">
        <v>209</v>
      </c>
      <c r="I3036">
        <v>195</v>
      </c>
      <c r="J3036">
        <v>201</v>
      </c>
      <c r="K3036">
        <v>226</v>
      </c>
      <c r="L3036">
        <v>358</v>
      </c>
      <c r="M3036">
        <v>715</v>
      </c>
      <c r="N3036">
        <v>69</v>
      </c>
      <c r="O3036" t="s">
        <v>2244</v>
      </c>
      <c r="P3036" s="1" t="b">
        <f>NOT(OR(Table1[[#This Row],[State]]="Other Foreign Countries", Table1[[#This Row],[State]]="Unknown", Table1[[#This Row],[State]]="Puerto Rico all counties"))</f>
        <v>1</v>
      </c>
    </row>
    <row r="3037" spans="1:16" x14ac:dyDescent="0.25">
      <c r="A3037">
        <v>48481</v>
      </c>
      <c r="B3037" t="s">
        <v>2654</v>
      </c>
      <c r="C3037" t="s">
        <v>4463</v>
      </c>
      <c r="D3037">
        <v>602</v>
      </c>
      <c r="E3037">
        <v>128</v>
      </c>
      <c r="F3037">
        <v>71</v>
      </c>
      <c r="G3037">
        <v>83</v>
      </c>
      <c r="H3037">
        <v>184</v>
      </c>
      <c r="I3037">
        <v>136</v>
      </c>
      <c r="J3037">
        <v>160</v>
      </c>
      <c r="K3037">
        <v>162</v>
      </c>
      <c r="L3037">
        <v>280</v>
      </c>
      <c r="M3037">
        <v>549</v>
      </c>
      <c r="N3037">
        <v>53</v>
      </c>
      <c r="O3037" t="s">
        <v>4464</v>
      </c>
      <c r="P3037" s="1" t="b">
        <f>NOT(OR(Table1[[#This Row],[State]]="Other Foreign Countries", Table1[[#This Row],[State]]="Unknown", Table1[[#This Row],[State]]="Puerto Rico all counties"))</f>
        <v>1</v>
      </c>
    </row>
    <row r="3038" spans="1:16" x14ac:dyDescent="0.25">
      <c r="A3038">
        <v>53073</v>
      </c>
      <c r="B3038" t="s">
        <v>144</v>
      </c>
      <c r="C3038" t="s">
        <v>4827</v>
      </c>
      <c r="D3038">
        <v>3646</v>
      </c>
      <c r="E3038">
        <v>876</v>
      </c>
      <c r="F3038">
        <v>464</v>
      </c>
      <c r="G3038">
        <v>485</v>
      </c>
      <c r="H3038" s="1">
        <v>1036</v>
      </c>
      <c r="I3038">
        <v>785</v>
      </c>
      <c r="J3038" s="1">
        <v>1062</v>
      </c>
      <c r="K3038" s="1">
        <v>1030</v>
      </c>
      <c r="L3038" s="1">
        <v>1554</v>
      </c>
      <c r="M3038" s="1">
        <v>3259</v>
      </c>
      <c r="N3038">
        <v>386</v>
      </c>
      <c r="O3038" t="s">
        <v>4828</v>
      </c>
      <c r="P3038" s="1" t="b">
        <f>NOT(OR(Table1[[#This Row],[State]]="Other Foreign Countries", Table1[[#This Row],[State]]="Unknown", Table1[[#This Row],[State]]="Puerto Rico all counties"))</f>
        <v>1</v>
      </c>
    </row>
    <row r="3039" spans="1:16" x14ac:dyDescent="0.25">
      <c r="A3039">
        <v>30107</v>
      </c>
      <c r="B3039" t="s">
        <v>2665</v>
      </c>
      <c r="C3039" t="s">
        <v>2752</v>
      </c>
      <c r="D3039">
        <v>59</v>
      </c>
      <c r="E3039">
        <v>12</v>
      </c>
      <c r="F3039">
        <v>14</v>
      </c>
      <c r="H3039">
        <v>14</v>
      </c>
      <c r="J3039">
        <v>13</v>
      </c>
      <c r="K3039">
        <v>19</v>
      </c>
      <c r="L3039">
        <v>27</v>
      </c>
      <c r="M3039">
        <v>48</v>
      </c>
      <c r="N3039">
        <v>11</v>
      </c>
      <c r="O3039" t="s">
        <v>2753</v>
      </c>
      <c r="P3039" s="1" t="b">
        <f>NOT(OR(Table1[[#This Row],[State]]="Other Foreign Countries", Table1[[#This Row],[State]]="Unknown", Table1[[#This Row],[State]]="Puerto Rico all counties"))</f>
        <v>1</v>
      </c>
    </row>
    <row r="3040" spans="1:16" x14ac:dyDescent="0.25">
      <c r="A3040">
        <v>13309</v>
      </c>
      <c r="B3040" t="s">
        <v>754</v>
      </c>
      <c r="C3040" t="s">
        <v>1010</v>
      </c>
      <c r="D3040">
        <v>112</v>
      </c>
      <c r="E3040">
        <v>12</v>
      </c>
      <c r="F3040">
        <v>13</v>
      </c>
      <c r="G3040">
        <v>11</v>
      </c>
      <c r="H3040">
        <v>46</v>
      </c>
      <c r="I3040">
        <v>30</v>
      </c>
      <c r="J3040">
        <v>17</v>
      </c>
      <c r="K3040">
        <v>47</v>
      </c>
      <c r="L3040">
        <v>48</v>
      </c>
      <c r="M3040">
        <v>98</v>
      </c>
      <c r="N3040">
        <v>14</v>
      </c>
      <c r="O3040" t="s">
        <v>1011</v>
      </c>
      <c r="P3040" s="1" t="b">
        <f>NOT(OR(Table1[[#This Row],[State]]="Other Foreign Countries", Table1[[#This Row],[State]]="Unknown", Table1[[#This Row],[State]]="Puerto Rico all counties"))</f>
        <v>1</v>
      </c>
    </row>
    <row r="3041" spans="1:16" x14ac:dyDescent="0.25">
      <c r="A3041">
        <v>31183</v>
      </c>
      <c r="B3041" t="s">
        <v>2758</v>
      </c>
      <c r="C3041" t="s">
        <v>1010</v>
      </c>
      <c r="D3041">
        <v>20</v>
      </c>
      <c r="O3041" t="s">
        <v>2890</v>
      </c>
      <c r="P3041" s="1" t="b">
        <f>NOT(OR(Table1[[#This Row],[State]]="Other Foreign Countries", Table1[[#This Row],[State]]="Unknown", Table1[[#This Row],[State]]="Puerto Rico all counties"))</f>
        <v>1</v>
      </c>
    </row>
    <row r="3042" spans="1:16" x14ac:dyDescent="0.25">
      <c r="A3042">
        <v>41069</v>
      </c>
      <c r="B3042" t="s">
        <v>2607</v>
      </c>
      <c r="C3042" t="s">
        <v>1010</v>
      </c>
      <c r="D3042">
        <v>39</v>
      </c>
      <c r="H3042">
        <v>16</v>
      </c>
      <c r="L3042">
        <v>24</v>
      </c>
      <c r="O3042" t="s">
        <v>3662</v>
      </c>
      <c r="P3042" s="1" t="b">
        <f>NOT(OR(Table1[[#This Row],[State]]="Other Foreign Countries", Table1[[#This Row],[State]]="Unknown", Table1[[#This Row],[State]]="Puerto Rico all counties"))</f>
        <v>1</v>
      </c>
    </row>
    <row r="3043" spans="1:16" x14ac:dyDescent="0.25">
      <c r="A3043">
        <v>48483</v>
      </c>
      <c r="B3043" t="s">
        <v>2654</v>
      </c>
      <c r="C3043" t="s">
        <v>1010</v>
      </c>
      <c r="D3043">
        <v>81</v>
      </c>
      <c r="E3043">
        <v>21</v>
      </c>
      <c r="H3043">
        <v>19</v>
      </c>
      <c r="I3043">
        <v>25</v>
      </c>
      <c r="J3043">
        <v>17</v>
      </c>
      <c r="K3043">
        <v>25</v>
      </c>
      <c r="L3043">
        <v>39</v>
      </c>
      <c r="O3043" t="s">
        <v>4465</v>
      </c>
      <c r="P3043" s="1" t="b">
        <f>NOT(OR(Table1[[#This Row],[State]]="Other Foreign Countries", Table1[[#This Row],[State]]="Unknown", Table1[[#This Row],[State]]="Puerto Rico all counties"))</f>
        <v>1</v>
      </c>
    </row>
    <row r="3044" spans="1:16" x14ac:dyDescent="0.25">
      <c r="A3044">
        <v>5145</v>
      </c>
      <c r="B3044" t="s">
        <v>242</v>
      </c>
      <c r="C3044" t="s">
        <v>368</v>
      </c>
      <c r="D3044">
        <v>2065</v>
      </c>
      <c r="E3044">
        <v>315</v>
      </c>
      <c r="F3044">
        <v>201</v>
      </c>
      <c r="G3044">
        <v>252</v>
      </c>
      <c r="H3044">
        <v>679</v>
      </c>
      <c r="I3044">
        <v>618</v>
      </c>
      <c r="J3044">
        <v>484</v>
      </c>
      <c r="K3044">
        <v>761</v>
      </c>
      <c r="L3044">
        <v>820</v>
      </c>
      <c r="M3044" s="1">
        <v>1848</v>
      </c>
      <c r="N3044">
        <v>217</v>
      </c>
      <c r="O3044" t="s">
        <v>369</v>
      </c>
      <c r="P3044" s="1" t="b">
        <f>NOT(OR(Table1[[#This Row],[State]]="Other Foreign Countries", Table1[[#This Row],[State]]="Unknown", Table1[[#This Row],[State]]="Puerto Rico all counties"))</f>
        <v>1</v>
      </c>
    </row>
    <row r="3045" spans="1:16" x14ac:dyDescent="0.25">
      <c r="A3045">
        <v>13311</v>
      </c>
      <c r="B3045" t="s">
        <v>754</v>
      </c>
      <c r="C3045" t="s">
        <v>368</v>
      </c>
      <c r="D3045">
        <v>695</v>
      </c>
      <c r="E3045">
        <v>158</v>
      </c>
      <c r="F3045">
        <v>70</v>
      </c>
      <c r="G3045">
        <v>85</v>
      </c>
      <c r="H3045">
        <v>199</v>
      </c>
      <c r="I3045">
        <v>183</v>
      </c>
      <c r="J3045">
        <v>128</v>
      </c>
      <c r="K3045">
        <v>207</v>
      </c>
      <c r="L3045">
        <v>360</v>
      </c>
      <c r="M3045">
        <v>643</v>
      </c>
      <c r="N3045">
        <v>52</v>
      </c>
      <c r="O3045" t="s">
        <v>1012</v>
      </c>
      <c r="P3045" s="1" t="b">
        <f>NOT(OR(Table1[[#This Row],[State]]="Other Foreign Countries", Table1[[#This Row],[State]]="Unknown", Table1[[#This Row],[State]]="Puerto Rico all counties"))</f>
        <v>1</v>
      </c>
    </row>
    <row r="3046" spans="1:16" x14ac:dyDescent="0.25">
      <c r="A3046">
        <v>17193</v>
      </c>
      <c r="B3046" t="s">
        <v>1109</v>
      </c>
      <c r="C3046" t="s">
        <v>368</v>
      </c>
      <c r="D3046">
        <v>240</v>
      </c>
      <c r="E3046">
        <v>53</v>
      </c>
      <c r="F3046">
        <v>24</v>
      </c>
      <c r="G3046">
        <v>25</v>
      </c>
      <c r="H3046">
        <v>66</v>
      </c>
      <c r="I3046">
        <v>72</v>
      </c>
      <c r="J3046">
        <v>52</v>
      </c>
      <c r="K3046">
        <v>52</v>
      </c>
      <c r="L3046">
        <v>136</v>
      </c>
      <c r="M3046">
        <v>223</v>
      </c>
      <c r="N3046">
        <v>17</v>
      </c>
      <c r="O3046" t="s">
        <v>1255</v>
      </c>
      <c r="P3046" s="1" t="b">
        <f>NOT(OR(Table1[[#This Row],[State]]="Other Foreign Countries", Table1[[#This Row],[State]]="Unknown", Table1[[#This Row],[State]]="Puerto Rico all counties"))</f>
        <v>1</v>
      </c>
    </row>
    <row r="3047" spans="1:16" x14ac:dyDescent="0.25">
      <c r="A3047">
        <v>18181</v>
      </c>
      <c r="B3047" t="s">
        <v>1266</v>
      </c>
      <c r="C3047" t="s">
        <v>368</v>
      </c>
      <c r="D3047">
        <v>519</v>
      </c>
      <c r="E3047">
        <v>161</v>
      </c>
      <c r="F3047">
        <v>61</v>
      </c>
      <c r="G3047">
        <v>63</v>
      </c>
      <c r="H3047">
        <v>133</v>
      </c>
      <c r="I3047">
        <v>101</v>
      </c>
      <c r="J3047">
        <v>98</v>
      </c>
      <c r="K3047">
        <v>150</v>
      </c>
      <c r="L3047">
        <v>271</v>
      </c>
      <c r="M3047">
        <v>483</v>
      </c>
      <c r="N3047">
        <v>36</v>
      </c>
      <c r="O3047" t="s">
        <v>1396</v>
      </c>
      <c r="P3047" s="1" t="b">
        <f>NOT(OR(Table1[[#This Row],[State]]="Other Foreign Countries", Table1[[#This Row],[State]]="Unknown", Table1[[#This Row],[State]]="Puerto Rico all counties"))</f>
        <v>1</v>
      </c>
    </row>
    <row r="3048" spans="1:16" x14ac:dyDescent="0.25">
      <c r="A3048">
        <v>47185</v>
      </c>
      <c r="B3048" t="s">
        <v>3951</v>
      </c>
      <c r="C3048" t="s">
        <v>368</v>
      </c>
      <c r="D3048">
        <v>695</v>
      </c>
      <c r="E3048">
        <v>128</v>
      </c>
      <c r="F3048">
        <v>69</v>
      </c>
      <c r="G3048">
        <v>73</v>
      </c>
      <c r="H3048">
        <v>199</v>
      </c>
      <c r="I3048">
        <v>226</v>
      </c>
      <c r="J3048">
        <v>189</v>
      </c>
      <c r="K3048">
        <v>216</v>
      </c>
      <c r="L3048">
        <v>290</v>
      </c>
      <c r="M3048">
        <v>628</v>
      </c>
      <c r="N3048">
        <v>67</v>
      </c>
      <c r="O3048" t="s">
        <v>4070</v>
      </c>
      <c r="P3048" s="1" t="b">
        <f>NOT(OR(Table1[[#This Row],[State]]="Other Foreign Countries", Table1[[#This Row],[State]]="Unknown", Table1[[#This Row],[State]]="Puerto Rico all counties"))</f>
        <v>1</v>
      </c>
    </row>
    <row r="3049" spans="1:16" x14ac:dyDescent="0.25">
      <c r="A3049">
        <v>32033</v>
      </c>
      <c r="B3049" t="s">
        <v>326</v>
      </c>
      <c r="C3049" t="s">
        <v>2916</v>
      </c>
      <c r="D3049">
        <v>158</v>
      </c>
      <c r="E3049">
        <v>35</v>
      </c>
      <c r="F3049">
        <v>32</v>
      </c>
      <c r="G3049">
        <v>19</v>
      </c>
      <c r="H3049">
        <v>41</v>
      </c>
      <c r="I3049">
        <v>31</v>
      </c>
      <c r="J3049">
        <v>38</v>
      </c>
      <c r="K3049">
        <v>52</v>
      </c>
      <c r="L3049">
        <v>68</v>
      </c>
      <c r="O3049" t="s">
        <v>2917</v>
      </c>
      <c r="P3049" s="1" t="b">
        <f>NOT(OR(Table1[[#This Row],[State]]="Other Foreign Countries", Table1[[#This Row],[State]]="Unknown", Table1[[#This Row],[State]]="Puerto Rico all counties"))</f>
        <v>1</v>
      </c>
    </row>
    <row r="3050" spans="1:16" x14ac:dyDescent="0.25">
      <c r="A3050">
        <v>17195</v>
      </c>
      <c r="B3050" t="s">
        <v>1109</v>
      </c>
      <c r="C3050" t="s">
        <v>1256</v>
      </c>
      <c r="D3050">
        <v>795</v>
      </c>
      <c r="E3050">
        <v>169</v>
      </c>
      <c r="F3050">
        <v>92</v>
      </c>
      <c r="G3050">
        <v>90</v>
      </c>
      <c r="H3050">
        <v>258</v>
      </c>
      <c r="I3050">
        <v>186</v>
      </c>
      <c r="J3050">
        <v>206</v>
      </c>
      <c r="K3050">
        <v>250</v>
      </c>
      <c r="L3050">
        <v>339</v>
      </c>
      <c r="M3050">
        <v>730</v>
      </c>
      <c r="N3050">
        <v>65</v>
      </c>
      <c r="O3050" t="s">
        <v>1257</v>
      </c>
      <c r="P3050" s="1" t="b">
        <f>NOT(OR(Table1[[#This Row],[State]]="Other Foreign Countries", Table1[[#This Row],[State]]="Unknown", Table1[[#This Row],[State]]="Puerto Rico all counties"))</f>
        <v>1</v>
      </c>
    </row>
    <row r="3051" spans="1:16" x14ac:dyDescent="0.25">
      <c r="A3051">
        <v>13313</v>
      </c>
      <c r="B3051" t="s">
        <v>754</v>
      </c>
      <c r="C3051" t="s">
        <v>1013</v>
      </c>
      <c r="D3051">
        <v>1125</v>
      </c>
      <c r="E3051">
        <v>268</v>
      </c>
      <c r="F3051">
        <v>115</v>
      </c>
      <c r="G3051">
        <v>166</v>
      </c>
      <c r="H3051">
        <v>310</v>
      </c>
      <c r="I3051">
        <v>266</v>
      </c>
      <c r="J3051">
        <v>342</v>
      </c>
      <c r="K3051">
        <v>278</v>
      </c>
      <c r="L3051">
        <v>505</v>
      </c>
      <c r="M3051" s="1">
        <v>1040</v>
      </c>
      <c r="N3051">
        <v>85</v>
      </c>
      <c r="O3051" t="s">
        <v>1014</v>
      </c>
      <c r="P3051" s="1" t="b">
        <f>NOT(OR(Table1[[#This Row],[State]]="Other Foreign Countries", Table1[[#This Row],[State]]="Unknown", Table1[[#This Row],[State]]="Puerto Rico all counties"))</f>
        <v>1</v>
      </c>
    </row>
    <row r="3052" spans="1:16" x14ac:dyDescent="0.25">
      <c r="A3052">
        <v>18183</v>
      </c>
      <c r="B3052" t="s">
        <v>1266</v>
      </c>
      <c r="C3052" t="s">
        <v>1397</v>
      </c>
      <c r="D3052">
        <v>716</v>
      </c>
      <c r="E3052">
        <v>254</v>
      </c>
      <c r="F3052">
        <v>108</v>
      </c>
      <c r="G3052">
        <v>84</v>
      </c>
      <c r="H3052">
        <v>169</v>
      </c>
      <c r="I3052">
        <v>101</v>
      </c>
      <c r="J3052">
        <v>158</v>
      </c>
      <c r="K3052">
        <v>212</v>
      </c>
      <c r="L3052">
        <v>346</v>
      </c>
      <c r="M3052">
        <v>667</v>
      </c>
      <c r="N3052">
        <v>49</v>
      </c>
      <c r="O3052" t="s">
        <v>1398</v>
      </c>
      <c r="P3052" s="1" t="b">
        <f>NOT(OR(Table1[[#This Row],[State]]="Other Foreign Countries", Table1[[#This Row],[State]]="Unknown", Table1[[#This Row],[State]]="Puerto Rico all counties"))</f>
        <v>1</v>
      </c>
    </row>
    <row r="3053" spans="1:16" x14ac:dyDescent="0.25">
      <c r="A3053">
        <v>21235</v>
      </c>
      <c r="B3053" t="s">
        <v>1716</v>
      </c>
      <c r="C3053" t="s">
        <v>1397</v>
      </c>
      <c r="D3053">
        <v>632</v>
      </c>
      <c r="E3053">
        <v>87</v>
      </c>
      <c r="F3053">
        <v>63</v>
      </c>
      <c r="G3053">
        <v>75</v>
      </c>
      <c r="H3053">
        <v>215</v>
      </c>
      <c r="I3053">
        <v>192</v>
      </c>
      <c r="J3053">
        <v>145</v>
      </c>
      <c r="K3053">
        <v>192</v>
      </c>
      <c r="L3053">
        <v>295</v>
      </c>
      <c r="M3053">
        <v>596</v>
      </c>
      <c r="N3053">
        <v>36</v>
      </c>
      <c r="O3053" t="s">
        <v>1888</v>
      </c>
      <c r="P3053" s="1" t="b">
        <f>NOT(OR(Table1[[#This Row],[State]]="Other Foreign Countries", Table1[[#This Row],[State]]="Unknown", Table1[[#This Row],[State]]="Puerto Rico all counties"))</f>
        <v>1</v>
      </c>
    </row>
    <row r="3054" spans="1:16" x14ac:dyDescent="0.25">
      <c r="A3054">
        <v>53075</v>
      </c>
      <c r="B3054" t="s">
        <v>144</v>
      </c>
      <c r="C3054" t="s">
        <v>4829</v>
      </c>
      <c r="D3054">
        <v>669</v>
      </c>
      <c r="E3054">
        <v>163</v>
      </c>
      <c r="F3054">
        <v>74</v>
      </c>
      <c r="G3054">
        <v>78</v>
      </c>
      <c r="H3054">
        <v>204</v>
      </c>
      <c r="I3054">
        <v>150</v>
      </c>
      <c r="J3054">
        <v>242</v>
      </c>
      <c r="K3054">
        <v>194</v>
      </c>
      <c r="L3054">
        <v>233</v>
      </c>
      <c r="M3054">
        <v>586</v>
      </c>
      <c r="N3054">
        <v>82</v>
      </c>
      <c r="O3054" t="s">
        <v>4830</v>
      </c>
      <c r="P3054" s="1" t="b">
        <f>NOT(OR(Table1[[#This Row],[State]]="Other Foreign Countries", Table1[[#This Row],[State]]="Unknown", Table1[[#This Row],[State]]="Puerto Rico all counties"))</f>
        <v>1</v>
      </c>
    </row>
    <row r="3055" spans="1:16" x14ac:dyDescent="0.25">
      <c r="A3055">
        <v>30109</v>
      </c>
      <c r="B3055" t="s">
        <v>2665</v>
      </c>
      <c r="C3055" t="s">
        <v>2754</v>
      </c>
      <c r="D3055">
        <v>11</v>
      </c>
      <c r="O3055" t="s">
        <v>2755</v>
      </c>
      <c r="P3055" s="1" t="b">
        <f>NOT(OR(Table1[[#This Row],[State]]="Other Foreign Countries", Table1[[#This Row],[State]]="Unknown", Table1[[#This Row],[State]]="Puerto Rico all counties"))</f>
        <v>1</v>
      </c>
    </row>
    <row r="3056" spans="1:16" x14ac:dyDescent="0.25">
      <c r="A3056">
        <v>20203</v>
      </c>
      <c r="B3056" t="s">
        <v>1543</v>
      </c>
      <c r="C3056" t="s">
        <v>1708</v>
      </c>
      <c r="D3056">
        <v>13</v>
      </c>
      <c r="O3056" t="s">
        <v>1709</v>
      </c>
      <c r="P3056" s="1" t="b">
        <f>NOT(OR(Table1[[#This Row],[State]]="Other Foreign Countries", Table1[[#This Row],[State]]="Unknown", Table1[[#This Row],[State]]="Puerto Rico all counties"))</f>
        <v>1</v>
      </c>
    </row>
    <row r="3057" spans="1:16" x14ac:dyDescent="0.25">
      <c r="A3057">
        <v>48485</v>
      </c>
      <c r="B3057" t="s">
        <v>2654</v>
      </c>
      <c r="C3057" t="s">
        <v>1708</v>
      </c>
      <c r="D3057">
        <v>5379</v>
      </c>
      <c r="E3057">
        <v>867</v>
      </c>
      <c r="F3057">
        <v>536</v>
      </c>
      <c r="G3057">
        <v>621</v>
      </c>
      <c r="H3057" s="1">
        <v>1582</v>
      </c>
      <c r="I3057" s="1">
        <v>1773</v>
      </c>
      <c r="J3057" s="1">
        <v>1584</v>
      </c>
      <c r="K3057" s="1">
        <v>1972</v>
      </c>
      <c r="L3057" s="1">
        <v>1823</v>
      </c>
      <c r="M3057" s="1">
        <v>4618</v>
      </c>
      <c r="N3057">
        <v>761</v>
      </c>
      <c r="O3057" t="s">
        <v>4466</v>
      </c>
      <c r="P3057" s="1" t="b">
        <f>NOT(OR(Table1[[#This Row],[State]]="Other Foreign Countries", Table1[[#This Row],[State]]="Unknown", Table1[[#This Row],[State]]="Puerto Rico all counties"))</f>
        <v>1</v>
      </c>
    </row>
    <row r="3058" spans="1:16" x14ac:dyDescent="0.25">
      <c r="A3058">
        <v>24045</v>
      </c>
      <c r="B3058" t="s">
        <v>2031</v>
      </c>
      <c r="C3058" t="s">
        <v>2067</v>
      </c>
      <c r="D3058">
        <v>1603</v>
      </c>
      <c r="E3058">
        <v>272</v>
      </c>
      <c r="F3058">
        <v>170</v>
      </c>
      <c r="G3058">
        <v>206</v>
      </c>
      <c r="H3058">
        <v>507</v>
      </c>
      <c r="I3058">
        <v>448</v>
      </c>
      <c r="J3058">
        <v>424</v>
      </c>
      <c r="K3058">
        <v>520</v>
      </c>
      <c r="L3058">
        <v>659</v>
      </c>
      <c r="M3058" s="1">
        <v>1386</v>
      </c>
      <c r="N3058">
        <v>217</v>
      </c>
      <c r="O3058" t="s">
        <v>2068</v>
      </c>
      <c r="P3058" s="1" t="b">
        <f>NOT(OR(Table1[[#This Row],[State]]="Other Foreign Countries", Table1[[#This Row],[State]]="Unknown", Table1[[#This Row],[State]]="Puerto Rico all counties"))</f>
        <v>1</v>
      </c>
    </row>
    <row r="3059" spans="1:16" x14ac:dyDescent="0.25">
      <c r="A3059">
        <v>48487</v>
      </c>
      <c r="B3059" t="s">
        <v>2654</v>
      </c>
      <c r="C3059" t="s">
        <v>4467</v>
      </c>
      <c r="D3059">
        <v>249</v>
      </c>
      <c r="E3059">
        <v>55</v>
      </c>
      <c r="F3059">
        <v>22</v>
      </c>
      <c r="G3059">
        <v>21</v>
      </c>
      <c r="H3059">
        <v>80</v>
      </c>
      <c r="I3059">
        <v>71</v>
      </c>
      <c r="J3059">
        <v>46</v>
      </c>
      <c r="K3059">
        <v>81</v>
      </c>
      <c r="L3059">
        <v>122</v>
      </c>
      <c r="M3059">
        <v>224</v>
      </c>
      <c r="N3059">
        <v>25</v>
      </c>
      <c r="O3059" t="s">
        <v>4468</v>
      </c>
      <c r="P3059" s="1" t="b">
        <f>NOT(OR(Table1[[#This Row],[State]]="Other Foreign Countries", Table1[[#This Row],[State]]="Unknown", Table1[[#This Row],[State]]="Puerto Rico all counties"))</f>
        <v>1</v>
      </c>
    </row>
    <row r="3060" spans="1:16" x14ac:dyDescent="0.25">
      <c r="A3060">
        <v>1131</v>
      </c>
      <c r="B3060" t="s">
        <v>15</v>
      </c>
      <c r="C3060" t="s">
        <v>146</v>
      </c>
      <c r="D3060">
        <v>179</v>
      </c>
      <c r="E3060">
        <v>30</v>
      </c>
      <c r="F3060">
        <v>24</v>
      </c>
      <c r="G3060">
        <v>23</v>
      </c>
      <c r="H3060">
        <v>53</v>
      </c>
      <c r="I3060">
        <v>49</v>
      </c>
      <c r="J3060">
        <v>30</v>
      </c>
      <c r="K3060">
        <v>69</v>
      </c>
      <c r="L3060">
        <v>80</v>
      </c>
      <c r="M3060">
        <v>155</v>
      </c>
      <c r="N3060">
        <v>24</v>
      </c>
      <c r="O3060" t="s">
        <v>147</v>
      </c>
      <c r="P3060" s="1" t="b">
        <f>NOT(OR(Table1[[#This Row],[State]]="Other Foreign Countries", Table1[[#This Row],[State]]="Unknown", Table1[[#This Row],[State]]="Puerto Rico all counties"))</f>
        <v>1</v>
      </c>
    </row>
    <row r="3061" spans="1:16" x14ac:dyDescent="0.25">
      <c r="A3061">
        <v>13315</v>
      </c>
      <c r="B3061" t="s">
        <v>754</v>
      </c>
      <c r="C3061" t="s">
        <v>146</v>
      </c>
      <c r="D3061">
        <v>125</v>
      </c>
      <c r="E3061">
        <v>23</v>
      </c>
      <c r="F3061">
        <v>13</v>
      </c>
      <c r="G3061">
        <v>12</v>
      </c>
      <c r="H3061">
        <v>44</v>
      </c>
      <c r="I3061">
        <v>33</v>
      </c>
      <c r="J3061">
        <v>24</v>
      </c>
      <c r="K3061">
        <v>42</v>
      </c>
      <c r="L3061">
        <v>59</v>
      </c>
      <c r="M3061">
        <v>113</v>
      </c>
      <c r="N3061">
        <v>12</v>
      </c>
      <c r="O3061" t="s">
        <v>1015</v>
      </c>
      <c r="P3061" s="1" t="b">
        <f>NOT(OR(Table1[[#This Row],[State]]="Other Foreign Countries", Table1[[#This Row],[State]]="Unknown", Table1[[#This Row],[State]]="Puerto Rico all counties"))</f>
        <v>1</v>
      </c>
    </row>
    <row r="3062" spans="1:16" x14ac:dyDescent="0.25">
      <c r="A3062">
        <v>13317</v>
      </c>
      <c r="B3062" t="s">
        <v>754</v>
      </c>
      <c r="C3062" t="s">
        <v>1016</v>
      </c>
      <c r="D3062">
        <v>242</v>
      </c>
      <c r="E3062">
        <v>37</v>
      </c>
      <c r="F3062">
        <v>37</v>
      </c>
      <c r="G3062">
        <v>30</v>
      </c>
      <c r="H3062">
        <v>66</v>
      </c>
      <c r="I3062">
        <v>72</v>
      </c>
      <c r="J3062">
        <v>56</v>
      </c>
      <c r="K3062">
        <v>71</v>
      </c>
      <c r="L3062">
        <v>115</v>
      </c>
      <c r="M3062">
        <v>215</v>
      </c>
      <c r="N3062">
        <v>27</v>
      </c>
      <c r="O3062" t="s">
        <v>1017</v>
      </c>
      <c r="P3062" s="1" t="b">
        <f>NOT(OR(Table1[[#This Row],[State]]="Other Foreign Countries", Table1[[#This Row],[State]]="Unknown", Table1[[#This Row],[State]]="Puerto Rico all counties"))</f>
        <v>1</v>
      </c>
    </row>
    <row r="3063" spans="1:16" x14ac:dyDescent="0.25">
      <c r="A3063">
        <v>37193</v>
      </c>
      <c r="B3063" t="s">
        <v>3121</v>
      </c>
      <c r="C3063" t="s">
        <v>1016</v>
      </c>
      <c r="D3063">
        <v>1200</v>
      </c>
      <c r="E3063">
        <v>230</v>
      </c>
      <c r="F3063">
        <v>124</v>
      </c>
      <c r="G3063">
        <v>169</v>
      </c>
      <c r="H3063">
        <v>352</v>
      </c>
      <c r="I3063">
        <v>325</v>
      </c>
      <c r="J3063">
        <v>291</v>
      </c>
      <c r="K3063">
        <v>316</v>
      </c>
      <c r="L3063">
        <v>593</v>
      </c>
      <c r="M3063" s="1">
        <v>1095</v>
      </c>
      <c r="N3063">
        <v>105</v>
      </c>
      <c r="O3063" t="s">
        <v>3280</v>
      </c>
      <c r="P3063" s="1" t="b">
        <f>NOT(OR(Table1[[#This Row],[State]]="Other Foreign Countries", Table1[[#This Row],[State]]="Unknown", Table1[[#This Row],[State]]="Puerto Rico all counties"))</f>
        <v>1</v>
      </c>
    </row>
    <row r="3064" spans="1:16" x14ac:dyDescent="0.25">
      <c r="A3064">
        <v>27167</v>
      </c>
      <c r="B3064" t="s">
        <v>2245</v>
      </c>
      <c r="C3064" t="s">
        <v>2387</v>
      </c>
      <c r="D3064">
        <v>113</v>
      </c>
      <c r="E3064">
        <v>42</v>
      </c>
      <c r="F3064">
        <v>18</v>
      </c>
      <c r="G3064">
        <v>16</v>
      </c>
      <c r="H3064">
        <v>25</v>
      </c>
      <c r="I3064">
        <v>12</v>
      </c>
      <c r="J3064">
        <v>22</v>
      </c>
      <c r="K3064">
        <v>33</v>
      </c>
      <c r="L3064">
        <v>58</v>
      </c>
      <c r="O3064" t="s">
        <v>2388</v>
      </c>
      <c r="P3064" s="1" t="b">
        <f>NOT(OR(Table1[[#This Row],[State]]="Other Foreign Countries", Table1[[#This Row],[State]]="Unknown", Table1[[#This Row],[State]]="Puerto Rico all counties"))</f>
        <v>1</v>
      </c>
    </row>
    <row r="3065" spans="1:16" x14ac:dyDescent="0.25">
      <c r="A3065">
        <v>13319</v>
      </c>
      <c r="B3065" t="s">
        <v>754</v>
      </c>
      <c r="C3065" t="s">
        <v>1018</v>
      </c>
      <c r="D3065">
        <v>227</v>
      </c>
      <c r="E3065">
        <v>33</v>
      </c>
      <c r="F3065">
        <v>21</v>
      </c>
      <c r="G3065">
        <v>29</v>
      </c>
      <c r="H3065">
        <v>78</v>
      </c>
      <c r="I3065">
        <v>66</v>
      </c>
      <c r="J3065">
        <v>51</v>
      </c>
      <c r="K3065">
        <v>81</v>
      </c>
      <c r="L3065">
        <v>95</v>
      </c>
      <c r="M3065">
        <v>202</v>
      </c>
      <c r="N3065">
        <v>25</v>
      </c>
      <c r="O3065" t="s">
        <v>1019</v>
      </c>
      <c r="P3065" s="1" t="b">
        <f>NOT(OR(Table1[[#This Row],[State]]="Other Foreign Countries", Table1[[#This Row],[State]]="Unknown", Table1[[#This Row],[State]]="Puerto Rico all counties"))</f>
        <v>1</v>
      </c>
    </row>
    <row r="3066" spans="1:16" x14ac:dyDescent="0.25">
      <c r="A3066">
        <v>28157</v>
      </c>
      <c r="B3066" t="s">
        <v>322</v>
      </c>
      <c r="C3066" t="s">
        <v>1018</v>
      </c>
      <c r="D3066">
        <v>88</v>
      </c>
      <c r="E3066">
        <v>20</v>
      </c>
      <c r="H3066">
        <v>25</v>
      </c>
      <c r="I3066">
        <v>30</v>
      </c>
      <c r="J3066">
        <v>15</v>
      </c>
      <c r="K3066">
        <v>33</v>
      </c>
      <c r="L3066">
        <v>40</v>
      </c>
      <c r="O3066" t="s">
        <v>2504</v>
      </c>
      <c r="P3066" s="1" t="b">
        <f>NOT(OR(Table1[[#This Row],[State]]="Other Foreign Countries", Table1[[#This Row],[State]]="Unknown", Table1[[#This Row],[State]]="Puerto Rico all counties"))</f>
        <v>1</v>
      </c>
    </row>
    <row r="3067" spans="1:16" x14ac:dyDescent="0.25">
      <c r="A3067">
        <v>17197</v>
      </c>
      <c r="B3067" t="s">
        <v>1109</v>
      </c>
      <c r="C3067" t="s">
        <v>1258</v>
      </c>
      <c r="D3067">
        <v>7061</v>
      </c>
      <c r="E3067" s="1">
        <v>1231</v>
      </c>
      <c r="F3067">
        <v>685</v>
      </c>
      <c r="G3067">
        <v>777</v>
      </c>
      <c r="H3067" s="1">
        <v>2302</v>
      </c>
      <c r="I3067" s="1">
        <v>2066</v>
      </c>
      <c r="J3067" s="1">
        <v>2279</v>
      </c>
      <c r="K3067" s="1">
        <v>2231</v>
      </c>
      <c r="L3067" s="1">
        <v>2551</v>
      </c>
      <c r="M3067" s="1">
        <v>6287</v>
      </c>
      <c r="N3067">
        <v>774</v>
      </c>
      <c r="O3067" t="s">
        <v>1259</v>
      </c>
      <c r="P3067" s="1" t="b">
        <f>NOT(OR(Table1[[#This Row],[State]]="Other Foreign Countries", Table1[[#This Row],[State]]="Unknown", Table1[[#This Row],[State]]="Puerto Rico all counties"))</f>
        <v>1</v>
      </c>
    </row>
    <row r="3068" spans="1:16" x14ac:dyDescent="0.25">
      <c r="A3068">
        <v>48489</v>
      </c>
      <c r="B3068" t="s">
        <v>2654</v>
      </c>
      <c r="C3068" t="s">
        <v>4469</v>
      </c>
      <c r="D3068">
        <v>325</v>
      </c>
      <c r="E3068">
        <v>57</v>
      </c>
      <c r="F3068">
        <v>23</v>
      </c>
      <c r="G3068">
        <v>38</v>
      </c>
      <c r="H3068">
        <v>104</v>
      </c>
      <c r="I3068">
        <v>103</v>
      </c>
      <c r="J3068">
        <v>76</v>
      </c>
      <c r="K3068">
        <v>94</v>
      </c>
      <c r="L3068">
        <v>155</v>
      </c>
      <c r="M3068">
        <v>302</v>
      </c>
      <c r="N3068">
        <v>23</v>
      </c>
      <c r="O3068" t="s">
        <v>4470</v>
      </c>
      <c r="P3068" s="1" t="b">
        <f>NOT(OR(Table1[[#This Row],[State]]="Other Foreign Countries", Table1[[#This Row],[State]]="Unknown", Table1[[#This Row],[State]]="Puerto Rico all counties"))</f>
        <v>1</v>
      </c>
    </row>
    <row r="3069" spans="1:16" x14ac:dyDescent="0.25">
      <c r="A3069">
        <v>38105</v>
      </c>
      <c r="B3069" t="s">
        <v>3286</v>
      </c>
      <c r="C3069" t="s">
        <v>3369</v>
      </c>
      <c r="D3069">
        <v>608</v>
      </c>
      <c r="E3069">
        <v>149</v>
      </c>
      <c r="F3069">
        <v>69</v>
      </c>
      <c r="G3069">
        <v>91</v>
      </c>
      <c r="H3069">
        <v>188</v>
      </c>
      <c r="I3069">
        <v>111</v>
      </c>
      <c r="J3069">
        <v>237</v>
      </c>
      <c r="K3069">
        <v>218</v>
      </c>
      <c r="L3069">
        <v>153</v>
      </c>
      <c r="M3069">
        <v>551</v>
      </c>
      <c r="N3069">
        <v>57</v>
      </c>
      <c r="O3069" t="s">
        <v>3370</v>
      </c>
      <c r="P3069" s="1" t="b">
        <f>NOT(OR(Table1[[#This Row],[State]]="Other Foreign Countries", Table1[[#This Row],[State]]="Unknown", Table1[[#This Row],[State]]="Puerto Rico all counties"))</f>
        <v>1</v>
      </c>
    </row>
    <row r="3070" spans="1:16" x14ac:dyDescent="0.25">
      <c r="A3070">
        <v>39171</v>
      </c>
      <c r="B3070" t="s">
        <v>1343</v>
      </c>
      <c r="C3070" t="s">
        <v>3369</v>
      </c>
      <c r="D3070">
        <v>704</v>
      </c>
      <c r="E3070">
        <v>214</v>
      </c>
      <c r="F3070">
        <v>106</v>
      </c>
      <c r="G3070">
        <v>76</v>
      </c>
      <c r="H3070">
        <v>162</v>
      </c>
      <c r="I3070">
        <v>146</v>
      </c>
      <c r="J3070">
        <v>177</v>
      </c>
      <c r="K3070">
        <v>204</v>
      </c>
      <c r="L3070">
        <v>323</v>
      </c>
      <c r="M3070">
        <v>648</v>
      </c>
      <c r="N3070">
        <v>56</v>
      </c>
      <c r="O3070" t="s">
        <v>3490</v>
      </c>
      <c r="P3070" s="1" t="b">
        <f>NOT(OR(Table1[[#This Row],[State]]="Other Foreign Countries", Table1[[#This Row],[State]]="Unknown", Table1[[#This Row],[State]]="Puerto Rico all counties"))</f>
        <v>1</v>
      </c>
    </row>
    <row r="3071" spans="1:16" x14ac:dyDescent="0.25">
      <c r="A3071">
        <v>45089</v>
      </c>
      <c r="B3071" t="s">
        <v>3772</v>
      </c>
      <c r="C3071" t="s">
        <v>3843</v>
      </c>
      <c r="D3071">
        <v>830</v>
      </c>
      <c r="E3071">
        <v>138</v>
      </c>
      <c r="F3071">
        <v>64</v>
      </c>
      <c r="G3071">
        <v>109</v>
      </c>
      <c r="H3071">
        <v>262</v>
      </c>
      <c r="I3071">
        <v>257</v>
      </c>
      <c r="J3071">
        <v>161</v>
      </c>
      <c r="K3071">
        <v>282</v>
      </c>
      <c r="L3071">
        <v>387</v>
      </c>
      <c r="M3071">
        <v>734</v>
      </c>
      <c r="N3071">
        <v>96</v>
      </c>
      <c r="O3071" t="s">
        <v>3844</v>
      </c>
      <c r="P3071" s="1" t="b">
        <f>NOT(OR(Table1[[#This Row],[State]]="Other Foreign Countries", Table1[[#This Row],[State]]="Unknown", Table1[[#This Row],[State]]="Puerto Rico all counties"))</f>
        <v>1</v>
      </c>
    </row>
    <row r="3072" spans="1:16" x14ac:dyDescent="0.25">
      <c r="A3072">
        <v>51830</v>
      </c>
      <c r="B3072" t="s">
        <v>4555</v>
      </c>
      <c r="C3072" t="s">
        <v>4768</v>
      </c>
      <c r="D3072">
        <v>375</v>
      </c>
      <c r="E3072">
        <v>51</v>
      </c>
      <c r="F3072">
        <v>37</v>
      </c>
      <c r="G3072">
        <v>50</v>
      </c>
      <c r="H3072">
        <v>117</v>
      </c>
      <c r="I3072">
        <v>120</v>
      </c>
      <c r="J3072">
        <v>108</v>
      </c>
      <c r="K3072">
        <v>134</v>
      </c>
      <c r="L3072">
        <v>133</v>
      </c>
      <c r="M3072">
        <v>308</v>
      </c>
      <c r="N3072">
        <v>67</v>
      </c>
      <c r="O3072" t="s">
        <v>4769</v>
      </c>
      <c r="P3072" s="1" t="b">
        <f>NOT(OR(Table1[[#This Row],[State]]="Other Foreign Countries", Table1[[#This Row],[State]]="Unknown", Table1[[#This Row],[State]]="Puerto Rico all counties"))</f>
        <v>1</v>
      </c>
    </row>
    <row r="3073" spans="1:16" x14ac:dyDescent="0.25">
      <c r="A3073">
        <v>17199</v>
      </c>
      <c r="B3073" t="s">
        <v>1109</v>
      </c>
      <c r="C3073" t="s">
        <v>1260</v>
      </c>
      <c r="D3073">
        <v>1841</v>
      </c>
      <c r="E3073">
        <v>403</v>
      </c>
      <c r="F3073">
        <v>205</v>
      </c>
      <c r="G3073">
        <v>218</v>
      </c>
      <c r="H3073">
        <v>558</v>
      </c>
      <c r="I3073">
        <v>457</v>
      </c>
      <c r="J3073">
        <v>523</v>
      </c>
      <c r="K3073">
        <v>594</v>
      </c>
      <c r="L3073">
        <v>724</v>
      </c>
      <c r="M3073" s="1">
        <v>1664</v>
      </c>
      <c r="N3073">
        <v>177</v>
      </c>
      <c r="O3073" t="s">
        <v>1261</v>
      </c>
      <c r="P3073" s="1" t="b">
        <f>NOT(OR(Table1[[#This Row],[State]]="Other Foreign Countries", Table1[[#This Row],[State]]="Unknown", Table1[[#This Row],[State]]="Puerto Rico all counties"))</f>
        <v>1</v>
      </c>
    </row>
    <row r="3074" spans="1:16" x14ac:dyDescent="0.25">
      <c r="A3074">
        <v>47187</v>
      </c>
      <c r="B3074" t="s">
        <v>3951</v>
      </c>
      <c r="C3074" t="s">
        <v>1260</v>
      </c>
      <c r="D3074">
        <v>3109</v>
      </c>
      <c r="E3074">
        <v>659</v>
      </c>
      <c r="F3074">
        <v>371</v>
      </c>
      <c r="G3074">
        <v>366</v>
      </c>
      <c r="H3074">
        <v>883</v>
      </c>
      <c r="I3074">
        <v>830</v>
      </c>
      <c r="J3074">
        <v>868</v>
      </c>
      <c r="K3074" s="1">
        <v>1171</v>
      </c>
      <c r="L3074" s="1">
        <v>1070</v>
      </c>
      <c r="M3074" s="1">
        <v>2802</v>
      </c>
      <c r="N3074">
        <v>305</v>
      </c>
      <c r="O3074" t="s">
        <v>4071</v>
      </c>
      <c r="P3074" s="1" t="b">
        <f>NOT(OR(Table1[[#This Row],[State]]="Other Foreign Countries", Table1[[#This Row],[State]]="Unknown", Table1[[#This Row],[State]]="Puerto Rico all counties"))</f>
        <v>1</v>
      </c>
    </row>
    <row r="3075" spans="1:16" x14ac:dyDescent="0.25">
      <c r="A3075">
        <v>48491</v>
      </c>
      <c r="B3075" t="s">
        <v>2654</v>
      </c>
      <c r="C3075" t="s">
        <v>1260</v>
      </c>
      <c r="D3075">
        <v>17801</v>
      </c>
      <c r="E3075" s="1">
        <v>2561</v>
      </c>
      <c r="F3075" s="1">
        <v>1655</v>
      </c>
      <c r="G3075" s="1">
        <v>1857</v>
      </c>
      <c r="H3075" s="1">
        <v>5513</v>
      </c>
      <c r="I3075" s="1">
        <v>6215</v>
      </c>
      <c r="J3075" s="1">
        <v>7255</v>
      </c>
      <c r="K3075" s="1">
        <v>6178</v>
      </c>
      <c r="L3075" s="1">
        <v>4368</v>
      </c>
      <c r="M3075" s="1">
        <v>15003</v>
      </c>
      <c r="N3075" s="1">
        <v>2795</v>
      </c>
      <c r="O3075" t="s">
        <v>4471</v>
      </c>
      <c r="P3075" s="1" t="b">
        <f>NOT(OR(Table1[[#This Row],[State]]="Other Foreign Countries", Table1[[#This Row],[State]]="Unknown", Table1[[#This Row],[State]]="Puerto Rico all counties"))</f>
        <v>1</v>
      </c>
    </row>
    <row r="3076" spans="1:16" x14ac:dyDescent="0.25">
      <c r="A3076">
        <v>20205</v>
      </c>
      <c r="B3076" t="s">
        <v>1543</v>
      </c>
      <c r="C3076" t="s">
        <v>1710</v>
      </c>
      <c r="D3076">
        <v>147</v>
      </c>
      <c r="E3076">
        <v>32</v>
      </c>
      <c r="F3076">
        <v>22</v>
      </c>
      <c r="G3076">
        <v>20</v>
      </c>
      <c r="H3076">
        <v>39</v>
      </c>
      <c r="I3076">
        <v>34</v>
      </c>
      <c r="J3076">
        <v>31</v>
      </c>
      <c r="K3076">
        <v>44</v>
      </c>
      <c r="L3076">
        <v>72</v>
      </c>
      <c r="O3076" t="s">
        <v>1711</v>
      </c>
      <c r="P3076" s="1" t="b">
        <f>NOT(OR(Table1[[#This Row],[State]]="Other Foreign Countries", Table1[[#This Row],[State]]="Unknown", Table1[[#This Row],[State]]="Puerto Rico all counties"))</f>
        <v>1</v>
      </c>
    </row>
    <row r="3077" spans="1:16" x14ac:dyDescent="0.25">
      <c r="A3077">
        <v>37195</v>
      </c>
      <c r="B3077" t="s">
        <v>3121</v>
      </c>
      <c r="C3077" t="s">
        <v>1710</v>
      </c>
      <c r="D3077">
        <v>1812</v>
      </c>
      <c r="E3077">
        <v>263</v>
      </c>
      <c r="F3077">
        <v>146</v>
      </c>
      <c r="G3077">
        <v>194</v>
      </c>
      <c r="H3077">
        <v>603</v>
      </c>
      <c r="I3077">
        <v>606</v>
      </c>
      <c r="J3077">
        <v>384</v>
      </c>
      <c r="K3077">
        <v>597</v>
      </c>
      <c r="L3077">
        <v>831</v>
      </c>
      <c r="M3077" s="1">
        <v>1598</v>
      </c>
      <c r="N3077">
        <v>214</v>
      </c>
      <c r="O3077" t="s">
        <v>3281</v>
      </c>
      <c r="P3077" s="1" t="b">
        <f>NOT(OR(Table1[[#This Row],[State]]="Other Foreign Countries", Table1[[#This Row],[State]]="Unknown", Table1[[#This Row],[State]]="Puerto Rico all counties"))</f>
        <v>1</v>
      </c>
    </row>
    <row r="3078" spans="1:16" x14ac:dyDescent="0.25">
      <c r="A3078">
        <v>47189</v>
      </c>
      <c r="B3078" t="s">
        <v>3951</v>
      </c>
      <c r="C3078" t="s">
        <v>1710</v>
      </c>
      <c r="D3078">
        <v>3624</v>
      </c>
      <c r="E3078">
        <v>717</v>
      </c>
      <c r="F3078">
        <v>328</v>
      </c>
      <c r="G3078">
        <v>385</v>
      </c>
      <c r="H3078" s="1">
        <v>1130</v>
      </c>
      <c r="I3078" s="1">
        <v>1064</v>
      </c>
      <c r="J3078" s="1">
        <v>1107</v>
      </c>
      <c r="K3078" s="1">
        <v>1215</v>
      </c>
      <c r="L3078" s="1">
        <v>1302</v>
      </c>
      <c r="M3078" s="1">
        <v>3222</v>
      </c>
      <c r="N3078">
        <v>402</v>
      </c>
      <c r="O3078" t="s">
        <v>4072</v>
      </c>
      <c r="P3078" s="1" t="b">
        <f>NOT(OR(Table1[[#This Row],[State]]="Other Foreign Countries", Table1[[#This Row],[State]]="Unknown", Table1[[#This Row],[State]]="Puerto Rico all counties"))</f>
        <v>1</v>
      </c>
    </row>
    <row r="3079" spans="1:16" x14ac:dyDescent="0.25">
      <c r="A3079">
        <v>48493</v>
      </c>
      <c r="B3079" t="s">
        <v>2654</v>
      </c>
      <c r="C3079" t="s">
        <v>1710</v>
      </c>
      <c r="D3079">
        <v>3524</v>
      </c>
      <c r="E3079">
        <v>427</v>
      </c>
      <c r="F3079">
        <v>248</v>
      </c>
      <c r="G3079">
        <v>281</v>
      </c>
      <c r="H3079">
        <v>960</v>
      </c>
      <c r="I3079" s="1">
        <v>1608</v>
      </c>
      <c r="J3079">
        <v>800</v>
      </c>
      <c r="K3079" s="1">
        <v>1637</v>
      </c>
      <c r="L3079" s="1">
        <v>1087</v>
      </c>
      <c r="M3079" s="1">
        <v>2931</v>
      </c>
      <c r="N3079">
        <v>593</v>
      </c>
      <c r="O3079" t="s">
        <v>4472</v>
      </c>
      <c r="P3079" s="1" t="b">
        <f>NOT(OR(Table1[[#This Row],[State]]="Other Foreign Countries", Table1[[#This Row],[State]]="Unknown", Table1[[#This Row],[State]]="Puerto Rico all counties"))</f>
        <v>1</v>
      </c>
    </row>
    <row r="3080" spans="1:16" x14ac:dyDescent="0.25">
      <c r="A3080">
        <v>51840</v>
      </c>
      <c r="B3080" t="s">
        <v>4555</v>
      </c>
      <c r="C3080" t="s">
        <v>4770</v>
      </c>
      <c r="D3080">
        <v>328</v>
      </c>
      <c r="E3080">
        <v>75</v>
      </c>
      <c r="F3080">
        <v>38</v>
      </c>
      <c r="G3080">
        <v>42</v>
      </c>
      <c r="H3080">
        <v>108</v>
      </c>
      <c r="I3080">
        <v>65</v>
      </c>
      <c r="J3080">
        <v>86</v>
      </c>
      <c r="K3080">
        <v>105</v>
      </c>
      <c r="L3080">
        <v>137</v>
      </c>
      <c r="M3080">
        <v>294</v>
      </c>
      <c r="N3080">
        <v>34</v>
      </c>
      <c r="O3080" t="s">
        <v>4771</v>
      </c>
      <c r="P3080" s="1" t="b">
        <f>NOT(OR(Table1[[#This Row],[State]]="Other Foreign Countries", Table1[[#This Row],[State]]="Unknown", Table1[[#This Row],[State]]="Puerto Rico all counties"))</f>
        <v>1</v>
      </c>
    </row>
    <row r="3081" spans="1:16" x14ac:dyDescent="0.25">
      <c r="A3081">
        <v>50025</v>
      </c>
      <c r="B3081" t="s">
        <v>4531</v>
      </c>
      <c r="C3081" t="s">
        <v>4551</v>
      </c>
      <c r="D3081">
        <v>539</v>
      </c>
      <c r="E3081">
        <v>123</v>
      </c>
      <c r="F3081">
        <v>70</v>
      </c>
      <c r="G3081">
        <v>68</v>
      </c>
      <c r="H3081">
        <v>164</v>
      </c>
      <c r="I3081">
        <v>114</v>
      </c>
      <c r="J3081">
        <v>118</v>
      </c>
      <c r="K3081">
        <v>154</v>
      </c>
      <c r="L3081">
        <v>267</v>
      </c>
      <c r="M3081">
        <v>490</v>
      </c>
      <c r="N3081">
        <v>49</v>
      </c>
      <c r="O3081" t="s">
        <v>4552</v>
      </c>
      <c r="P3081" s="1" t="b">
        <f>NOT(OR(Table1[[#This Row],[State]]="Other Foreign Countries", Table1[[#This Row],[State]]="Unknown", Table1[[#This Row],[State]]="Puerto Rico all counties"))</f>
        <v>1</v>
      </c>
    </row>
    <row r="3082" spans="1:16" x14ac:dyDescent="0.25">
      <c r="A3082">
        <v>50027</v>
      </c>
      <c r="B3082" t="s">
        <v>4531</v>
      </c>
      <c r="C3082" t="s">
        <v>4553</v>
      </c>
      <c r="D3082">
        <v>1052</v>
      </c>
      <c r="E3082">
        <v>255</v>
      </c>
      <c r="F3082">
        <v>127</v>
      </c>
      <c r="G3082">
        <v>135</v>
      </c>
      <c r="H3082">
        <v>312</v>
      </c>
      <c r="I3082">
        <v>223</v>
      </c>
      <c r="J3082">
        <v>198</v>
      </c>
      <c r="K3082">
        <v>322</v>
      </c>
      <c r="L3082">
        <v>532</v>
      </c>
      <c r="M3082">
        <v>947</v>
      </c>
      <c r="N3082">
        <v>105</v>
      </c>
      <c r="O3082" t="s">
        <v>4554</v>
      </c>
      <c r="P3082" s="1" t="b">
        <f>NOT(OR(Table1[[#This Row],[State]]="Other Foreign Countries", Table1[[#This Row],[State]]="Unknown", Table1[[#This Row],[State]]="Puerto Rico all counties"))</f>
        <v>1</v>
      </c>
    </row>
    <row r="3083" spans="1:16" x14ac:dyDescent="0.25">
      <c r="A3083">
        <v>48495</v>
      </c>
      <c r="B3083" t="s">
        <v>2654</v>
      </c>
      <c r="C3083" t="s">
        <v>4473</v>
      </c>
      <c r="D3083">
        <v>62</v>
      </c>
      <c r="F3083">
        <v>13</v>
      </c>
      <c r="G3083">
        <v>16</v>
      </c>
      <c r="H3083">
        <v>15</v>
      </c>
      <c r="J3083">
        <v>13</v>
      </c>
      <c r="K3083">
        <v>29</v>
      </c>
      <c r="L3083">
        <v>20</v>
      </c>
      <c r="M3083">
        <v>50</v>
      </c>
      <c r="N3083">
        <v>12</v>
      </c>
      <c r="O3083" t="s">
        <v>4474</v>
      </c>
      <c r="P3083" s="1" t="b">
        <f>NOT(OR(Table1[[#This Row],[State]]="Other Foreign Countries", Table1[[#This Row],[State]]="Unknown", Table1[[#This Row],[State]]="Puerto Rico all counties"))</f>
        <v>1</v>
      </c>
    </row>
    <row r="3084" spans="1:16" x14ac:dyDescent="0.25">
      <c r="A3084">
        <v>22127</v>
      </c>
      <c r="B3084" t="s">
        <v>1892</v>
      </c>
      <c r="C3084" t="s">
        <v>2002</v>
      </c>
      <c r="D3084">
        <v>231</v>
      </c>
      <c r="E3084">
        <v>37</v>
      </c>
      <c r="F3084">
        <v>16</v>
      </c>
      <c r="G3084">
        <v>28</v>
      </c>
      <c r="H3084">
        <v>88</v>
      </c>
      <c r="I3084">
        <v>62</v>
      </c>
      <c r="J3084">
        <v>44</v>
      </c>
      <c r="K3084">
        <v>71</v>
      </c>
      <c r="L3084">
        <v>116</v>
      </c>
      <c r="M3084">
        <v>211</v>
      </c>
      <c r="N3084">
        <v>20</v>
      </c>
      <c r="O3084" t="s">
        <v>2003</v>
      </c>
      <c r="P3084" s="1" t="b">
        <f>NOT(OR(Table1[[#This Row],[State]]="Other Foreign Countries", Table1[[#This Row],[State]]="Unknown", Table1[[#This Row],[State]]="Puerto Rico all counties"))</f>
        <v>1</v>
      </c>
    </row>
    <row r="3085" spans="1:16" x14ac:dyDescent="0.25">
      <c r="A3085">
        <v>17201</v>
      </c>
      <c r="B3085" t="s">
        <v>1109</v>
      </c>
      <c r="C3085" t="s">
        <v>1262</v>
      </c>
      <c r="D3085">
        <v>3312</v>
      </c>
      <c r="E3085">
        <v>698</v>
      </c>
      <c r="F3085">
        <v>408</v>
      </c>
      <c r="G3085">
        <v>374</v>
      </c>
      <c r="H3085" s="1">
        <v>1010</v>
      </c>
      <c r="I3085">
        <v>822</v>
      </c>
      <c r="J3085">
        <v>959</v>
      </c>
      <c r="K3085">
        <v>889</v>
      </c>
      <c r="L3085" s="1">
        <v>1464</v>
      </c>
      <c r="M3085" s="1">
        <v>2928</v>
      </c>
      <c r="N3085">
        <v>384</v>
      </c>
      <c r="O3085" t="s">
        <v>1263</v>
      </c>
      <c r="P3085" s="1" t="b">
        <f>NOT(OR(Table1[[#This Row],[State]]="Other Foreign Countries", Table1[[#This Row],[State]]="Unknown", Table1[[#This Row],[State]]="Puerto Rico all counties"))</f>
        <v>1</v>
      </c>
    </row>
    <row r="3086" spans="1:16" x14ac:dyDescent="0.25">
      <c r="A3086">
        <v>19189</v>
      </c>
      <c r="B3086" t="s">
        <v>1399</v>
      </c>
      <c r="C3086" t="s">
        <v>1262</v>
      </c>
      <c r="D3086">
        <v>204</v>
      </c>
      <c r="E3086">
        <v>72</v>
      </c>
      <c r="F3086">
        <v>33</v>
      </c>
      <c r="G3086">
        <v>29</v>
      </c>
      <c r="H3086">
        <v>41</v>
      </c>
      <c r="I3086">
        <v>29</v>
      </c>
      <c r="J3086">
        <v>37</v>
      </c>
      <c r="K3086">
        <v>57</v>
      </c>
      <c r="L3086">
        <v>110</v>
      </c>
      <c r="M3086">
        <v>194</v>
      </c>
      <c r="N3086">
        <v>10</v>
      </c>
      <c r="O3086" t="s">
        <v>1535</v>
      </c>
      <c r="P3086" s="1" t="b">
        <f>NOT(OR(Table1[[#This Row],[State]]="Other Foreign Countries", Table1[[#This Row],[State]]="Unknown", Table1[[#This Row],[State]]="Puerto Rico all counties"))</f>
        <v>1</v>
      </c>
    </row>
    <row r="3087" spans="1:16" x14ac:dyDescent="0.25">
      <c r="A3087">
        <v>55139</v>
      </c>
      <c r="B3087" t="s">
        <v>4906</v>
      </c>
      <c r="C3087" t="s">
        <v>1262</v>
      </c>
      <c r="D3087">
        <v>3000</v>
      </c>
      <c r="E3087">
        <v>731</v>
      </c>
      <c r="F3087">
        <v>410</v>
      </c>
      <c r="G3087">
        <v>399</v>
      </c>
      <c r="H3087">
        <v>872</v>
      </c>
      <c r="I3087">
        <v>588</v>
      </c>
      <c r="J3087">
        <v>980</v>
      </c>
      <c r="K3087">
        <v>906</v>
      </c>
      <c r="L3087" s="1">
        <v>1114</v>
      </c>
      <c r="M3087" s="1">
        <v>2699</v>
      </c>
      <c r="N3087">
        <v>301</v>
      </c>
      <c r="O3087" t="s">
        <v>5011</v>
      </c>
      <c r="P3087" s="1" t="b">
        <f>NOT(OR(Table1[[#This Row],[State]]="Other Foreign Countries", Table1[[#This Row],[State]]="Unknown", Table1[[#This Row],[State]]="Puerto Rico all counties"))</f>
        <v>1</v>
      </c>
    </row>
    <row r="3088" spans="1:16" x14ac:dyDescent="0.25">
      <c r="A3088">
        <v>19191</v>
      </c>
      <c r="B3088" t="s">
        <v>1399</v>
      </c>
      <c r="C3088" t="s">
        <v>1536</v>
      </c>
      <c r="D3088">
        <v>307</v>
      </c>
      <c r="E3088">
        <v>86</v>
      </c>
      <c r="F3088">
        <v>41</v>
      </c>
      <c r="G3088">
        <v>38</v>
      </c>
      <c r="H3088">
        <v>78</v>
      </c>
      <c r="I3088">
        <v>64</v>
      </c>
      <c r="J3088">
        <v>53</v>
      </c>
      <c r="K3088">
        <v>57</v>
      </c>
      <c r="L3088">
        <v>197</v>
      </c>
      <c r="M3088">
        <v>285</v>
      </c>
      <c r="N3088">
        <v>21</v>
      </c>
      <c r="O3088" t="s">
        <v>1537</v>
      </c>
      <c r="P3088" s="1" t="b">
        <f>NOT(OR(Table1[[#This Row],[State]]="Other Foreign Countries", Table1[[#This Row],[State]]="Unknown", Table1[[#This Row],[State]]="Puerto Rico all counties"))</f>
        <v>1</v>
      </c>
    </row>
    <row r="3089" spans="1:16" x14ac:dyDescent="0.25">
      <c r="A3089">
        <v>27169</v>
      </c>
      <c r="B3089" t="s">
        <v>2245</v>
      </c>
      <c r="C3089" t="s">
        <v>2389</v>
      </c>
      <c r="D3089">
        <v>870</v>
      </c>
      <c r="E3089">
        <v>295</v>
      </c>
      <c r="F3089">
        <v>125</v>
      </c>
      <c r="G3089">
        <v>97</v>
      </c>
      <c r="H3089">
        <v>202</v>
      </c>
      <c r="I3089">
        <v>151</v>
      </c>
      <c r="J3089">
        <v>182</v>
      </c>
      <c r="K3089">
        <v>179</v>
      </c>
      <c r="L3089">
        <v>509</v>
      </c>
      <c r="M3089">
        <v>800</v>
      </c>
      <c r="N3089">
        <v>70</v>
      </c>
      <c r="O3089" t="s">
        <v>2390</v>
      </c>
      <c r="P3089" s="1" t="b">
        <f>NOT(OR(Table1[[#This Row],[State]]="Other Foreign Countries", Table1[[#This Row],[State]]="Unknown", Table1[[#This Row],[State]]="Puerto Rico all counties"))</f>
        <v>1</v>
      </c>
    </row>
    <row r="3090" spans="1:16" x14ac:dyDescent="0.25">
      <c r="A3090">
        <v>1133</v>
      </c>
      <c r="B3090" t="s">
        <v>15</v>
      </c>
      <c r="C3090" t="s">
        <v>148</v>
      </c>
      <c r="D3090">
        <v>481</v>
      </c>
      <c r="E3090">
        <v>102</v>
      </c>
      <c r="F3090">
        <v>38</v>
      </c>
      <c r="G3090">
        <v>57</v>
      </c>
      <c r="H3090">
        <v>150</v>
      </c>
      <c r="I3090">
        <v>134</v>
      </c>
      <c r="J3090">
        <v>92</v>
      </c>
      <c r="K3090">
        <v>174</v>
      </c>
      <c r="L3090">
        <v>215</v>
      </c>
      <c r="M3090">
        <v>452</v>
      </c>
      <c r="N3090">
        <v>28</v>
      </c>
      <c r="O3090" t="s">
        <v>149</v>
      </c>
      <c r="P3090" s="1" t="b">
        <f>NOT(OR(Table1[[#This Row],[State]]="Other Foreign Countries", Table1[[#This Row],[State]]="Unknown", Table1[[#This Row],[State]]="Puerto Rico all counties"))</f>
        <v>1</v>
      </c>
    </row>
    <row r="3091" spans="1:16" x14ac:dyDescent="0.25">
      <c r="A3091">
        <v>28159</v>
      </c>
      <c r="B3091" t="s">
        <v>322</v>
      </c>
      <c r="C3091" t="s">
        <v>148</v>
      </c>
      <c r="D3091">
        <v>291</v>
      </c>
      <c r="E3091">
        <v>53</v>
      </c>
      <c r="F3091">
        <v>29</v>
      </c>
      <c r="G3091">
        <v>28</v>
      </c>
      <c r="H3091">
        <v>84</v>
      </c>
      <c r="I3091">
        <v>97</v>
      </c>
      <c r="J3091">
        <v>46</v>
      </c>
      <c r="K3091">
        <v>126</v>
      </c>
      <c r="L3091">
        <v>119</v>
      </c>
      <c r="M3091">
        <v>253</v>
      </c>
      <c r="N3091">
        <v>38</v>
      </c>
      <c r="O3091" t="s">
        <v>2505</v>
      </c>
      <c r="P3091" s="1" t="b">
        <f>NOT(OR(Table1[[#This Row],[State]]="Other Foreign Countries", Table1[[#This Row],[State]]="Unknown", Table1[[#This Row],[State]]="Puerto Rico all counties"))</f>
        <v>1</v>
      </c>
    </row>
    <row r="3092" spans="1:16" x14ac:dyDescent="0.25">
      <c r="A3092">
        <v>54105</v>
      </c>
      <c r="B3092" t="s">
        <v>4833</v>
      </c>
      <c r="C3092" t="s">
        <v>4902</v>
      </c>
      <c r="D3092">
        <v>149</v>
      </c>
      <c r="E3092">
        <v>31</v>
      </c>
      <c r="F3092">
        <v>21</v>
      </c>
      <c r="G3092">
        <v>12</v>
      </c>
      <c r="H3092">
        <v>48</v>
      </c>
      <c r="I3092">
        <v>37</v>
      </c>
      <c r="J3092">
        <v>23</v>
      </c>
      <c r="K3092">
        <v>60</v>
      </c>
      <c r="L3092">
        <v>66</v>
      </c>
      <c r="M3092">
        <v>139</v>
      </c>
      <c r="N3092">
        <v>10</v>
      </c>
      <c r="O3092" t="s">
        <v>4903</v>
      </c>
      <c r="P3092" s="1" t="b">
        <f>NOT(OR(Table1[[#This Row],[State]]="Other Foreign Countries", Table1[[#This Row],[State]]="Unknown", Table1[[#This Row],[State]]="Puerto Rico all counties"))</f>
        <v>1</v>
      </c>
    </row>
    <row r="3093" spans="1:16" x14ac:dyDescent="0.25">
      <c r="A3093">
        <v>48497</v>
      </c>
      <c r="B3093" t="s">
        <v>2654</v>
      </c>
      <c r="C3093" t="s">
        <v>4475</v>
      </c>
      <c r="D3093">
        <v>2214</v>
      </c>
      <c r="E3093">
        <v>384</v>
      </c>
      <c r="F3093">
        <v>267</v>
      </c>
      <c r="G3093">
        <v>275</v>
      </c>
      <c r="H3093">
        <v>649</v>
      </c>
      <c r="I3093">
        <v>639</v>
      </c>
      <c r="J3093">
        <v>782</v>
      </c>
      <c r="K3093">
        <v>751</v>
      </c>
      <c r="L3093">
        <v>681</v>
      </c>
      <c r="M3093" s="1">
        <v>1958</v>
      </c>
      <c r="N3093">
        <v>256</v>
      </c>
      <c r="O3093" t="s">
        <v>4476</v>
      </c>
      <c r="P3093" s="1" t="b">
        <f>NOT(OR(Table1[[#This Row],[State]]="Other Foreign Countries", Table1[[#This Row],[State]]="Unknown", Table1[[#This Row],[State]]="Puerto Rico all counties"))</f>
        <v>1</v>
      </c>
    </row>
    <row r="3094" spans="1:16" x14ac:dyDescent="0.25">
      <c r="A3094">
        <v>51195</v>
      </c>
      <c r="B3094" t="s">
        <v>4555</v>
      </c>
      <c r="C3094" t="s">
        <v>4475</v>
      </c>
      <c r="D3094">
        <v>744</v>
      </c>
      <c r="E3094">
        <v>145</v>
      </c>
      <c r="F3094">
        <v>83</v>
      </c>
      <c r="G3094">
        <v>85</v>
      </c>
      <c r="H3094">
        <v>233</v>
      </c>
      <c r="I3094">
        <v>198</v>
      </c>
      <c r="J3094">
        <v>153</v>
      </c>
      <c r="K3094">
        <v>244</v>
      </c>
      <c r="L3094">
        <v>347</v>
      </c>
      <c r="M3094">
        <v>691</v>
      </c>
      <c r="N3094">
        <v>53</v>
      </c>
      <c r="O3094" t="s">
        <v>4692</v>
      </c>
      <c r="P3094" s="1" t="b">
        <f>NOT(OR(Table1[[#This Row],[State]]="Other Foreign Countries", Table1[[#This Row],[State]]="Unknown", Table1[[#This Row],[State]]="Puerto Rico all counties"))</f>
        <v>1</v>
      </c>
    </row>
    <row r="3095" spans="1:16" x14ac:dyDescent="0.25">
      <c r="A3095">
        <v>21237</v>
      </c>
      <c r="B3095" t="s">
        <v>1716</v>
      </c>
      <c r="C3095" t="s">
        <v>1889</v>
      </c>
      <c r="D3095">
        <v>97</v>
      </c>
      <c r="F3095">
        <v>16</v>
      </c>
      <c r="H3095">
        <v>37</v>
      </c>
      <c r="I3095">
        <v>25</v>
      </c>
      <c r="J3095">
        <v>30</v>
      </c>
      <c r="K3095">
        <v>26</v>
      </c>
      <c r="L3095">
        <v>41</v>
      </c>
      <c r="O3095" t="s">
        <v>1890</v>
      </c>
      <c r="P3095" s="1" t="b">
        <f>NOT(OR(Table1[[#This Row],[State]]="Other Foreign Countries", Table1[[#This Row],[State]]="Unknown", Table1[[#This Row],[State]]="Puerto Rico all counties"))</f>
        <v>1</v>
      </c>
    </row>
    <row r="3096" spans="1:16" x14ac:dyDescent="0.25">
      <c r="A3096">
        <v>39173</v>
      </c>
      <c r="B3096" t="s">
        <v>1343</v>
      </c>
      <c r="C3096" t="s">
        <v>3491</v>
      </c>
      <c r="D3096">
        <v>1720</v>
      </c>
      <c r="E3096">
        <v>462</v>
      </c>
      <c r="F3096">
        <v>229</v>
      </c>
      <c r="G3096">
        <v>228</v>
      </c>
      <c r="H3096">
        <v>453</v>
      </c>
      <c r="I3096">
        <v>348</v>
      </c>
      <c r="J3096">
        <v>553</v>
      </c>
      <c r="K3096">
        <v>515</v>
      </c>
      <c r="L3096">
        <v>652</v>
      </c>
      <c r="M3096" s="1">
        <v>1581</v>
      </c>
      <c r="N3096">
        <v>139</v>
      </c>
      <c r="O3096" t="s">
        <v>3492</v>
      </c>
      <c r="P3096" s="1" t="b">
        <f>NOT(OR(Table1[[#This Row],[State]]="Other Foreign Countries", Table1[[#This Row],[State]]="Unknown", Table1[[#This Row],[State]]="Puerto Rico all counties"))</f>
        <v>1</v>
      </c>
    </row>
    <row r="3097" spans="1:16" x14ac:dyDescent="0.25">
      <c r="A3097">
        <v>48499</v>
      </c>
      <c r="B3097" t="s">
        <v>2654</v>
      </c>
      <c r="C3097" t="s">
        <v>3491</v>
      </c>
      <c r="D3097">
        <v>1413</v>
      </c>
      <c r="E3097">
        <v>252</v>
      </c>
      <c r="F3097">
        <v>129</v>
      </c>
      <c r="G3097">
        <v>157</v>
      </c>
      <c r="H3097">
        <v>479</v>
      </c>
      <c r="I3097">
        <v>396</v>
      </c>
      <c r="J3097">
        <v>324</v>
      </c>
      <c r="K3097">
        <v>398</v>
      </c>
      <c r="L3097">
        <v>691</v>
      </c>
      <c r="M3097" s="1">
        <v>1272</v>
      </c>
      <c r="N3097">
        <v>141</v>
      </c>
      <c r="O3097" t="s">
        <v>4477</v>
      </c>
      <c r="P3097" s="1" t="b">
        <f>NOT(OR(Table1[[#This Row],[State]]="Other Foreign Countries", Table1[[#This Row],[State]]="Unknown", Table1[[#This Row],[State]]="Puerto Rico all counties"))</f>
        <v>1</v>
      </c>
    </row>
    <row r="3098" spans="1:16" x14ac:dyDescent="0.25">
      <c r="A3098">
        <v>54107</v>
      </c>
      <c r="B3098" t="s">
        <v>4833</v>
      </c>
      <c r="C3098" t="s">
        <v>3491</v>
      </c>
      <c r="D3098">
        <v>1920</v>
      </c>
      <c r="E3098">
        <v>400</v>
      </c>
      <c r="F3098">
        <v>176</v>
      </c>
      <c r="G3098">
        <v>203</v>
      </c>
      <c r="H3098">
        <v>632</v>
      </c>
      <c r="I3098">
        <v>509</v>
      </c>
      <c r="J3098">
        <v>449</v>
      </c>
      <c r="K3098">
        <v>665</v>
      </c>
      <c r="L3098">
        <v>806</v>
      </c>
      <c r="M3098" s="1">
        <v>1764</v>
      </c>
      <c r="N3098">
        <v>156</v>
      </c>
      <c r="O3098" t="s">
        <v>4904</v>
      </c>
      <c r="P3098" s="1" t="b">
        <f>NOT(OR(Table1[[#This Row],[State]]="Other Foreign Countries", Table1[[#This Row],[State]]="Unknown", Table1[[#This Row],[State]]="Puerto Rico all counties"))</f>
        <v>1</v>
      </c>
    </row>
    <row r="3099" spans="1:16" x14ac:dyDescent="0.25">
      <c r="A3099">
        <v>55141</v>
      </c>
      <c r="B3099" t="s">
        <v>4906</v>
      </c>
      <c r="C3099" t="s">
        <v>3491</v>
      </c>
      <c r="D3099">
        <v>1548</v>
      </c>
      <c r="E3099">
        <v>435</v>
      </c>
      <c r="F3099">
        <v>215</v>
      </c>
      <c r="G3099">
        <v>221</v>
      </c>
      <c r="H3099">
        <v>389</v>
      </c>
      <c r="I3099">
        <v>288</v>
      </c>
      <c r="J3099">
        <v>350</v>
      </c>
      <c r="K3099">
        <v>418</v>
      </c>
      <c r="L3099">
        <v>780</v>
      </c>
      <c r="M3099" s="1">
        <v>1423</v>
      </c>
      <c r="N3099">
        <v>125</v>
      </c>
      <c r="O3099" t="s">
        <v>5012</v>
      </c>
      <c r="P3099" s="1" t="b">
        <f>NOT(OR(Table1[[#This Row],[State]]="Other Foreign Countries", Table1[[#This Row],[State]]="Unknown", Table1[[#This Row],[State]]="Puerto Rico all counties"))</f>
        <v>1</v>
      </c>
    </row>
    <row r="3100" spans="1:16" x14ac:dyDescent="0.25">
      <c r="A3100">
        <v>19193</v>
      </c>
      <c r="B3100" t="s">
        <v>1399</v>
      </c>
      <c r="C3100" t="s">
        <v>1538</v>
      </c>
      <c r="D3100">
        <v>1606</v>
      </c>
      <c r="E3100">
        <v>501</v>
      </c>
      <c r="F3100">
        <v>220</v>
      </c>
      <c r="G3100">
        <v>221</v>
      </c>
      <c r="H3100">
        <v>360</v>
      </c>
      <c r="I3100">
        <v>304</v>
      </c>
      <c r="J3100">
        <v>353</v>
      </c>
      <c r="K3100">
        <v>466</v>
      </c>
      <c r="L3100">
        <v>787</v>
      </c>
      <c r="M3100" s="1">
        <v>1460</v>
      </c>
      <c r="N3100">
        <v>146</v>
      </c>
      <c r="O3100" t="s">
        <v>1539</v>
      </c>
      <c r="P3100" s="1" t="b">
        <f>NOT(OR(Table1[[#This Row],[State]]="Other Foreign Countries", Table1[[#This Row],[State]]="Unknown", Table1[[#This Row],[State]]="Puerto Rico all counties"))</f>
        <v>1</v>
      </c>
    </row>
    <row r="3101" spans="1:16" x14ac:dyDescent="0.25">
      <c r="A3101">
        <v>17203</v>
      </c>
      <c r="B3101" t="s">
        <v>1109</v>
      </c>
      <c r="C3101" t="s">
        <v>1264</v>
      </c>
      <c r="D3101">
        <v>585</v>
      </c>
      <c r="E3101">
        <v>94</v>
      </c>
      <c r="F3101">
        <v>60</v>
      </c>
      <c r="G3101">
        <v>66</v>
      </c>
      <c r="H3101">
        <v>171</v>
      </c>
      <c r="I3101">
        <v>194</v>
      </c>
      <c r="J3101">
        <v>165</v>
      </c>
      <c r="K3101">
        <v>212</v>
      </c>
      <c r="L3101">
        <v>208</v>
      </c>
      <c r="M3101">
        <v>538</v>
      </c>
      <c r="N3101">
        <v>47</v>
      </c>
      <c r="O3101" t="s">
        <v>1265</v>
      </c>
      <c r="P3101" s="1" t="b">
        <f>NOT(OR(Table1[[#This Row],[State]]="Other Foreign Countries", Table1[[#This Row],[State]]="Unknown", Table1[[#This Row],[State]]="Puerto Rico all counties"))</f>
        <v>1</v>
      </c>
    </row>
    <row r="3102" spans="1:16" x14ac:dyDescent="0.25">
      <c r="A3102">
        <v>21239</v>
      </c>
      <c r="B3102" t="s">
        <v>1716</v>
      </c>
      <c r="C3102" t="s">
        <v>1264</v>
      </c>
      <c r="D3102">
        <v>418</v>
      </c>
      <c r="E3102">
        <v>84</v>
      </c>
      <c r="F3102">
        <v>63</v>
      </c>
      <c r="G3102">
        <v>56</v>
      </c>
      <c r="H3102">
        <v>121</v>
      </c>
      <c r="I3102">
        <v>94</v>
      </c>
      <c r="J3102">
        <v>114</v>
      </c>
      <c r="K3102">
        <v>149</v>
      </c>
      <c r="L3102">
        <v>155</v>
      </c>
      <c r="M3102">
        <v>369</v>
      </c>
      <c r="N3102">
        <v>49</v>
      </c>
      <c r="O3102" t="s">
        <v>1891</v>
      </c>
      <c r="P3102" s="1" t="b">
        <f>NOT(OR(Table1[[#This Row],[State]]="Other Foreign Countries", Table1[[#This Row],[State]]="Unknown", Table1[[#This Row],[State]]="Puerto Rico all counties"))</f>
        <v>1</v>
      </c>
    </row>
    <row r="3103" spans="1:16" x14ac:dyDescent="0.25">
      <c r="A3103">
        <v>5147</v>
      </c>
      <c r="B3103" t="s">
        <v>242</v>
      </c>
      <c r="C3103" t="s">
        <v>370</v>
      </c>
      <c r="D3103">
        <v>106</v>
      </c>
      <c r="E3103">
        <v>16</v>
      </c>
      <c r="H3103">
        <v>37</v>
      </c>
      <c r="I3103">
        <v>31</v>
      </c>
      <c r="J3103">
        <v>16</v>
      </c>
      <c r="K3103">
        <v>32</v>
      </c>
      <c r="L3103">
        <v>58</v>
      </c>
      <c r="O3103" t="s">
        <v>371</v>
      </c>
      <c r="P3103" s="1" t="b">
        <f>NOT(OR(Table1[[#This Row],[State]]="Other Foreign Countries", Table1[[#This Row],[State]]="Unknown", Table1[[#This Row],[State]]="Puerto Rico all counties"))</f>
        <v>1</v>
      </c>
    </row>
    <row r="3104" spans="1:16" x14ac:dyDescent="0.25">
      <c r="A3104">
        <v>40151</v>
      </c>
      <c r="B3104" t="s">
        <v>3495</v>
      </c>
      <c r="C3104" t="s">
        <v>3609</v>
      </c>
      <c r="D3104">
        <v>119</v>
      </c>
      <c r="E3104">
        <v>30</v>
      </c>
      <c r="F3104">
        <v>12</v>
      </c>
      <c r="G3104">
        <v>15</v>
      </c>
      <c r="H3104">
        <v>37</v>
      </c>
      <c r="I3104">
        <v>25</v>
      </c>
      <c r="J3104">
        <v>23</v>
      </c>
      <c r="K3104">
        <v>40</v>
      </c>
      <c r="L3104">
        <v>56</v>
      </c>
      <c r="M3104">
        <v>109</v>
      </c>
      <c r="N3104">
        <v>10</v>
      </c>
      <c r="O3104" t="s">
        <v>3610</v>
      </c>
      <c r="P3104" s="1" t="b">
        <f>NOT(OR(Table1[[#This Row],[State]]="Other Foreign Countries", Table1[[#This Row],[State]]="Unknown", Table1[[#This Row],[State]]="Puerto Rico all counties"))</f>
        <v>1</v>
      </c>
    </row>
    <row r="3105" spans="1:16" x14ac:dyDescent="0.25">
      <c r="A3105">
        <v>20207</v>
      </c>
      <c r="B3105" t="s">
        <v>1543</v>
      </c>
      <c r="C3105" t="s">
        <v>1712</v>
      </c>
      <c r="D3105">
        <v>44</v>
      </c>
      <c r="H3105">
        <v>16</v>
      </c>
      <c r="I3105">
        <v>10</v>
      </c>
      <c r="J3105">
        <v>12</v>
      </c>
      <c r="K3105">
        <v>12</v>
      </c>
      <c r="L3105">
        <v>20</v>
      </c>
      <c r="O3105" t="s">
        <v>1713</v>
      </c>
      <c r="P3105" s="1" t="b">
        <f>NOT(OR(Table1[[#This Row],[State]]="Other Foreign Countries", Table1[[#This Row],[State]]="Unknown", Table1[[#This Row],[State]]="Puerto Rico all counties"))</f>
        <v>1</v>
      </c>
    </row>
    <row r="3106" spans="1:16" x14ac:dyDescent="0.25">
      <c r="A3106">
        <v>40153</v>
      </c>
      <c r="B3106" t="s">
        <v>3495</v>
      </c>
      <c r="C3106" t="s">
        <v>3611</v>
      </c>
      <c r="D3106">
        <v>329</v>
      </c>
      <c r="E3106">
        <v>69</v>
      </c>
      <c r="F3106">
        <v>46</v>
      </c>
      <c r="G3106">
        <v>43</v>
      </c>
      <c r="H3106">
        <v>97</v>
      </c>
      <c r="I3106">
        <v>74</v>
      </c>
      <c r="J3106">
        <v>80</v>
      </c>
      <c r="K3106">
        <v>90</v>
      </c>
      <c r="L3106">
        <v>159</v>
      </c>
      <c r="M3106">
        <v>302</v>
      </c>
      <c r="N3106">
        <v>27</v>
      </c>
      <c r="O3106" t="s">
        <v>3612</v>
      </c>
      <c r="P3106" s="1" t="b">
        <f>NOT(OR(Table1[[#This Row],[State]]="Other Foreign Countries", Table1[[#This Row],[State]]="Unknown", Table1[[#This Row],[State]]="Puerto Rico all counties"))</f>
        <v>1</v>
      </c>
    </row>
    <row r="3107" spans="1:16" x14ac:dyDescent="0.25">
      <c r="A3107">
        <v>24047</v>
      </c>
      <c r="B3107" t="s">
        <v>2031</v>
      </c>
      <c r="C3107" t="s">
        <v>2069</v>
      </c>
      <c r="D3107">
        <v>867</v>
      </c>
      <c r="E3107">
        <v>144</v>
      </c>
      <c r="F3107">
        <v>114</v>
      </c>
      <c r="G3107">
        <v>97</v>
      </c>
      <c r="H3107">
        <v>272</v>
      </c>
      <c r="I3107">
        <v>240</v>
      </c>
      <c r="J3107">
        <v>197</v>
      </c>
      <c r="K3107">
        <v>270</v>
      </c>
      <c r="L3107">
        <v>400</v>
      </c>
      <c r="M3107">
        <v>779</v>
      </c>
      <c r="N3107">
        <v>87</v>
      </c>
      <c r="O3107" t="s">
        <v>2070</v>
      </c>
      <c r="P3107" s="1" t="b">
        <f>NOT(OR(Table1[[#This Row],[State]]="Other Foreign Countries", Table1[[#This Row],[State]]="Unknown", Table1[[#This Row],[State]]="Puerto Rico all counties"))</f>
        <v>1</v>
      </c>
    </row>
    <row r="3108" spans="1:16" x14ac:dyDescent="0.25">
      <c r="A3108">
        <v>25027</v>
      </c>
      <c r="B3108" t="s">
        <v>2073</v>
      </c>
      <c r="C3108" t="s">
        <v>2069</v>
      </c>
      <c r="D3108">
        <v>10758</v>
      </c>
      <c r="E3108" s="1">
        <v>2730</v>
      </c>
      <c r="F3108" s="1">
        <v>1246</v>
      </c>
      <c r="G3108" s="1">
        <v>1288</v>
      </c>
      <c r="H3108" s="1">
        <v>3070</v>
      </c>
      <c r="I3108" s="1">
        <v>2424</v>
      </c>
      <c r="J3108" s="1">
        <v>3188</v>
      </c>
      <c r="K3108" s="1">
        <v>2894</v>
      </c>
      <c r="L3108" s="1">
        <v>4676</v>
      </c>
      <c r="M3108" s="1">
        <v>9807</v>
      </c>
      <c r="N3108">
        <v>950</v>
      </c>
      <c r="O3108" t="s">
        <v>2098</v>
      </c>
      <c r="P3108" s="1" t="b">
        <f>NOT(OR(Table1[[#This Row],[State]]="Other Foreign Countries", Table1[[#This Row],[State]]="Unknown", Table1[[#This Row],[State]]="Puerto Rico all counties"))</f>
        <v>1</v>
      </c>
    </row>
    <row r="3109" spans="1:16" x14ac:dyDescent="0.25">
      <c r="A3109">
        <v>13321</v>
      </c>
      <c r="B3109" t="s">
        <v>754</v>
      </c>
      <c r="C3109" t="s">
        <v>1020</v>
      </c>
      <c r="D3109">
        <v>462</v>
      </c>
      <c r="E3109">
        <v>67</v>
      </c>
      <c r="F3109">
        <v>47</v>
      </c>
      <c r="G3109">
        <v>60</v>
      </c>
      <c r="H3109">
        <v>154</v>
      </c>
      <c r="I3109">
        <v>134</v>
      </c>
      <c r="J3109">
        <v>103</v>
      </c>
      <c r="K3109">
        <v>157</v>
      </c>
      <c r="L3109">
        <v>202</v>
      </c>
      <c r="M3109">
        <v>420</v>
      </c>
      <c r="N3109">
        <v>42</v>
      </c>
      <c r="O3109" t="s">
        <v>1021</v>
      </c>
      <c r="P3109" s="1" t="b">
        <f>NOT(OR(Table1[[#This Row],[State]]="Other Foreign Countries", Table1[[#This Row],[State]]="Unknown", Table1[[#This Row],[State]]="Puerto Rico all counties"))</f>
        <v>1</v>
      </c>
    </row>
    <row r="3110" spans="1:16" x14ac:dyDescent="0.25">
      <c r="A3110">
        <v>19195</v>
      </c>
      <c r="B3110" t="s">
        <v>1399</v>
      </c>
      <c r="C3110" t="s">
        <v>1020</v>
      </c>
      <c r="D3110">
        <v>172</v>
      </c>
      <c r="E3110">
        <v>58</v>
      </c>
      <c r="F3110">
        <v>20</v>
      </c>
      <c r="G3110">
        <v>17</v>
      </c>
      <c r="H3110">
        <v>45</v>
      </c>
      <c r="I3110">
        <v>32</v>
      </c>
      <c r="J3110">
        <v>30</v>
      </c>
      <c r="K3110">
        <v>44</v>
      </c>
      <c r="L3110">
        <v>98</v>
      </c>
      <c r="O3110" t="s">
        <v>1540</v>
      </c>
      <c r="P3110" s="1" t="b">
        <f>NOT(OR(Table1[[#This Row],[State]]="Other Foreign Countries", Table1[[#This Row],[State]]="Unknown", Table1[[#This Row],[State]]="Puerto Rico all counties"))</f>
        <v>1</v>
      </c>
    </row>
    <row r="3111" spans="1:16" x14ac:dyDescent="0.25">
      <c r="A3111">
        <v>29227</v>
      </c>
      <c r="B3111" t="s">
        <v>2510</v>
      </c>
      <c r="C3111" t="s">
        <v>1020</v>
      </c>
      <c r="D3111">
        <v>38</v>
      </c>
      <c r="E3111">
        <v>13</v>
      </c>
      <c r="H3111">
        <v>10</v>
      </c>
      <c r="L3111">
        <v>21</v>
      </c>
      <c r="O3111" t="s">
        <v>2661</v>
      </c>
      <c r="P3111" s="1" t="b">
        <f>NOT(OR(Table1[[#This Row],[State]]="Other Foreign Countries", Table1[[#This Row],[State]]="Unknown", Table1[[#This Row],[State]]="Puerto Rico all counties"))</f>
        <v>1</v>
      </c>
    </row>
    <row r="3112" spans="1:16" x14ac:dyDescent="0.25">
      <c r="A3112">
        <v>2275</v>
      </c>
      <c r="B3112" t="s">
        <v>150</v>
      </c>
      <c r="C3112" t="s">
        <v>205</v>
      </c>
      <c r="D3112">
        <v>46</v>
      </c>
      <c r="E3112">
        <v>13</v>
      </c>
      <c r="H3112">
        <v>11</v>
      </c>
      <c r="J3112">
        <v>10</v>
      </c>
      <c r="K3112">
        <v>13</v>
      </c>
      <c r="L3112">
        <v>23</v>
      </c>
      <c r="O3112" t="s">
        <v>206</v>
      </c>
      <c r="P3112" s="1" t="b">
        <f>NOT(OR(Table1[[#This Row],[State]]="Other Foreign Countries", Table1[[#This Row],[State]]="Unknown", Table1[[#This Row],[State]]="Puerto Rico all counties"))</f>
        <v>1</v>
      </c>
    </row>
    <row r="3113" spans="1:16" x14ac:dyDescent="0.25">
      <c r="A3113">
        <v>19197</v>
      </c>
      <c r="B3113" t="s">
        <v>1399</v>
      </c>
      <c r="C3113" t="s">
        <v>1541</v>
      </c>
      <c r="D3113">
        <v>226</v>
      </c>
      <c r="E3113">
        <v>92</v>
      </c>
      <c r="F3113">
        <v>30</v>
      </c>
      <c r="G3113">
        <v>32</v>
      </c>
      <c r="H3113">
        <v>46</v>
      </c>
      <c r="I3113">
        <v>26</v>
      </c>
      <c r="J3113">
        <v>42</v>
      </c>
      <c r="K3113">
        <v>50</v>
      </c>
      <c r="L3113">
        <v>134</v>
      </c>
      <c r="M3113">
        <v>216</v>
      </c>
      <c r="N3113">
        <v>10</v>
      </c>
      <c r="O3113" t="s">
        <v>1542</v>
      </c>
      <c r="P3113" s="1" t="b">
        <f>NOT(OR(Table1[[#This Row],[State]]="Other Foreign Countries", Table1[[#This Row],[State]]="Unknown", Table1[[#This Row],[State]]="Puerto Rico all counties"))</f>
        <v>1</v>
      </c>
    </row>
    <row r="3114" spans="1:16" x14ac:dyDescent="0.25">
      <c r="A3114">
        <v>27171</v>
      </c>
      <c r="B3114" t="s">
        <v>2245</v>
      </c>
      <c r="C3114" t="s">
        <v>1541</v>
      </c>
      <c r="D3114">
        <v>2973</v>
      </c>
      <c r="E3114" s="1">
        <v>1132</v>
      </c>
      <c r="F3114">
        <v>409</v>
      </c>
      <c r="G3114">
        <v>344</v>
      </c>
      <c r="H3114">
        <v>621</v>
      </c>
      <c r="I3114">
        <v>467</v>
      </c>
      <c r="J3114">
        <v>789</v>
      </c>
      <c r="K3114">
        <v>712</v>
      </c>
      <c r="L3114" s="1">
        <v>1472</v>
      </c>
      <c r="M3114" s="1">
        <v>2757</v>
      </c>
      <c r="N3114">
        <v>215</v>
      </c>
      <c r="O3114" t="s">
        <v>2391</v>
      </c>
      <c r="P3114" s="1" t="b">
        <f>NOT(OR(Table1[[#This Row],[State]]="Other Foreign Countries", Table1[[#This Row],[State]]="Unknown", Table1[[#This Row],[State]]="Puerto Rico all counties"))</f>
        <v>1</v>
      </c>
    </row>
    <row r="3115" spans="1:16" x14ac:dyDescent="0.25">
      <c r="A3115">
        <v>29229</v>
      </c>
      <c r="B3115" t="s">
        <v>2510</v>
      </c>
      <c r="C3115" t="s">
        <v>1541</v>
      </c>
      <c r="D3115">
        <v>523</v>
      </c>
      <c r="E3115">
        <v>123</v>
      </c>
      <c r="F3115">
        <v>50</v>
      </c>
      <c r="G3115">
        <v>61</v>
      </c>
      <c r="H3115">
        <v>157</v>
      </c>
      <c r="I3115">
        <v>132</v>
      </c>
      <c r="J3115">
        <v>104</v>
      </c>
      <c r="K3115">
        <v>174</v>
      </c>
      <c r="L3115">
        <v>245</v>
      </c>
      <c r="M3115">
        <v>480</v>
      </c>
      <c r="N3115">
        <v>43</v>
      </c>
      <c r="O3115" t="s">
        <v>2662</v>
      </c>
      <c r="P3115" s="1" t="b">
        <f>NOT(OR(Table1[[#This Row],[State]]="Other Foreign Countries", Table1[[#This Row],[State]]="Unknown", Table1[[#This Row],[State]]="Puerto Rico all counties"))</f>
        <v>1</v>
      </c>
    </row>
    <row r="3116" spans="1:16" x14ac:dyDescent="0.25">
      <c r="A3116">
        <v>39175</v>
      </c>
      <c r="B3116" t="s">
        <v>1343</v>
      </c>
      <c r="C3116" t="s">
        <v>3493</v>
      </c>
      <c r="D3116">
        <v>335</v>
      </c>
      <c r="E3116">
        <v>97</v>
      </c>
      <c r="F3116">
        <v>52</v>
      </c>
      <c r="G3116">
        <v>62</v>
      </c>
      <c r="H3116">
        <v>65</v>
      </c>
      <c r="I3116">
        <v>59</v>
      </c>
      <c r="J3116">
        <v>93</v>
      </c>
      <c r="K3116">
        <v>85</v>
      </c>
      <c r="L3116">
        <v>157</v>
      </c>
      <c r="M3116">
        <v>312</v>
      </c>
      <c r="N3116">
        <v>23</v>
      </c>
      <c r="O3116" t="s">
        <v>3494</v>
      </c>
      <c r="P3116" s="1" t="b">
        <f>NOT(OR(Table1[[#This Row],[State]]="Other Foreign Countries", Table1[[#This Row],[State]]="Unknown", Table1[[#This Row],[State]]="Puerto Rico all counties"))</f>
        <v>1</v>
      </c>
    </row>
    <row r="3117" spans="1:16" x14ac:dyDescent="0.25">
      <c r="A3117">
        <v>20209</v>
      </c>
      <c r="B3117" t="s">
        <v>1543</v>
      </c>
      <c r="C3117" t="s">
        <v>1714</v>
      </c>
      <c r="D3117">
        <v>2011</v>
      </c>
      <c r="E3117">
        <v>418</v>
      </c>
      <c r="F3117">
        <v>216</v>
      </c>
      <c r="G3117">
        <v>249</v>
      </c>
      <c r="H3117">
        <v>638</v>
      </c>
      <c r="I3117">
        <v>490</v>
      </c>
      <c r="J3117">
        <v>509</v>
      </c>
      <c r="K3117">
        <v>632</v>
      </c>
      <c r="L3117">
        <v>870</v>
      </c>
      <c r="M3117" s="1">
        <v>1809</v>
      </c>
      <c r="N3117">
        <v>202</v>
      </c>
      <c r="O3117" t="s">
        <v>1715</v>
      </c>
      <c r="P3117" s="1" t="b">
        <f>NOT(OR(Table1[[#This Row],[State]]="Other Foreign Countries", Table1[[#This Row],[State]]="Unknown", Table1[[#This Row],[State]]="Puerto Rico all counties"))</f>
        <v>1</v>
      </c>
    </row>
    <row r="3118" spans="1:16" x14ac:dyDescent="0.25">
      <c r="A3118">
        <v>36121</v>
      </c>
      <c r="B3118" t="s">
        <v>3029</v>
      </c>
      <c r="C3118" t="s">
        <v>3117</v>
      </c>
      <c r="D3118">
        <v>679</v>
      </c>
      <c r="E3118">
        <v>131</v>
      </c>
      <c r="F3118">
        <v>66</v>
      </c>
      <c r="G3118">
        <v>87</v>
      </c>
      <c r="H3118">
        <v>211</v>
      </c>
      <c r="I3118">
        <v>184</v>
      </c>
      <c r="J3118">
        <v>178</v>
      </c>
      <c r="K3118">
        <v>188</v>
      </c>
      <c r="L3118">
        <v>313</v>
      </c>
      <c r="M3118">
        <v>618</v>
      </c>
      <c r="N3118">
        <v>61</v>
      </c>
      <c r="O3118" t="s">
        <v>3118</v>
      </c>
      <c r="P3118" s="1" t="b">
        <f>NOT(OR(Table1[[#This Row],[State]]="Other Foreign Countries", Table1[[#This Row],[State]]="Unknown", Table1[[#This Row],[State]]="Puerto Rico all counties"))</f>
        <v>1</v>
      </c>
    </row>
    <row r="3119" spans="1:16" x14ac:dyDescent="0.25">
      <c r="A3119">
        <v>42131</v>
      </c>
      <c r="B3119" t="s">
        <v>3665</v>
      </c>
      <c r="C3119" t="s">
        <v>3117</v>
      </c>
      <c r="D3119">
        <v>476</v>
      </c>
      <c r="E3119">
        <v>83</v>
      </c>
      <c r="F3119">
        <v>49</v>
      </c>
      <c r="G3119">
        <v>52</v>
      </c>
      <c r="H3119">
        <v>156</v>
      </c>
      <c r="I3119">
        <v>136</v>
      </c>
      <c r="J3119">
        <v>112</v>
      </c>
      <c r="K3119">
        <v>141</v>
      </c>
      <c r="L3119">
        <v>223</v>
      </c>
      <c r="M3119">
        <v>436</v>
      </c>
      <c r="N3119">
        <v>40</v>
      </c>
      <c r="O3119" t="s">
        <v>3762</v>
      </c>
      <c r="P3119" s="1" t="b">
        <f>NOT(OR(Table1[[#This Row],[State]]="Other Foreign Countries", Table1[[#This Row],[State]]="Unknown", Table1[[#This Row],[State]]="Puerto Rico all counties"))</f>
        <v>1</v>
      </c>
    </row>
    <row r="3120" spans="1:16" x14ac:dyDescent="0.25">
      <c r="A3120">
        <v>54109</v>
      </c>
      <c r="B3120" t="s">
        <v>4833</v>
      </c>
      <c r="C3120" t="s">
        <v>3117</v>
      </c>
      <c r="D3120">
        <v>396</v>
      </c>
      <c r="E3120">
        <v>79</v>
      </c>
      <c r="F3120">
        <v>48</v>
      </c>
      <c r="G3120">
        <v>36</v>
      </c>
      <c r="H3120">
        <v>122</v>
      </c>
      <c r="I3120">
        <v>111</v>
      </c>
      <c r="J3120">
        <v>39</v>
      </c>
      <c r="K3120">
        <v>117</v>
      </c>
      <c r="L3120">
        <v>240</v>
      </c>
      <c r="M3120">
        <v>380</v>
      </c>
      <c r="N3120">
        <v>16</v>
      </c>
      <c r="O3120" t="s">
        <v>4905</v>
      </c>
      <c r="P3120" s="1" t="b">
        <f>NOT(OR(Table1[[#This Row],[State]]="Other Foreign Countries", Table1[[#This Row],[State]]="Unknown", Table1[[#This Row],[State]]="Puerto Rico all counties"))</f>
        <v>1</v>
      </c>
    </row>
    <row r="3121" spans="1:16" x14ac:dyDescent="0.25">
      <c r="A3121">
        <v>51197</v>
      </c>
      <c r="B3121" t="s">
        <v>4555</v>
      </c>
      <c r="C3121" t="s">
        <v>4693</v>
      </c>
      <c r="D3121">
        <v>540</v>
      </c>
      <c r="E3121">
        <v>92</v>
      </c>
      <c r="F3121">
        <v>70</v>
      </c>
      <c r="G3121">
        <v>69</v>
      </c>
      <c r="H3121">
        <v>155</v>
      </c>
      <c r="I3121">
        <v>154</v>
      </c>
      <c r="J3121">
        <v>109</v>
      </c>
      <c r="K3121">
        <v>158</v>
      </c>
      <c r="L3121">
        <v>273</v>
      </c>
      <c r="M3121">
        <v>487</v>
      </c>
      <c r="N3121">
        <v>53</v>
      </c>
      <c r="O3121" t="s">
        <v>4694</v>
      </c>
      <c r="P3121" s="1" t="b">
        <f>NOT(OR(Table1[[#This Row],[State]]="Other Foreign Countries", Table1[[#This Row],[State]]="Unknown", Table1[[#This Row],[State]]="Puerto Rico all counties"))</f>
        <v>1</v>
      </c>
    </row>
    <row r="3122" spans="1:16" x14ac:dyDescent="0.25">
      <c r="A3122">
        <v>37197</v>
      </c>
      <c r="B3122" t="s">
        <v>3121</v>
      </c>
      <c r="C3122" t="s">
        <v>3282</v>
      </c>
      <c r="D3122">
        <v>733</v>
      </c>
      <c r="E3122">
        <v>139</v>
      </c>
      <c r="F3122">
        <v>94</v>
      </c>
      <c r="G3122">
        <v>90</v>
      </c>
      <c r="H3122">
        <v>215</v>
      </c>
      <c r="I3122">
        <v>195</v>
      </c>
      <c r="J3122">
        <v>177</v>
      </c>
      <c r="K3122">
        <v>191</v>
      </c>
      <c r="L3122">
        <v>365</v>
      </c>
      <c r="M3122">
        <v>681</v>
      </c>
      <c r="N3122">
        <v>52</v>
      </c>
      <c r="O3122" t="s">
        <v>3283</v>
      </c>
      <c r="P3122" s="1" t="b">
        <f>NOT(OR(Table1[[#This Row],[State]]="Other Foreign Countries", Table1[[#This Row],[State]]="Unknown", Table1[[#This Row],[State]]="Puerto Rico all counties"))</f>
        <v>1</v>
      </c>
    </row>
    <row r="3123" spans="1:16" x14ac:dyDescent="0.25">
      <c r="A3123">
        <v>53077</v>
      </c>
      <c r="B3123" t="s">
        <v>144</v>
      </c>
      <c r="C3123" t="s">
        <v>4831</v>
      </c>
      <c r="D3123">
        <v>3076</v>
      </c>
      <c r="E3123">
        <v>688</v>
      </c>
      <c r="F3123">
        <v>310</v>
      </c>
      <c r="G3123">
        <v>413</v>
      </c>
      <c r="H3123">
        <v>917</v>
      </c>
      <c r="I3123">
        <v>748</v>
      </c>
      <c r="J3123">
        <v>797</v>
      </c>
      <c r="K3123">
        <v>837</v>
      </c>
      <c r="L3123" s="1">
        <v>1442</v>
      </c>
      <c r="M3123" s="1">
        <v>2818</v>
      </c>
      <c r="N3123">
        <v>258</v>
      </c>
      <c r="O3123" t="s">
        <v>4832</v>
      </c>
      <c r="P3123" s="1" t="b">
        <f>NOT(OR(Table1[[#This Row],[State]]="Other Foreign Countries", Table1[[#This Row],[State]]="Unknown", Table1[[#This Row],[State]]="Puerto Rico all counties"))</f>
        <v>1</v>
      </c>
    </row>
    <row r="3124" spans="1:16" x14ac:dyDescent="0.25">
      <c r="A3124">
        <v>2282</v>
      </c>
      <c r="B3124" t="s">
        <v>150</v>
      </c>
      <c r="C3124" t="s">
        <v>207</v>
      </c>
      <c r="D3124">
        <v>13</v>
      </c>
      <c r="O3124" t="s">
        <v>208</v>
      </c>
      <c r="P3124" s="1" t="b">
        <f>NOT(OR(Table1[[#This Row],[State]]="Other Foreign Countries", Table1[[#This Row],[State]]="Unknown", Table1[[#This Row],[State]]="Puerto Rico all counties"))</f>
        <v>1</v>
      </c>
    </row>
    <row r="3125" spans="1:16" x14ac:dyDescent="0.25">
      <c r="A3125">
        <v>28161</v>
      </c>
      <c r="B3125" t="s">
        <v>322</v>
      </c>
      <c r="C3125" t="s">
        <v>2506</v>
      </c>
      <c r="D3125">
        <v>248</v>
      </c>
      <c r="E3125">
        <v>52</v>
      </c>
      <c r="F3125">
        <v>22</v>
      </c>
      <c r="G3125">
        <v>28</v>
      </c>
      <c r="H3125">
        <v>85</v>
      </c>
      <c r="I3125">
        <v>61</v>
      </c>
      <c r="J3125">
        <v>37</v>
      </c>
      <c r="K3125">
        <v>95</v>
      </c>
      <c r="L3125">
        <v>116</v>
      </c>
      <c r="M3125">
        <v>225</v>
      </c>
      <c r="N3125">
        <v>23</v>
      </c>
      <c r="O3125" t="s">
        <v>2507</v>
      </c>
      <c r="P3125" s="1" t="b">
        <f>NOT(OR(Table1[[#This Row],[State]]="Other Foreign Countries", Table1[[#This Row],[State]]="Unknown", Table1[[#This Row],[State]]="Puerto Rico all counties"))</f>
        <v>1</v>
      </c>
    </row>
    <row r="3126" spans="1:16" x14ac:dyDescent="0.25">
      <c r="A3126">
        <v>41071</v>
      </c>
      <c r="B3126" t="s">
        <v>2607</v>
      </c>
      <c r="C3126" t="s">
        <v>3663</v>
      </c>
      <c r="D3126">
        <v>1989</v>
      </c>
      <c r="E3126">
        <v>490</v>
      </c>
      <c r="F3126">
        <v>255</v>
      </c>
      <c r="G3126">
        <v>278</v>
      </c>
      <c r="H3126">
        <v>584</v>
      </c>
      <c r="I3126">
        <v>382</v>
      </c>
      <c r="J3126">
        <v>581</v>
      </c>
      <c r="K3126">
        <v>516</v>
      </c>
      <c r="L3126">
        <v>892</v>
      </c>
      <c r="M3126" s="1">
        <v>1817</v>
      </c>
      <c r="N3126">
        <v>172</v>
      </c>
      <c r="O3126" t="s">
        <v>3664</v>
      </c>
      <c r="P3126" s="1" t="b">
        <f>NOT(OR(Table1[[#This Row],[State]]="Other Foreign Countries", Table1[[#This Row],[State]]="Unknown", Table1[[#This Row],[State]]="Puerto Rico all counties"))</f>
        <v>1</v>
      </c>
    </row>
    <row r="3127" spans="1:16" x14ac:dyDescent="0.25">
      <c r="A3127">
        <v>37199</v>
      </c>
      <c r="B3127" t="s">
        <v>3121</v>
      </c>
      <c r="C3127" t="s">
        <v>3284</v>
      </c>
      <c r="D3127">
        <v>407</v>
      </c>
      <c r="E3127">
        <v>91</v>
      </c>
      <c r="F3127">
        <v>53</v>
      </c>
      <c r="G3127">
        <v>41</v>
      </c>
      <c r="H3127">
        <v>129</v>
      </c>
      <c r="I3127">
        <v>93</v>
      </c>
      <c r="J3127">
        <v>51</v>
      </c>
      <c r="K3127">
        <v>96</v>
      </c>
      <c r="L3127">
        <v>260</v>
      </c>
      <c r="M3127">
        <v>368</v>
      </c>
      <c r="N3127">
        <v>39</v>
      </c>
      <c r="O3127" t="s">
        <v>3285</v>
      </c>
      <c r="P3127" s="1" t="b">
        <f>NOT(OR(Table1[[#This Row],[State]]="Other Foreign Countries", Table1[[#This Row],[State]]="Unknown", Table1[[#This Row],[State]]="Puerto Rico all counties"))</f>
        <v>1</v>
      </c>
    </row>
    <row r="3128" spans="1:16" x14ac:dyDescent="0.25">
      <c r="A3128">
        <v>46135</v>
      </c>
      <c r="B3128" t="s">
        <v>3846</v>
      </c>
      <c r="C3128" t="s">
        <v>3947</v>
      </c>
      <c r="D3128">
        <v>485</v>
      </c>
      <c r="E3128">
        <v>170</v>
      </c>
      <c r="F3128">
        <v>62</v>
      </c>
      <c r="G3128">
        <v>55</v>
      </c>
      <c r="H3128">
        <v>104</v>
      </c>
      <c r="I3128">
        <v>94</v>
      </c>
      <c r="J3128">
        <v>76</v>
      </c>
      <c r="K3128">
        <v>166</v>
      </c>
      <c r="L3128">
        <v>243</v>
      </c>
      <c r="M3128">
        <v>440</v>
      </c>
      <c r="N3128">
        <v>45</v>
      </c>
      <c r="O3128" t="s">
        <v>3948</v>
      </c>
      <c r="P3128" s="1" t="b">
        <f>NOT(OR(Table1[[#This Row],[State]]="Other Foreign Countries", Table1[[#This Row],[State]]="Unknown", Table1[[#This Row],[State]]="Puerto Rico all counties"))</f>
        <v>1</v>
      </c>
    </row>
    <row r="3129" spans="1:16" x14ac:dyDescent="0.25">
      <c r="A3129">
        <v>36123</v>
      </c>
      <c r="B3129" t="s">
        <v>3029</v>
      </c>
      <c r="C3129" t="s">
        <v>3119</v>
      </c>
      <c r="D3129">
        <v>391</v>
      </c>
      <c r="E3129">
        <v>86</v>
      </c>
      <c r="F3129">
        <v>40</v>
      </c>
      <c r="G3129">
        <v>36</v>
      </c>
      <c r="H3129">
        <v>130</v>
      </c>
      <c r="I3129">
        <v>99</v>
      </c>
      <c r="J3129">
        <v>78</v>
      </c>
      <c r="K3129">
        <v>88</v>
      </c>
      <c r="L3129">
        <v>225</v>
      </c>
      <c r="M3129">
        <v>357</v>
      </c>
      <c r="N3129">
        <v>34</v>
      </c>
      <c r="O3129" t="s">
        <v>3120</v>
      </c>
      <c r="P3129" s="1" t="b">
        <f>NOT(OR(Table1[[#This Row],[State]]="Other Foreign Countries", Table1[[#This Row],[State]]="Unknown", Table1[[#This Row],[State]]="Puerto Rico all counties"))</f>
        <v>1</v>
      </c>
    </row>
    <row r="3130" spans="1:16" x14ac:dyDescent="0.25">
      <c r="A3130">
        <v>4025</v>
      </c>
      <c r="B3130" t="s">
        <v>211</v>
      </c>
      <c r="C3130" t="s">
        <v>238</v>
      </c>
      <c r="D3130">
        <v>8155</v>
      </c>
      <c r="E3130" s="1">
        <v>1823</v>
      </c>
      <c r="F3130">
        <v>932</v>
      </c>
      <c r="G3130">
        <v>954</v>
      </c>
      <c r="H3130" s="1">
        <v>2202</v>
      </c>
      <c r="I3130" s="1">
        <v>2244</v>
      </c>
      <c r="J3130" s="1">
        <v>1545</v>
      </c>
      <c r="K3130" s="1">
        <v>1958</v>
      </c>
      <c r="L3130" s="1">
        <v>4652</v>
      </c>
      <c r="M3130" s="1">
        <v>7399</v>
      </c>
      <c r="N3130">
        <v>756</v>
      </c>
      <c r="O3130" t="s">
        <v>239</v>
      </c>
      <c r="P3130" s="1" t="b">
        <f>NOT(OR(Table1[[#This Row],[State]]="Other Foreign Countries", Table1[[#This Row],[State]]="Unknown", Table1[[#This Row],[State]]="Puerto Rico all counties"))</f>
        <v>1</v>
      </c>
    </row>
    <row r="3131" spans="1:16" x14ac:dyDescent="0.25">
      <c r="A3131">
        <v>28163</v>
      </c>
      <c r="B3131" t="s">
        <v>322</v>
      </c>
      <c r="C3131" t="s">
        <v>2508</v>
      </c>
      <c r="D3131">
        <v>368</v>
      </c>
      <c r="E3131">
        <v>57</v>
      </c>
      <c r="F3131">
        <v>38</v>
      </c>
      <c r="G3131">
        <v>45</v>
      </c>
      <c r="H3131">
        <v>112</v>
      </c>
      <c r="I3131">
        <v>116</v>
      </c>
      <c r="J3131">
        <v>87</v>
      </c>
      <c r="K3131">
        <v>135</v>
      </c>
      <c r="L3131">
        <v>146</v>
      </c>
      <c r="M3131">
        <v>332</v>
      </c>
      <c r="N3131">
        <v>36</v>
      </c>
      <c r="O3131" t="s">
        <v>2509</v>
      </c>
      <c r="P3131" s="1" t="b">
        <f>NOT(OR(Table1[[#This Row],[State]]="Other Foreign Countries", Table1[[#This Row],[State]]="Unknown", Table1[[#This Row],[State]]="Puerto Rico all counties"))</f>
        <v>1</v>
      </c>
    </row>
    <row r="3132" spans="1:16" x14ac:dyDescent="0.25">
      <c r="A3132">
        <v>5149</v>
      </c>
      <c r="B3132" t="s">
        <v>242</v>
      </c>
      <c r="C3132" t="s">
        <v>372</v>
      </c>
      <c r="D3132">
        <v>395</v>
      </c>
      <c r="E3132">
        <v>56</v>
      </c>
      <c r="F3132">
        <v>49</v>
      </c>
      <c r="G3132">
        <v>53</v>
      </c>
      <c r="H3132">
        <v>129</v>
      </c>
      <c r="I3132">
        <v>108</v>
      </c>
      <c r="J3132">
        <v>80</v>
      </c>
      <c r="K3132">
        <v>138</v>
      </c>
      <c r="L3132">
        <v>177</v>
      </c>
      <c r="M3132">
        <v>352</v>
      </c>
      <c r="N3132">
        <v>43</v>
      </c>
      <c r="O3132" t="s">
        <v>373</v>
      </c>
      <c r="P3132" s="1" t="b">
        <f>NOT(OR(Table1[[#This Row],[State]]="Other Foreign Countries", Table1[[#This Row],[State]]="Unknown", Table1[[#This Row],[State]]="Puerto Rico all counties"))</f>
        <v>1</v>
      </c>
    </row>
    <row r="3133" spans="1:16" x14ac:dyDescent="0.25">
      <c r="A3133">
        <v>27173</v>
      </c>
      <c r="B3133" t="s">
        <v>2245</v>
      </c>
      <c r="C3133" t="s">
        <v>2392</v>
      </c>
      <c r="D3133">
        <v>261</v>
      </c>
      <c r="E3133">
        <v>123</v>
      </c>
      <c r="F3133">
        <v>21</v>
      </c>
      <c r="G3133">
        <v>26</v>
      </c>
      <c r="H3133">
        <v>58</v>
      </c>
      <c r="I3133">
        <v>33</v>
      </c>
      <c r="J3133">
        <v>41</v>
      </c>
      <c r="K3133">
        <v>60</v>
      </c>
      <c r="L3133">
        <v>160</v>
      </c>
      <c r="M3133">
        <v>246</v>
      </c>
      <c r="N3133">
        <v>15</v>
      </c>
      <c r="O3133" t="s">
        <v>2393</v>
      </c>
      <c r="P3133" s="1" t="b">
        <f>NOT(OR(Table1[[#This Row],[State]]="Other Foreign Countries", Table1[[#This Row],[State]]="Unknown", Table1[[#This Row],[State]]="Puerto Rico all counties"))</f>
        <v>1</v>
      </c>
    </row>
    <row r="3134" spans="1:16" x14ac:dyDescent="0.25">
      <c r="A3134">
        <v>30111</v>
      </c>
      <c r="B3134" t="s">
        <v>2665</v>
      </c>
      <c r="C3134" t="s">
        <v>2756</v>
      </c>
      <c r="D3134">
        <v>4495</v>
      </c>
      <c r="E3134">
        <v>995</v>
      </c>
      <c r="F3134">
        <v>537</v>
      </c>
      <c r="G3134">
        <v>580</v>
      </c>
      <c r="H3134" s="1">
        <v>1256</v>
      </c>
      <c r="I3134" s="1">
        <v>1127</v>
      </c>
      <c r="J3134" s="1">
        <v>1360</v>
      </c>
      <c r="K3134" s="1">
        <v>1403</v>
      </c>
      <c r="L3134" s="1">
        <v>1732</v>
      </c>
      <c r="M3134" s="1">
        <v>4015</v>
      </c>
      <c r="N3134">
        <v>479</v>
      </c>
      <c r="O3134" t="s">
        <v>2757</v>
      </c>
      <c r="P3134" s="1" t="b">
        <f>NOT(OR(Table1[[#This Row],[State]]="Other Foreign Countries", Table1[[#This Row],[State]]="Unknown", Table1[[#This Row],[State]]="Puerto Rico all counties"))</f>
        <v>1</v>
      </c>
    </row>
    <row r="3135" spans="1:16" x14ac:dyDescent="0.25">
      <c r="A3135">
        <v>48501</v>
      </c>
      <c r="B3135" t="s">
        <v>2654</v>
      </c>
      <c r="C3135" t="s">
        <v>4478</v>
      </c>
      <c r="D3135">
        <v>55</v>
      </c>
      <c r="E3135">
        <v>14</v>
      </c>
      <c r="H3135">
        <v>15</v>
      </c>
      <c r="I3135">
        <v>11</v>
      </c>
      <c r="J3135">
        <v>21</v>
      </c>
      <c r="K3135">
        <v>13</v>
      </c>
      <c r="L3135">
        <v>21</v>
      </c>
      <c r="O3135" t="s">
        <v>4479</v>
      </c>
      <c r="P3135" s="1" t="b">
        <f>NOT(OR(Table1[[#This Row],[State]]="Other Foreign Countries", Table1[[#This Row],[State]]="Unknown", Table1[[#This Row],[State]]="Puerto Rico all counties"))</f>
        <v>1</v>
      </c>
    </row>
    <row r="3136" spans="1:16" x14ac:dyDescent="0.25">
      <c r="A3136">
        <v>6113</v>
      </c>
      <c r="B3136" t="s">
        <v>374</v>
      </c>
      <c r="C3136" t="s">
        <v>485</v>
      </c>
      <c r="D3136">
        <v>2563</v>
      </c>
      <c r="E3136">
        <v>674</v>
      </c>
      <c r="F3136">
        <v>273</v>
      </c>
      <c r="G3136">
        <v>305</v>
      </c>
      <c r="H3136">
        <v>686</v>
      </c>
      <c r="I3136">
        <v>625</v>
      </c>
      <c r="J3136">
        <v>792</v>
      </c>
      <c r="K3136">
        <v>769</v>
      </c>
      <c r="L3136" s="1">
        <v>1002</v>
      </c>
      <c r="M3136" s="1">
        <v>2245</v>
      </c>
      <c r="N3136">
        <v>318</v>
      </c>
      <c r="O3136" t="s">
        <v>486</v>
      </c>
      <c r="P3136" s="1" t="b">
        <f>NOT(OR(Table1[[#This Row],[State]]="Other Foreign Countries", Table1[[#This Row],[State]]="Unknown", Table1[[#This Row],[State]]="Puerto Rico all counties"))</f>
        <v>1</v>
      </c>
    </row>
    <row r="3137" spans="1:16" x14ac:dyDescent="0.25">
      <c r="A3137">
        <v>23031</v>
      </c>
      <c r="B3137" t="s">
        <v>2004</v>
      </c>
      <c r="C3137" t="s">
        <v>2029</v>
      </c>
      <c r="D3137">
        <v>4799</v>
      </c>
      <c r="E3137" s="1">
        <v>1036</v>
      </c>
      <c r="F3137">
        <v>557</v>
      </c>
      <c r="G3137">
        <v>591</v>
      </c>
      <c r="H3137" s="1">
        <v>1528</v>
      </c>
      <c r="I3137" s="1">
        <v>1087</v>
      </c>
      <c r="J3137" s="1">
        <v>1264</v>
      </c>
      <c r="K3137" s="1">
        <v>1512</v>
      </c>
      <c r="L3137" s="1">
        <v>2023</v>
      </c>
      <c r="M3137" s="1">
        <v>4314</v>
      </c>
      <c r="N3137">
        <v>484</v>
      </c>
      <c r="O3137" t="s">
        <v>2030</v>
      </c>
      <c r="P3137" s="1" t="b">
        <f>NOT(OR(Table1[[#This Row],[State]]="Other Foreign Countries", Table1[[#This Row],[State]]="Unknown", Table1[[#This Row],[State]]="Puerto Rico all counties"))</f>
        <v>1</v>
      </c>
    </row>
    <row r="3138" spans="1:16" x14ac:dyDescent="0.25">
      <c r="A3138">
        <v>31185</v>
      </c>
      <c r="B3138" t="s">
        <v>2758</v>
      </c>
      <c r="C3138" t="s">
        <v>2029</v>
      </c>
      <c r="D3138">
        <v>498</v>
      </c>
      <c r="E3138">
        <v>273</v>
      </c>
      <c r="F3138">
        <v>48</v>
      </c>
      <c r="G3138">
        <v>42</v>
      </c>
      <c r="H3138">
        <v>86</v>
      </c>
      <c r="I3138">
        <v>49</v>
      </c>
      <c r="J3138">
        <v>80</v>
      </c>
      <c r="K3138">
        <v>100</v>
      </c>
      <c r="L3138">
        <v>318</v>
      </c>
      <c r="M3138">
        <v>475</v>
      </c>
      <c r="N3138">
        <v>23</v>
      </c>
      <c r="O3138" t="s">
        <v>2891</v>
      </c>
      <c r="P3138" s="1" t="b">
        <f>NOT(OR(Table1[[#This Row],[State]]="Other Foreign Countries", Table1[[#This Row],[State]]="Unknown", Table1[[#This Row],[State]]="Puerto Rico all counties"))</f>
        <v>1</v>
      </c>
    </row>
    <row r="3139" spans="1:16" x14ac:dyDescent="0.25">
      <c r="A3139">
        <v>42133</v>
      </c>
      <c r="B3139" t="s">
        <v>3665</v>
      </c>
      <c r="C3139" t="s">
        <v>2029</v>
      </c>
      <c r="D3139">
        <v>7601</v>
      </c>
      <c r="E3139" s="1">
        <v>1540</v>
      </c>
      <c r="F3139">
        <v>895</v>
      </c>
      <c r="G3139">
        <v>977</v>
      </c>
      <c r="H3139" s="1">
        <v>2205</v>
      </c>
      <c r="I3139" s="1">
        <v>1984</v>
      </c>
      <c r="J3139" s="1">
        <v>2308</v>
      </c>
      <c r="K3139" s="1">
        <v>2689</v>
      </c>
      <c r="L3139" s="1">
        <v>2604</v>
      </c>
      <c r="M3139" s="1">
        <v>6696</v>
      </c>
      <c r="N3139">
        <v>904</v>
      </c>
      <c r="O3139" t="s">
        <v>3763</v>
      </c>
      <c r="P3139" s="1" t="b">
        <f>NOT(OR(Table1[[#This Row],[State]]="Other Foreign Countries", Table1[[#This Row],[State]]="Unknown", Table1[[#This Row],[State]]="Puerto Rico all counties"))</f>
        <v>1</v>
      </c>
    </row>
    <row r="3140" spans="1:16" x14ac:dyDescent="0.25">
      <c r="A3140">
        <v>45091</v>
      </c>
      <c r="B3140" t="s">
        <v>3772</v>
      </c>
      <c r="C3140" t="s">
        <v>2029</v>
      </c>
      <c r="D3140">
        <v>6184</v>
      </c>
      <c r="E3140">
        <v>943</v>
      </c>
      <c r="F3140">
        <v>614</v>
      </c>
      <c r="G3140">
        <v>683</v>
      </c>
      <c r="H3140" s="1">
        <v>1930</v>
      </c>
      <c r="I3140" s="1">
        <v>2014</v>
      </c>
      <c r="J3140" s="1">
        <v>1817</v>
      </c>
      <c r="K3140" s="1">
        <v>2201</v>
      </c>
      <c r="L3140" s="1">
        <v>2166</v>
      </c>
      <c r="M3140" s="1">
        <v>5403</v>
      </c>
      <c r="N3140">
        <v>781</v>
      </c>
      <c r="O3140" t="s">
        <v>3845</v>
      </c>
      <c r="P3140" s="1" t="b">
        <f>NOT(OR(Table1[[#This Row],[State]]="Other Foreign Countries", Table1[[#This Row],[State]]="Unknown", Table1[[#This Row],[State]]="Puerto Rico all counties"))</f>
        <v>1</v>
      </c>
    </row>
    <row r="3141" spans="1:16" x14ac:dyDescent="0.25">
      <c r="A3141">
        <v>51199</v>
      </c>
      <c r="B3141" t="s">
        <v>4555</v>
      </c>
      <c r="C3141" t="s">
        <v>2029</v>
      </c>
      <c r="D3141">
        <v>5227</v>
      </c>
      <c r="E3141">
        <v>733</v>
      </c>
      <c r="F3141">
        <v>551</v>
      </c>
      <c r="G3141">
        <v>644</v>
      </c>
      <c r="H3141" s="1">
        <v>1477</v>
      </c>
      <c r="I3141" s="1">
        <v>1822</v>
      </c>
      <c r="J3141" s="1">
        <v>1281</v>
      </c>
      <c r="K3141" s="1">
        <v>2435</v>
      </c>
      <c r="L3141" s="1">
        <v>1511</v>
      </c>
      <c r="M3141" s="1">
        <v>4180</v>
      </c>
      <c r="N3141" s="1">
        <v>1047</v>
      </c>
      <c r="O3141" t="s">
        <v>4695</v>
      </c>
      <c r="P3141" s="1" t="b">
        <f>NOT(OR(Table1[[#This Row],[State]]="Other Foreign Countries", Table1[[#This Row],[State]]="Unknown", Table1[[#This Row],[State]]="Puerto Rico all counties"))</f>
        <v>1</v>
      </c>
    </row>
    <row r="3142" spans="1:16" x14ac:dyDescent="0.25">
      <c r="A3142">
        <v>48503</v>
      </c>
      <c r="B3142" t="s">
        <v>2654</v>
      </c>
      <c r="C3142" t="s">
        <v>4480</v>
      </c>
      <c r="D3142">
        <v>340</v>
      </c>
      <c r="E3142">
        <v>75</v>
      </c>
      <c r="F3142">
        <v>35</v>
      </c>
      <c r="G3142">
        <v>32</v>
      </c>
      <c r="H3142">
        <v>110</v>
      </c>
      <c r="I3142">
        <v>88</v>
      </c>
      <c r="J3142">
        <v>96</v>
      </c>
      <c r="K3142">
        <v>86</v>
      </c>
      <c r="L3142">
        <v>158</v>
      </c>
      <c r="M3142">
        <v>310</v>
      </c>
      <c r="N3142">
        <v>30</v>
      </c>
      <c r="O3142" t="s">
        <v>4481</v>
      </c>
      <c r="P3142" s="1" t="b">
        <f>NOT(OR(Table1[[#This Row],[State]]="Other Foreign Countries", Table1[[#This Row],[State]]="Unknown", Table1[[#This Row],[State]]="Puerto Rico all counties"))</f>
        <v>1</v>
      </c>
    </row>
    <row r="3143" spans="1:16" x14ac:dyDescent="0.25">
      <c r="A3143">
        <v>6115</v>
      </c>
      <c r="B3143" t="s">
        <v>374</v>
      </c>
      <c r="C3143" t="s">
        <v>487</v>
      </c>
      <c r="D3143">
        <v>2546</v>
      </c>
      <c r="E3143">
        <v>455</v>
      </c>
      <c r="F3143">
        <v>262</v>
      </c>
      <c r="G3143">
        <v>281</v>
      </c>
      <c r="H3143">
        <v>813</v>
      </c>
      <c r="I3143">
        <v>735</v>
      </c>
      <c r="J3143">
        <v>937</v>
      </c>
      <c r="K3143">
        <v>799</v>
      </c>
      <c r="L3143">
        <v>810</v>
      </c>
      <c r="M3143" s="1">
        <v>2158</v>
      </c>
      <c r="N3143">
        <v>388</v>
      </c>
      <c r="O3143" t="s">
        <v>488</v>
      </c>
      <c r="P3143" s="1" t="b">
        <f>NOT(OR(Table1[[#This Row],[State]]="Other Foreign Countries", Table1[[#This Row],[State]]="Unknown", Table1[[#This Row],[State]]="Puerto Rico all counties"))</f>
        <v>1</v>
      </c>
    </row>
    <row r="3144" spans="1:16" x14ac:dyDescent="0.25">
      <c r="A3144">
        <v>2290</v>
      </c>
      <c r="B3144" t="s">
        <v>150</v>
      </c>
      <c r="C3144" t="s">
        <v>209</v>
      </c>
      <c r="D3144">
        <v>65</v>
      </c>
      <c r="E3144">
        <v>14</v>
      </c>
      <c r="H3144">
        <v>16</v>
      </c>
      <c r="I3144">
        <v>14</v>
      </c>
      <c r="J3144">
        <v>10</v>
      </c>
      <c r="K3144">
        <v>32</v>
      </c>
      <c r="L3144">
        <v>23</v>
      </c>
      <c r="O3144" t="s">
        <v>210</v>
      </c>
      <c r="P3144" s="1" t="b">
        <f>NOT(OR(Table1[[#This Row],[State]]="Other Foreign Countries", Table1[[#This Row],[State]]="Unknown", Table1[[#This Row],[State]]="Puerto Rico all counties"))</f>
        <v>1</v>
      </c>
    </row>
    <row r="3145" spans="1:16" x14ac:dyDescent="0.25">
      <c r="A3145">
        <v>4027</v>
      </c>
      <c r="B3145" t="s">
        <v>211</v>
      </c>
      <c r="C3145" t="s">
        <v>240</v>
      </c>
      <c r="D3145">
        <v>6324</v>
      </c>
      <c r="E3145" s="1">
        <v>1052</v>
      </c>
      <c r="F3145">
        <v>669</v>
      </c>
      <c r="G3145">
        <v>715</v>
      </c>
      <c r="H3145" s="1">
        <v>1923</v>
      </c>
      <c r="I3145" s="1">
        <v>1965</v>
      </c>
      <c r="J3145" s="1">
        <v>2156</v>
      </c>
      <c r="K3145" s="1">
        <v>1976</v>
      </c>
      <c r="L3145" s="1">
        <v>2192</v>
      </c>
      <c r="M3145" s="1">
        <v>5671</v>
      </c>
      <c r="N3145">
        <v>651</v>
      </c>
      <c r="O3145" t="s">
        <v>241</v>
      </c>
      <c r="P3145" s="1" t="b">
        <f>NOT(OR(Table1[[#This Row],[State]]="Other Foreign Countries", Table1[[#This Row],[State]]="Unknown", Table1[[#This Row],[State]]="Puerto Rico all counties"))</f>
        <v>1</v>
      </c>
    </row>
    <row r="3146" spans="1:16" x14ac:dyDescent="0.25">
      <c r="A3146">
        <v>8125</v>
      </c>
      <c r="B3146" t="s">
        <v>489</v>
      </c>
      <c r="C3146" t="s">
        <v>240</v>
      </c>
      <c r="D3146">
        <v>86</v>
      </c>
      <c r="E3146">
        <v>19</v>
      </c>
      <c r="F3146">
        <v>18</v>
      </c>
      <c r="G3146">
        <v>10</v>
      </c>
      <c r="H3146">
        <v>23</v>
      </c>
      <c r="I3146">
        <v>16</v>
      </c>
      <c r="J3146">
        <v>13</v>
      </c>
      <c r="K3146">
        <v>21</v>
      </c>
      <c r="L3146">
        <v>52</v>
      </c>
      <c r="O3146" t="s">
        <v>608</v>
      </c>
      <c r="P3146" s="1" t="b">
        <f>NOT(OR(Table1[[#This Row],[State]]="Other Foreign Countries", Table1[[#This Row],[State]]="Unknown", Table1[[#This Row],[State]]="Puerto Rico all counties"))</f>
        <v>1</v>
      </c>
    </row>
    <row r="3147" spans="1:16" x14ac:dyDescent="0.25">
      <c r="A3147">
        <v>48505</v>
      </c>
      <c r="B3147" t="s">
        <v>2654</v>
      </c>
      <c r="C3147" t="s">
        <v>4482</v>
      </c>
      <c r="D3147">
        <v>145</v>
      </c>
      <c r="E3147">
        <v>27</v>
      </c>
      <c r="F3147">
        <v>18</v>
      </c>
      <c r="G3147">
        <v>19</v>
      </c>
      <c r="H3147">
        <v>46</v>
      </c>
      <c r="I3147">
        <v>35</v>
      </c>
      <c r="J3147">
        <v>23</v>
      </c>
      <c r="K3147">
        <v>37</v>
      </c>
      <c r="L3147">
        <v>85</v>
      </c>
      <c r="O3147" t="s">
        <v>4483</v>
      </c>
      <c r="P3147" s="1" t="b">
        <f>NOT(OR(Table1[[#This Row],[State]]="Other Foreign Countries", Table1[[#This Row],[State]]="Unknown", Table1[[#This Row],[State]]="Puerto Rico all counties"))</f>
        <v>1</v>
      </c>
    </row>
    <row r="3148" spans="1:16" x14ac:dyDescent="0.25">
      <c r="A3148">
        <v>48507</v>
      </c>
      <c r="B3148" t="s">
        <v>2654</v>
      </c>
      <c r="C3148" t="s">
        <v>4484</v>
      </c>
      <c r="D3148">
        <v>116</v>
      </c>
      <c r="E3148">
        <v>28</v>
      </c>
      <c r="F3148">
        <v>10</v>
      </c>
      <c r="G3148">
        <v>12</v>
      </c>
      <c r="H3148">
        <v>37</v>
      </c>
      <c r="I3148">
        <v>29</v>
      </c>
      <c r="J3148">
        <v>22</v>
      </c>
      <c r="K3148">
        <v>40</v>
      </c>
      <c r="L3148">
        <v>54</v>
      </c>
      <c r="O3148" t="s">
        <v>4485</v>
      </c>
      <c r="P3148" s="1" t="b">
        <f>NOT(OR(Table1[[#This Row],[State]]="Other Foreign Countries", Table1[[#This Row],[State]]="Unknown", Table1[[#This Row],[State]]="Puerto Rico all counties"))</f>
        <v>1</v>
      </c>
    </row>
    <row r="3149" spans="1:16" x14ac:dyDescent="0.25">
      <c r="A3149">
        <v>46137</v>
      </c>
      <c r="B3149" t="s">
        <v>3846</v>
      </c>
      <c r="C3149" t="s">
        <v>3949</v>
      </c>
      <c r="D3149">
        <v>12</v>
      </c>
      <c r="O3149" t="s">
        <v>3950</v>
      </c>
      <c r="P3149" s="1" t="b">
        <f>NOT(OR(Table1[[#This Row],[State]]="Other Foreign Countries", Table1[[#This Row],[State]]="Unknown", Table1[[#This Row],[State]]="Puerto Rico all counties"))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Dashboard</vt:lpstr>
      <vt:lpstr>Sheet2</vt:lpstr>
      <vt:lpstr>fy2025_disability_analysis_by_c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Molla Zahin Hossain</cp:lastModifiedBy>
  <dcterms:created xsi:type="dcterms:W3CDTF">2026-09-10T14:46:13Z</dcterms:created>
  <dcterms:modified xsi:type="dcterms:W3CDTF">2026-09-10T20:01:59Z</dcterms:modified>
</cp:coreProperties>
</file>